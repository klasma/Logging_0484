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46323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46323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46323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46323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46323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46323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46323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46323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46323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46323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46323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46323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46323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46323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46323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46323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46323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46323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46323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46323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46323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46323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46323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24543-2025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46323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0</v>
      </c>
      <c r="V27" s="2" t="inlineStr">
        <is>
          <t>Ängsskära
Svart trolldruva
Blåsippa</t>
        </is>
      </c>
      <c r="W27">
        <f>HYPERLINK("https://klasma.github.io/Logging_0484/artfynd/A 24543-2025 artfynd.xlsx", "A 24543-2025")</f>
        <v/>
      </c>
      <c r="X27">
        <f>HYPERLINK("https://klasma.github.io/Logging_0484/kartor/A 24543-2025 karta.png", "A 24543-2025")</f>
        <v/>
      </c>
      <c r="Y27">
        <f>HYPERLINK("https://klasma.github.io/Logging_0484/kartor_geotiff/A 24543-2025 georefererad karta.tif", "A 24543-2025")</f>
        <v/>
      </c>
      <c r="AA27">
        <f>HYPERLINK("https://klasma.github.io/Logging_0484/klagomål/A 24543-2025 FSC-klagomål.docx", "A 24543-2025")</f>
        <v/>
      </c>
      <c r="AB27">
        <f>HYPERLINK("https://klasma.github.io/Logging_0484/klagomålsmail/A 24543-2025 FSC-klagomål mail.docx", "A 24543-2025")</f>
        <v/>
      </c>
      <c r="AC27">
        <f>HYPERLINK("https://klasma.github.io/Logging_0484/tillsyn/A 24543-2025 tillsynsbegäran.docx", "A 24543-2025")</f>
        <v/>
      </c>
      <c r="AD27">
        <f>HYPERLINK("https://klasma.github.io/Logging_0484/tillsynsmail/A 24543-2025 tillsynsbegäran mail.docx", "A 24543-2025")</f>
        <v/>
      </c>
    </row>
    <row r="28" ht="15" customHeight="1">
      <c r="A28" t="inlineStr">
        <is>
          <t>A 24539-2025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46323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4.8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7</v>
      </c>
      <c r="U28" t="n">
        <v>0</v>
      </c>
      <c r="V28" s="2" t="inlineStr">
        <is>
          <t>Ängsskära
Svart trolldruva
Blåsippa</t>
        </is>
      </c>
      <c r="W28">
        <f>HYPERLINK("https://klasma.github.io/Logging_0484/artfynd/A 24539-2025 artfynd.xlsx", "A 24539-2025")</f>
        <v/>
      </c>
      <c r="X28">
        <f>HYPERLINK("https://klasma.github.io/Logging_0484/kartor/A 24539-2025 karta.png", "A 24539-2025")</f>
        <v/>
      </c>
      <c r="Y28">
        <f>HYPERLINK("https://klasma.github.io/Logging_0484/kartor_geotiff/A 24539-2025 georefererad karta.tif", "A 24539-2025")</f>
        <v/>
      </c>
      <c r="AA28">
        <f>HYPERLINK("https://klasma.github.io/Logging_0484/klagomål/A 24539-2025 FSC-klagomål.docx", "A 24539-2025")</f>
        <v/>
      </c>
      <c r="AB28">
        <f>HYPERLINK("https://klasma.github.io/Logging_0484/klagomålsmail/A 24539-2025 FSC-klagomål mail.docx", "A 24539-2025")</f>
        <v/>
      </c>
      <c r="AC28">
        <f>HYPERLINK("https://klasma.github.io/Logging_0484/tillsyn/A 24539-2025 tillsynsbegäran.docx", "A 24539-2025")</f>
        <v/>
      </c>
      <c r="AD28">
        <f>HYPERLINK("https://klasma.github.io/Logging_0484/tillsynsmail/A 24539-2025 tillsynsbegäran mail.docx", "A 24539-2025")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46323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38967-2026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46286</v>
      </c>
      <c r="E30" s="1" t="n">
        <v>46323</v>
      </c>
      <c r="F30" t="inlineStr">
        <is>
          <t>SÖDERMANLANDS LÄN</t>
        </is>
      </c>
      <c r="G30" t="inlineStr">
        <is>
          <t>ESKILSTUNA</t>
        </is>
      </c>
      <c r="I30" t="n">
        <v>9.5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Älg
Grönpyrola
Revlummer</t>
        </is>
      </c>
      <c r="W30">
        <f>HYPERLINK("https://klasma.github.io/Logging_0484/artfynd/A 38967-2026 artfynd.xlsx", "A 38967-2026")</f>
        <v/>
      </c>
      <c r="X30">
        <f>HYPERLINK("https://klasma.github.io/Logging_0484/kartor/A 38967-2026 karta.png", "A 38967-2026")</f>
        <v/>
      </c>
      <c r="Y30">
        <f>HYPERLINK("https://klasma.github.io/Logging_0484/kartor_geotiff/A 38967-2026 georefererad karta.tif", "A 38967-2026")</f>
        <v/>
      </c>
      <c r="AA30">
        <f>HYPERLINK("https://klasma.github.io/Logging_0484/klagomål/A 38967-2026 FSC-klagomål.docx", "A 38967-2026")</f>
        <v/>
      </c>
      <c r="AB30">
        <f>HYPERLINK("https://klasma.github.io/Logging_0484/klagomålsmail/A 38967-2026 FSC-klagomål mail.docx", "A 38967-2026")</f>
        <v/>
      </c>
      <c r="AC30">
        <f>HYPERLINK("https://klasma.github.io/Logging_0484/tillsyn/A 38967-2026 tillsynsbegäran.docx", "A 38967-2026")</f>
        <v/>
      </c>
      <c r="AD30">
        <f>HYPERLINK("https://klasma.github.io/Logging_0484/tillsynsmail/A 38967-2026 tillsynsbegäran mail.docx", "A 38967-2026")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46323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18968-2023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46323</v>
      </c>
      <c r="F32" t="inlineStr">
        <is>
          <t>SÖDERMANLANDS LÄN</t>
        </is>
      </c>
      <c r="G32" t="inlineStr">
        <is>
          <t>ESKILSTUNA</t>
        </is>
      </c>
      <c r="I32" t="n">
        <v>3.6</v>
      </c>
      <c r="J32" t="n">
        <v>0</v>
      </c>
      <c r="K32" t="n">
        <v>2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8</v>
      </c>
      <c r="U32" t="n">
        <v>0</v>
      </c>
      <c r="V32" s="2" t="inlineStr">
        <is>
          <t>Ask
Svart trolldruva
Tibast</t>
        </is>
      </c>
      <c r="W32">
        <f>HYPERLINK("https://klasma.github.io/Logging_0484/artfynd/A 18968-2023 artfynd.xlsx", "A 18968-2023")</f>
        <v/>
      </c>
      <c r="X32">
        <f>HYPERLINK("https://klasma.github.io/Logging_0484/kartor/A 18968-2023 karta.png", "A 18968-2023")</f>
        <v/>
      </c>
      <c r="Y32">
        <f>HYPERLINK("https://klasma.github.io/Logging_0484/kartor_geotiff/A 18968-2023 georefererad karta.tif", "A 18968-2023")</f>
        <v/>
      </c>
      <c r="AA32">
        <f>HYPERLINK("https://klasma.github.io/Logging_0484/klagomål/A 18968-2023 FSC-klagomål.docx", "A 18968-2023")</f>
        <v/>
      </c>
      <c r="AB32">
        <f>HYPERLINK("https://klasma.github.io/Logging_0484/klagomålsmail/A 18968-2023 FSC-klagomål mail.docx", "A 18968-2023")</f>
        <v/>
      </c>
      <c r="AC32">
        <f>HYPERLINK("https://klasma.github.io/Logging_0484/tillsyn/A 18968-2023 tillsynsbegäran.docx", "A 18968-2023")</f>
        <v/>
      </c>
      <c r="AD32">
        <f>HYPERLINK("https://klasma.github.io/Logging_0484/tillsynsmail/A 18968-2023 tillsynsbegäran mail.docx", "A 18968-2023")</f>
        <v/>
      </c>
    </row>
    <row r="33" ht="15" customHeight="1">
      <c r="A33" t="inlineStr">
        <is>
          <t>S 1604-2025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46323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6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1604-2025 artfynd.xlsx", "S 1604-2025")</f>
        <v/>
      </c>
      <c r="X33">
        <f>HYPERLINK("https://klasma.github.io/Logging_0484/kartor/S 1604-2025 karta.png", "S 1604-2025")</f>
        <v/>
      </c>
      <c r="Y33">
        <f>HYPERLINK("https://klasma.github.io/Logging_0484/kartor_geotiff/S 1604-2025 georefererad karta.tif", "S 1604-2025")</f>
        <v/>
      </c>
      <c r="AA33">
        <f>HYPERLINK("https://klasma.github.io/Logging_0484/klagomål/S 1604-2025 FSC-klagomål.docx", "S 1604-2025")</f>
        <v/>
      </c>
      <c r="AB33">
        <f>HYPERLINK("https://klasma.github.io/Logging_0484/klagomålsmail/S 1604-2025 FSC-klagomål mail.docx", "S 1604-2025")</f>
        <v/>
      </c>
      <c r="AC33">
        <f>HYPERLINK("https://klasma.github.io/Logging_0484/tillsyn/S 1604-2025 tillsynsbegäran.docx", "S 1604-2025")</f>
        <v/>
      </c>
      <c r="AD33">
        <f>HYPERLINK("https://klasma.github.io/Logging_0484/tillsynsmail/S 1604-2025 tillsynsbegäran mail.docx", "S 1604-2025")</f>
        <v/>
      </c>
    </row>
    <row r="34" ht="15" customHeight="1">
      <c r="A34" t="inlineStr">
        <is>
          <t>S 1603-2025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46323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4.8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7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1603-2025 artfynd.xlsx", "S 1603-2025")</f>
        <v/>
      </c>
      <c r="X34">
        <f>HYPERLINK("https://klasma.github.io/Logging_0484/kartor/S 1603-2025 karta.png", "S 1603-2025")</f>
        <v/>
      </c>
      <c r="Y34">
        <f>HYPERLINK("https://klasma.github.io/Logging_0484/kartor_geotiff/S 1603-2025 georefererad karta.tif", "S 1603-2025")</f>
        <v/>
      </c>
      <c r="AA34">
        <f>HYPERLINK("https://klasma.github.io/Logging_0484/klagomål/S 1603-2025 FSC-klagomål.docx", "S 1603-2025")</f>
        <v/>
      </c>
      <c r="AB34">
        <f>HYPERLINK("https://klasma.github.io/Logging_0484/klagomålsmail/S 1603-2025 FSC-klagomål mail.docx", "S 1603-2025")</f>
        <v/>
      </c>
      <c r="AC34">
        <f>HYPERLINK("https://klasma.github.io/Logging_0484/tillsyn/S 1603-2025 tillsynsbegäran.docx", "S 1603-2025")</f>
        <v/>
      </c>
      <c r="AD34">
        <f>HYPERLINK("https://klasma.github.io/Logging_0484/tillsynsmail/S 1603-2025 tillsynsbegäran mail.docx", "S 1603-2025")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46323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46323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62009-2024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45655</v>
      </c>
      <c r="E37" s="1" t="n">
        <v>46323</v>
      </c>
      <c r="F37" t="inlineStr">
        <is>
          <t>SÖDERMANLANDS LÄN</t>
        </is>
      </c>
      <c r="G37" t="inlineStr">
        <is>
          <t>ESKILSTUNA</t>
        </is>
      </c>
      <c r="H37" t="inlineStr">
        <is>
          <t>Holmen skog AB</t>
        </is>
      </c>
      <c r="I37" t="n">
        <v>11.9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Mattlummer
Revlummer</t>
        </is>
      </c>
      <c r="W37">
        <f>HYPERLINK("https://klasma.github.io/Logging_0484/artfynd/A 62009-2024 artfynd.xlsx", "A 62009-2024")</f>
        <v/>
      </c>
      <c r="X37">
        <f>HYPERLINK("https://klasma.github.io/Logging_0484/kartor/A 62009-2024 karta.png", "A 62009-2024")</f>
        <v/>
      </c>
      <c r="Y37">
        <f>HYPERLINK("https://klasma.github.io/Logging_0484/kartor_geotiff/A 62009-2024 georefererad karta.tif", "A 62009-2024")</f>
        <v/>
      </c>
      <c r="AA37">
        <f>HYPERLINK("https://klasma.github.io/Logging_0484/klagomål/A 62009-2024 FSC-klagomål.docx", "A 62009-2024")</f>
        <v/>
      </c>
      <c r="AB37">
        <f>HYPERLINK("https://klasma.github.io/Logging_0484/klagomålsmail/A 62009-2024 FSC-klagomål mail.docx", "A 62009-2024")</f>
        <v/>
      </c>
      <c r="AC37">
        <f>HYPERLINK("https://klasma.github.io/Logging_0484/tillsyn/A 62009-2024 tillsynsbegäran.docx", "A 62009-2024")</f>
        <v/>
      </c>
      <c r="AD37">
        <f>HYPERLINK("https://klasma.github.io/Logging_0484/tillsynsmail/A 62009-2024 tillsynsbegäran mail.docx", "A 62009-2024")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46323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46323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46323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61987-2022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46323</v>
      </c>
      <c r="F41" t="inlineStr">
        <is>
          <t>SÖDERMANLANDS LÄN</t>
        </is>
      </c>
      <c r="G41" t="inlineStr">
        <is>
          <t>ESKILSTUNA</t>
        </is>
      </c>
      <c r="I41" t="n">
        <v>4.3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Svinrot
Mattlummer</t>
        </is>
      </c>
      <c r="W41">
        <f>HYPERLINK("https://klasma.github.io/Logging_0484/artfynd/A 61987-2022 artfynd.xlsx", "A 61987-2022")</f>
        <v/>
      </c>
      <c r="X41">
        <f>HYPERLINK("https://klasma.github.io/Logging_0484/kartor/A 61987-2022 karta.png", "A 61987-2022")</f>
        <v/>
      </c>
      <c r="Y41">
        <f>HYPERLINK("https://klasma.github.io/Logging_0484/kartor_geotiff/A 61987-2022 georefererad karta.tif", "A 61987-2022")</f>
        <v/>
      </c>
      <c r="AA41">
        <f>HYPERLINK("https://klasma.github.io/Logging_0484/klagomål/A 61987-2022 FSC-klagomål.docx", "A 61987-2022")</f>
        <v/>
      </c>
      <c r="AB41">
        <f>HYPERLINK("https://klasma.github.io/Logging_0484/klagomålsmail/A 61987-2022 FSC-klagomål mail.docx", "A 61987-2022")</f>
        <v/>
      </c>
      <c r="AC41">
        <f>HYPERLINK("https://klasma.github.io/Logging_0484/tillsyn/A 61987-2022 tillsynsbegäran.docx", "A 61987-2022")</f>
        <v/>
      </c>
      <c r="AD41">
        <f>HYPERLINK("https://klasma.github.io/Logging_0484/tillsynsmail/A 61987-2022 tillsynsbegäran mail.docx", "A 61987-2022")</f>
        <v/>
      </c>
    </row>
    <row r="42" ht="15" customHeight="1">
      <c r="A42" t="inlineStr">
        <is>
          <t>A 51326-2024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46323</v>
      </c>
      <c r="F42" t="inlineStr">
        <is>
          <t>SÖDERMANLANDS LÄN</t>
        </is>
      </c>
      <c r="G42" t="inlineStr">
        <is>
          <t>ESKILSTUNA</t>
        </is>
      </c>
      <c r="I42" t="n">
        <v>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Myskbock
Blåsippa</t>
        </is>
      </c>
      <c r="W42">
        <f>HYPERLINK("https://klasma.github.io/Logging_0484/artfynd/A 51326-2024 artfynd.xlsx", "A 51326-2024")</f>
        <v/>
      </c>
      <c r="X42">
        <f>HYPERLINK("https://klasma.github.io/Logging_0484/kartor/A 51326-2024 karta.png", "A 51326-2024")</f>
        <v/>
      </c>
      <c r="Y42">
        <f>HYPERLINK("https://klasma.github.io/Logging_0484/kartor_geotiff/A 51326-2024 georefererad karta.tif", "A 51326-2024")</f>
        <v/>
      </c>
      <c r="AA42">
        <f>HYPERLINK("https://klasma.github.io/Logging_0484/klagomål/A 51326-2024 FSC-klagomål.docx", "A 51326-2024")</f>
        <v/>
      </c>
      <c r="AB42">
        <f>HYPERLINK("https://klasma.github.io/Logging_0484/klagomålsmail/A 51326-2024 FSC-klagomål mail.docx", "A 51326-2024")</f>
        <v/>
      </c>
      <c r="AC42">
        <f>HYPERLINK("https://klasma.github.io/Logging_0484/tillsyn/A 51326-2024 tillsynsbegäran.docx", "A 51326-2024")</f>
        <v/>
      </c>
      <c r="AD42">
        <f>HYPERLINK("https://klasma.github.io/Logging_0484/tillsynsmail/A 51326-2024 tillsynsbegäran mail.docx", "A 51326-2024")</f>
        <v/>
      </c>
    </row>
    <row r="43" ht="15" customHeight="1">
      <c r="A43" t="inlineStr">
        <is>
          <t>A 63042-2025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46323</v>
      </c>
      <c r="F43" t="inlineStr">
        <is>
          <t>SÖDERMANLANDS LÄN</t>
        </is>
      </c>
      <c r="G43" t="inlineStr">
        <is>
          <t>ESKILSTUNA</t>
        </is>
      </c>
      <c r="I43" t="n">
        <v>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Kungsfågel
Revlummer</t>
        </is>
      </c>
      <c r="W43">
        <f>HYPERLINK("https://klasma.github.io/Logging_0484/artfynd/A 63042-2025 artfynd.xlsx", "A 63042-2025")</f>
        <v/>
      </c>
      <c r="X43">
        <f>HYPERLINK("https://klasma.github.io/Logging_0484/kartor/A 63042-2025 karta.png", "A 63042-2025")</f>
        <v/>
      </c>
      <c r="Y43">
        <f>HYPERLINK("https://klasma.github.io/Logging_0484/kartor_geotiff/A 63042-2025 georefererad karta.tif", "A 63042-2025")</f>
        <v/>
      </c>
      <c r="AA43">
        <f>HYPERLINK("https://klasma.github.io/Logging_0484/klagomål/A 63042-2025 FSC-klagomål.docx", "A 63042-2025")</f>
        <v/>
      </c>
      <c r="AB43">
        <f>HYPERLINK("https://klasma.github.io/Logging_0484/klagomålsmail/A 63042-2025 FSC-klagomål mail.docx", "A 63042-2025")</f>
        <v/>
      </c>
      <c r="AC43">
        <f>HYPERLINK("https://klasma.github.io/Logging_0484/tillsyn/A 63042-2025 tillsynsbegäran.docx", "A 63042-2025")</f>
        <v/>
      </c>
      <c r="AD43">
        <f>HYPERLINK("https://klasma.github.io/Logging_0484/tillsynsmail/A 63042-2025 tillsynsbegäran mail.docx", "A 63042-2025")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46323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46323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61105-2025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46323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Krusfrö
Tibast</t>
        </is>
      </c>
      <c r="W46">
        <f>HYPERLINK("https://klasma.github.io/Logging_0484/artfynd/A 61105-2025 artfynd.xlsx", "A 61105-2025")</f>
        <v/>
      </c>
      <c r="X46">
        <f>HYPERLINK("https://klasma.github.io/Logging_0484/kartor/A 61105-2025 karta.png", "A 61105-2025")</f>
        <v/>
      </c>
      <c r="Y46">
        <f>HYPERLINK("https://klasma.github.io/Logging_0484/kartor_geotiff/A 61105-2025 georefererad karta.tif", "A 61105-2025")</f>
        <v/>
      </c>
      <c r="AA46">
        <f>HYPERLINK("https://klasma.github.io/Logging_0484/klagomål/A 61105-2025 FSC-klagomål.docx", "A 61105-2025")</f>
        <v/>
      </c>
      <c r="AB46">
        <f>HYPERLINK("https://klasma.github.io/Logging_0484/klagomålsmail/A 61105-2025 FSC-klagomål mail.docx", "A 61105-2025")</f>
        <v/>
      </c>
      <c r="AC46">
        <f>HYPERLINK("https://klasma.github.io/Logging_0484/tillsyn/A 61105-2025 tillsynsbegäran.docx", "A 61105-2025")</f>
        <v/>
      </c>
      <c r="AD46">
        <f>HYPERLINK("https://klasma.github.io/Logging_0484/tillsynsmail/A 61105-2025 tillsynsbegäran mail.docx", "A 61105-2025")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46323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46323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22760-2026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46157</v>
      </c>
      <c r="E49" s="1" t="n">
        <v>46323</v>
      </c>
      <c r="F49" t="inlineStr">
        <is>
          <t>SÖDERMANLANDS LÄN</t>
        </is>
      </c>
      <c r="G49" t="inlineStr">
        <is>
          <t>ESKILSTUNA</t>
        </is>
      </c>
      <c r="I49" t="n">
        <v>4.4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Jungfrulin
Solvända</t>
        </is>
      </c>
      <c r="W49">
        <f>HYPERLINK("https://klasma.github.io/Logging_0484/artfynd/A 22760-2026 artfynd.xlsx", "A 22760-2026")</f>
        <v/>
      </c>
      <c r="X49">
        <f>HYPERLINK("https://klasma.github.io/Logging_0484/kartor/A 22760-2026 karta.png", "A 22760-2026")</f>
        <v/>
      </c>
      <c r="Y49">
        <f>HYPERLINK("https://klasma.github.io/Logging_0484/kartor_geotiff/A 22760-2026 georefererad karta.tif", "A 22760-2026")</f>
        <v/>
      </c>
      <c r="AA49">
        <f>HYPERLINK("https://klasma.github.io/Logging_0484/klagomål/A 22760-2026 FSC-klagomål.docx", "A 22760-2026")</f>
        <v/>
      </c>
      <c r="AB49">
        <f>HYPERLINK("https://klasma.github.io/Logging_0484/klagomålsmail/A 22760-2026 FSC-klagomål mail.docx", "A 22760-2026")</f>
        <v/>
      </c>
      <c r="AC49">
        <f>HYPERLINK("https://klasma.github.io/Logging_0484/tillsyn/A 22760-2026 tillsynsbegäran.docx", "A 22760-2026")</f>
        <v/>
      </c>
      <c r="AD49">
        <f>HYPERLINK("https://klasma.github.io/Logging_0484/tillsynsmail/A 22760-2026 tillsynsbegäran mail.docx", "A 22760-2026")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46323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A 26095-2026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46323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1.1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Svinrot
Spillkråka</t>
        </is>
      </c>
      <c r="W51">
        <f>HYPERLINK("https://klasma.github.io/Logging_0484/artfynd/A 26095-2026 artfynd.xlsx", "A 26095-2026")</f>
        <v/>
      </c>
      <c r="X51">
        <f>HYPERLINK("https://klasma.github.io/Logging_0484/kartor/A 26095-2026 karta.png", "A 26095-2026")</f>
        <v/>
      </c>
      <c r="Y51">
        <f>HYPERLINK("https://klasma.github.io/Logging_0484/kartor_geotiff/A 26095-2026 georefererad karta.tif", "A 26095-2026")</f>
        <v/>
      </c>
      <c r="AA51">
        <f>HYPERLINK("https://klasma.github.io/Logging_0484/klagomål/A 26095-2026 FSC-klagomål.docx", "A 26095-2026")</f>
        <v/>
      </c>
      <c r="AB51">
        <f>HYPERLINK("https://klasma.github.io/Logging_0484/klagomålsmail/A 26095-2026 FSC-klagomål mail.docx", "A 26095-2026")</f>
        <v/>
      </c>
      <c r="AC51">
        <f>HYPERLINK("https://klasma.github.io/Logging_0484/tillsyn/A 26095-2026 tillsynsbegäran.docx", "A 26095-2026")</f>
        <v/>
      </c>
      <c r="AD51">
        <f>HYPERLINK("https://klasma.github.io/Logging_0484/tillsynsmail/A 26095-2026 tillsynsbegäran mail.docx", "A 26095-2026")</f>
        <v/>
      </c>
      <c r="AE51">
        <f>HYPERLINK("https://klasma.github.io/Logging_0484/fåglar/A 26095-2026 prioriterade fågelarter.docx", "A 26095-2026")</f>
        <v/>
      </c>
    </row>
    <row r="52" ht="15" customHeight="1">
      <c r="A52" t="inlineStr">
        <is>
          <t>A 26105-2026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46323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Backsippa
Backtimjan</t>
        </is>
      </c>
      <c r="W52">
        <f>HYPERLINK("https://klasma.github.io/Logging_0484/artfynd/A 26105-2026 artfynd.xlsx", "A 26105-2026")</f>
        <v/>
      </c>
      <c r="X52">
        <f>HYPERLINK("https://klasma.github.io/Logging_0484/kartor/A 26105-2026 karta.png", "A 26105-2026")</f>
        <v/>
      </c>
      <c r="Y52">
        <f>HYPERLINK("https://klasma.github.io/Logging_0484/kartor_geotiff/A 26105-2026 georefererad karta.tif", "A 26105-2026")</f>
        <v/>
      </c>
      <c r="AA52">
        <f>HYPERLINK("https://klasma.github.io/Logging_0484/klagomål/A 26105-2026 FSC-klagomål.docx", "A 26105-2026")</f>
        <v/>
      </c>
      <c r="AB52">
        <f>HYPERLINK("https://klasma.github.io/Logging_0484/klagomålsmail/A 26105-2026 FSC-klagomål mail.docx", "A 26105-2026")</f>
        <v/>
      </c>
      <c r="AC52">
        <f>HYPERLINK("https://klasma.github.io/Logging_0484/tillsyn/A 26105-2026 tillsynsbegäran.docx", "A 26105-2026")</f>
        <v/>
      </c>
      <c r="AD52">
        <f>HYPERLINK("https://klasma.github.io/Logging_0484/tillsynsmail/A 26105-2026 tillsynsbegäran mail.docx", "A 26105-2026")</f>
        <v/>
      </c>
    </row>
    <row r="53" ht="15" customHeight="1">
      <c r="A53" t="inlineStr">
        <is>
          <t>S 1332-2020</t>
        </is>
      </c>
      <c r="B53" t="inlineStr">
        <is>
          <t>samrådsanmälan</t>
        </is>
      </c>
      <c r="C53" t="inlineStr">
        <is>
          <t>Åtgärd i nyckelbiotop</t>
        </is>
      </c>
      <c r="D53" s="1" t="n">
        <v>43993</v>
      </c>
      <c r="E53" s="1" t="n">
        <v>46323</v>
      </c>
      <c r="F53" t="inlineStr">
        <is>
          <t>SÖDERMANLANDS LÄN</t>
        </is>
      </c>
      <c r="G53" t="inlineStr">
        <is>
          <t>ESKILSTUNA</t>
        </is>
      </c>
      <c r="I53" t="n">
        <v>0.9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Blåsippa
Törnskata</t>
        </is>
      </c>
      <c r="W53">
        <f>HYPERLINK("https://klasma.github.io/Logging_0484/artfynd/S 1332-2020 artfynd.xlsx", "S 1332-2020")</f>
        <v/>
      </c>
      <c r="X53">
        <f>HYPERLINK("https://klasma.github.io/Logging_0484/kartor/S 1332-2020 karta.png", "S 1332-2020")</f>
        <v/>
      </c>
      <c r="Y53">
        <f>HYPERLINK("https://klasma.github.io/Logging_0484/kartor_geotiff/S 1332-2020 georefererad karta.tif", "S 1332-2020")</f>
        <v/>
      </c>
      <c r="AA53">
        <f>HYPERLINK("https://klasma.github.io/Logging_0484/klagomål/S 1332-2020 FSC-klagomål.docx", "S 1332-2020")</f>
        <v/>
      </c>
      <c r="AB53">
        <f>HYPERLINK("https://klasma.github.io/Logging_0484/klagomålsmail/S 1332-2020 FSC-klagomål mail.docx", "S 1332-2020")</f>
        <v/>
      </c>
      <c r="AC53">
        <f>HYPERLINK("https://klasma.github.io/Logging_0484/tillsyn/S 1332-2020 tillsynsbegäran.docx", "S 1332-2020")</f>
        <v/>
      </c>
      <c r="AD53">
        <f>HYPERLINK("https://klasma.github.io/Logging_0484/tillsynsmail/S 1332-2020 tillsynsbegäran mail.docx", "S 1332-2020")</f>
        <v/>
      </c>
      <c r="AE53">
        <f>HYPERLINK("https://klasma.github.io/Logging_0484/fåglar/S 1332-2020 prioriterade fågelarter.docx", "S 1332-2020")</f>
        <v/>
      </c>
    </row>
    <row r="54" ht="15" customHeight="1">
      <c r="A54" t="inlineStr">
        <is>
          <t>S 9518-2021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44525</v>
      </c>
      <c r="E54" s="1" t="n">
        <v>46323</v>
      </c>
      <c r="F54" t="inlineStr">
        <is>
          <t>SÖDERMANLANDS LÄN</t>
        </is>
      </c>
      <c r="G54" t="inlineStr">
        <is>
          <t>ESKILSTUNA</t>
        </is>
      </c>
      <c r="I54" t="n">
        <v>1.8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Nattviol
Lopplummer (aggregat)</t>
        </is>
      </c>
      <c r="W54">
        <f>HYPERLINK("https://klasma.github.io/Logging_0484/artfynd/S 9518-2021 artfynd.xlsx", "S 9518-2021")</f>
        <v/>
      </c>
      <c r="X54">
        <f>HYPERLINK("https://klasma.github.io/Logging_0484/kartor/S 9518-2021 karta.png", "S 9518-2021")</f>
        <v/>
      </c>
      <c r="Y54">
        <f>HYPERLINK("https://klasma.github.io/Logging_0484/kartor_geotiff/S 9518-2021 georefererad karta.tif", "S 9518-2021")</f>
        <v/>
      </c>
      <c r="AA54">
        <f>HYPERLINK("https://klasma.github.io/Logging_0484/klagomål/S 9518-2021 FSC-klagomål.docx", "S 9518-2021")</f>
        <v/>
      </c>
      <c r="AB54">
        <f>HYPERLINK("https://klasma.github.io/Logging_0484/klagomålsmail/S 9518-2021 FSC-klagomål mail.docx", "S 9518-2021")</f>
        <v/>
      </c>
      <c r="AC54">
        <f>HYPERLINK("https://klasma.github.io/Logging_0484/tillsyn/S 9518-2021 tillsynsbegäran.docx", "S 9518-2021")</f>
        <v/>
      </c>
      <c r="AD54">
        <f>HYPERLINK("https://klasma.github.io/Logging_0484/tillsynsmail/S 9518-2021 tillsynsbegäran mail.docx", "S 9518-2021")</f>
        <v/>
      </c>
    </row>
    <row r="55" ht="15" customHeight="1">
      <c r="A55" t="inlineStr">
        <is>
          <t>A 36140-2022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46323</v>
      </c>
      <c r="F55" t="inlineStr">
        <is>
          <t>SÖDERMANLANDS LÄN</t>
        </is>
      </c>
      <c r="G55" t="inlineStr">
        <is>
          <t>ESKILSTUNA</t>
        </is>
      </c>
      <c r="I55" t="n">
        <v>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HYPERLINK("https://klasma.github.io/Logging_0484/artfynd/A 36140-2022 artfynd.xlsx", "A 36140-2022")</f>
        <v/>
      </c>
      <c r="X55">
        <f>HYPERLINK("https://klasma.github.io/Logging_0484/kartor/A 36140-2022 karta.png", "A 36140-2022")</f>
        <v/>
      </c>
      <c r="Y55">
        <f>HYPERLINK("https://klasma.github.io/Logging_0484/kartor_geotiff/A 36140-2022 georefererad karta.tif", "A 36140-2022")</f>
        <v/>
      </c>
      <c r="AA55">
        <f>HYPERLINK("https://klasma.github.io/Logging_0484/klagomål/A 36140-2022 FSC-klagomål.docx", "A 36140-2022")</f>
        <v/>
      </c>
      <c r="AB55">
        <f>HYPERLINK("https://klasma.github.io/Logging_0484/klagomålsmail/A 36140-2022 FSC-klagomål mail.docx", "A 36140-2022")</f>
        <v/>
      </c>
      <c r="AC55">
        <f>HYPERLINK("https://klasma.github.io/Logging_0484/tillsyn/A 36140-2022 tillsynsbegäran.docx", "A 36140-2022")</f>
        <v/>
      </c>
      <c r="AD55">
        <f>HYPERLINK("https://klasma.github.io/Logging_0484/tillsynsmail/A 36140-2022 tillsynsbegäran mail.docx", "A 36140-2022")</f>
        <v/>
      </c>
    </row>
    <row r="56" ht="15" customHeight="1">
      <c r="A56" t="inlineStr">
        <is>
          <t>A 18780-2022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44689</v>
      </c>
      <c r="E56" s="1" t="n">
        <v>46323</v>
      </c>
      <c r="F56" t="inlineStr">
        <is>
          <t>SÖDERMANLANDS LÄN</t>
        </is>
      </c>
      <c r="G56" t="inlineStr">
        <is>
          <t>ESKILSTUNA</t>
        </is>
      </c>
      <c r="I56" t="n">
        <v>3.2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Skogsduva</t>
        </is>
      </c>
      <c r="W56">
        <f>HYPERLINK("https://klasma.github.io/Logging_0484/artfynd/A 18780-2022 artfynd.xlsx", "A 18780-2022")</f>
        <v/>
      </c>
      <c r="X56">
        <f>HYPERLINK("https://klasma.github.io/Logging_0484/kartor/A 18780-2022 karta.png", "A 18780-2022")</f>
        <v/>
      </c>
      <c r="Y56">
        <f>HYPERLINK("https://klasma.github.io/Logging_0484/kartor_geotiff/A 18780-2022 georefererad karta.tif", "A 18780-2022")</f>
        <v/>
      </c>
      <c r="AA56">
        <f>HYPERLINK("https://klasma.github.io/Logging_0484/klagomål/A 18780-2022 FSC-klagomål.docx", "A 18780-2022")</f>
        <v/>
      </c>
      <c r="AB56">
        <f>HYPERLINK("https://klasma.github.io/Logging_0484/klagomålsmail/A 18780-2022 FSC-klagomål mail.docx", "A 18780-2022")</f>
        <v/>
      </c>
      <c r="AC56">
        <f>HYPERLINK("https://klasma.github.io/Logging_0484/tillsyn/A 18780-2022 tillsynsbegäran.docx", "A 18780-2022")</f>
        <v/>
      </c>
      <c r="AD56">
        <f>HYPERLINK("https://klasma.github.io/Logging_0484/tillsynsmail/A 18780-2022 tillsynsbegäran mail.docx", "A 18780-2022")</f>
        <v/>
      </c>
    </row>
    <row r="57" ht="15" customHeight="1">
      <c r="A57" t="inlineStr">
        <is>
          <t>A 28269-2022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46323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Hasselticka</t>
        </is>
      </c>
      <c r="W57">
        <f>HYPERLINK("https://klasma.github.io/Logging_0484/artfynd/A 28269-2022 artfynd.xlsx", "A 28269-2022")</f>
        <v/>
      </c>
      <c r="X57">
        <f>HYPERLINK("https://klasma.github.io/Logging_0484/kartor/A 28269-2022 karta.png", "A 28269-2022")</f>
        <v/>
      </c>
      <c r="Y57">
        <f>HYPERLINK("https://klasma.github.io/Logging_0484/kartor_geotiff/A 28269-2022 georefererad karta.tif", "A 28269-2022")</f>
        <v/>
      </c>
      <c r="AA57">
        <f>HYPERLINK("https://klasma.github.io/Logging_0484/klagomål/A 28269-2022 FSC-klagomål.docx", "A 28269-2022")</f>
        <v/>
      </c>
      <c r="AB57">
        <f>HYPERLINK("https://klasma.github.io/Logging_0484/klagomålsmail/A 28269-2022 FSC-klagomål mail.docx", "A 28269-2022")</f>
        <v/>
      </c>
      <c r="AC57">
        <f>HYPERLINK("https://klasma.github.io/Logging_0484/tillsyn/A 28269-2022 tillsynsbegäran.docx", "A 28269-2022")</f>
        <v/>
      </c>
      <c r="AD57">
        <f>HYPERLINK("https://klasma.github.io/Logging_0484/tillsynsmail/A 28269-2022 tillsynsbegäran mail.docx", "A 28269-2022")</f>
        <v/>
      </c>
    </row>
    <row r="58" ht="15" customHeight="1">
      <c r="A58" t="inlineStr">
        <is>
          <t>A 3162-2022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46323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HYPERLINK("https://klasma.github.io/Logging_0484/artfynd/A 3162-2022 artfynd.xlsx", "A 3162-2022")</f>
        <v/>
      </c>
      <c r="X58">
        <f>HYPERLINK("https://klasma.github.io/Logging_0484/kartor/A 3162-2022 karta.png", "A 3162-2022")</f>
        <v/>
      </c>
      <c r="Y58">
        <f>HYPERLINK("https://klasma.github.io/Logging_0484/kartor_geotiff/A 3162-2022 georefererad karta.tif", "A 3162-2022")</f>
        <v/>
      </c>
      <c r="AA58">
        <f>HYPERLINK("https://klasma.github.io/Logging_0484/klagomål/A 3162-2022 FSC-klagomål.docx", "A 3162-2022")</f>
        <v/>
      </c>
      <c r="AB58">
        <f>HYPERLINK("https://klasma.github.io/Logging_0484/klagomålsmail/A 3162-2022 FSC-klagomål mail.docx", "A 3162-2022")</f>
        <v/>
      </c>
      <c r="AC58">
        <f>HYPERLINK("https://klasma.github.io/Logging_0484/tillsyn/A 3162-2022 tillsynsbegäran.docx", "A 3162-2022")</f>
        <v/>
      </c>
      <c r="AD58">
        <f>HYPERLINK("https://klasma.github.io/Logging_0484/tillsynsmail/A 3162-2022 tillsynsbegäran mail.docx", "A 3162-2022")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46323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12984-2024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46323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6.4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HYPERLINK("https://klasma.github.io/Logging_0484/artfynd/A 12984-2024 artfynd.xlsx", "A 12984-2024")</f>
        <v/>
      </c>
      <c r="X60">
        <f>HYPERLINK("https://klasma.github.io/Logging_0484/kartor/A 12984-2024 karta.png", "A 12984-2024")</f>
        <v/>
      </c>
      <c r="Y60">
        <f>HYPERLINK("https://klasma.github.io/Logging_0484/kartor_geotiff/A 12984-2024 georefererad karta.tif", "A 12984-2024")</f>
        <v/>
      </c>
      <c r="AA60">
        <f>HYPERLINK("https://klasma.github.io/Logging_0484/klagomål/A 12984-2024 FSC-klagomål.docx", "A 12984-2024")</f>
        <v/>
      </c>
      <c r="AB60">
        <f>HYPERLINK("https://klasma.github.io/Logging_0484/klagomålsmail/A 12984-2024 FSC-klagomål mail.docx", "A 12984-2024")</f>
        <v/>
      </c>
      <c r="AC60">
        <f>HYPERLINK("https://klasma.github.io/Logging_0484/tillsyn/A 12984-2024 tillsynsbegäran.docx", "A 12984-2024")</f>
        <v/>
      </c>
      <c r="AD60">
        <f>HYPERLINK("https://klasma.github.io/Logging_0484/tillsynsmail/A 12984-2024 tillsynsbegäran mail.docx", "A 12984-2024")</f>
        <v/>
      </c>
    </row>
    <row r="61" ht="15" customHeight="1">
      <c r="A61" t="inlineStr">
        <is>
          <t>A 53399-2023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46323</v>
      </c>
      <c r="F61" t="inlineStr">
        <is>
          <t>SÖDERMANLANDS LÄN</t>
        </is>
      </c>
      <c r="G61" t="inlineStr">
        <is>
          <t>ESKILSTUNA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HYPERLINK("https://klasma.github.io/Logging_0484/artfynd/A 53399-2023 artfynd.xlsx", "A 53399-2023")</f>
        <v/>
      </c>
      <c r="X61">
        <f>HYPERLINK("https://klasma.github.io/Logging_0484/kartor/A 53399-2023 karta.png", "A 53399-2023")</f>
        <v/>
      </c>
      <c r="Y61">
        <f>HYPERLINK("https://klasma.github.io/Logging_0484/kartor_geotiff/A 53399-2023 georefererad karta.tif", "A 53399-2023")</f>
        <v/>
      </c>
      <c r="AA61">
        <f>HYPERLINK("https://klasma.github.io/Logging_0484/klagomål/A 53399-2023 FSC-klagomål.docx", "A 53399-2023")</f>
        <v/>
      </c>
      <c r="AB61">
        <f>HYPERLINK("https://klasma.github.io/Logging_0484/klagomålsmail/A 53399-2023 FSC-klagomål mail.docx", "A 53399-2023")</f>
        <v/>
      </c>
      <c r="AC61">
        <f>HYPERLINK("https://klasma.github.io/Logging_0484/tillsyn/A 53399-2023 tillsynsbegäran.docx", "A 53399-2023")</f>
        <v/>
      </c>
      <c r="AD61">
        <f>HYPERLINK("https://klasma.github.io/Logging_0484/tillsynsmail/A 53399-2023 tillsynsbegäran mail.docx", "A 53399-2023")</f>
        <v/>
      </c>
    </row>
    <row r="62" ht="15" customHeight="1">
      <c r="A62" t="inlineStr">
        <is>
          <t>A 5203-2025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45691</v>
      </c>
      <c r="E62" s="1" t="n">
        <v>46323</v>
      </c>
      <c r="F62" t="inlineStr">
        <is>
          <t>SÖDERMANLANDS LÄN</t>
        </is>
      </c>
      <c r="G62" t="inlineStr">
        <is>
          <t>ESKILSTUNA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HYPERLINK("https://klasma.github.io/Logging_0484/artfynd/A 5203-2025 artfynd.xlsx", "A 5203-2025")</f>
        <v/>
      </c>
      <c r="X62">
        <f>HYPERLINK("https://klasma.github.io/Logging_0484/kartor/A 5203-2025 karta.png", "A 5203-2025")</f>
        <v/>
      </c>
      <c r="Y62">
        <f>HYPERLINK("https://klasma.github.io/Logging_0484/kartor_geotiff/A 5203-2025 georefererad karta.tif", "A 5203-2025")</f>
        <v/>
      </c>
      <c r="AA62">
        <f>HYPERLINK("https://klasma.github.io/Logging_0484/klagomål/A 5203-2025 FSC-klagomål.docx", "A 5203-2025")</f>
        <v/>
      </c>
      <c r="AB62">
        <f>HYPERLINK("https://klasma.github.io/Logging_0484/klagomålsmail/A 5203-2025 FSC-klagomål mail.docx", "A 5203-2025")</f>
        <v/>
      </c>
      <c r="AC62">
        <f>HYPERLINK("https://klasma.github.io/Logging_0484/tillsyn/A 5203-2025 tillsynsbegäran.docx", "A 5203-2025")</f>
        <v/>
      </c>
      <c r="AD62">
        <f>HYPERLINK("https://klasma.github.io/Logging_0484/tillsynsmail/A 5203-2025 tillsynsbegäran mail.docx", "A 5203-2025")</f>
        <v/>
      </c>
      <c r="AE62">
        <f>HYPERLINK("https://klasma.github.io/Logging_0484/fåglar/A 5203-2025 prioriterade fågelarter.docx", "A 5203-2025")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46323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26148-2022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46323</v>
      </c>
      <c r="F64" t="inlineStr">
        <is>
          <t>SÖDERMANLANDS LÄN</t>
        </is>
      </c>
      <c r="G64" t="inlineStr">
        <is>
          <t>ESKILSTUNA</t>
        </is>
      </c>
      <c r="I64" t="n">
        <v>3.3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Rödvingetrast</t>
        </is>
      </c>
      <c r="W64">
        <f>HYPERLINK("https://klasma.github.io/Logging_0484/artfynd/A 26148-2022 artfynd.xlsx", "A 26148-2022")</f>
        <v/>
      </c>
      <c r="X64">
        <f>HYPERLINK("https://klasma.github.io/Logging_0484/kartor/A 26148-2022 karta.png", "A 26148-2022")</f>
        <v/>
      </c>
      <c r="Y64">
        <f>HYPERLINK("https://klasma.github.io/Logging_0484/kartor_geotiff/A 26148-2022 georefererad karta.tif", "A 26148-2022")</f>
        <v/>
      </c>
      <c r="AA64">
        <f>HYPERLINK("https://klasma.github.io/Logging_0484/klagomål/A 26148-2022 FSC-klagomål.docx", "A 26148-2022")</f>
        <v/>
      </c>
      <c r="AB64">
        <f>HYPERLINK("https://klasma.github.io/Logging_0484/klagomålsmail/A 26148-2022 FSC-klagomål mail.docx", "A 26148-2022")</f>
        <v/>
      </c>
      <c r="AC64">
        <f>HYPERLINK("https://klasma.github.io/Logging_0484/tillsyn/A 26148-2022 tillsynsbegäran.docx", "A 26148-2022")</f>
        <v/>
      </c>
      <c r="AD64">
        <f>HYPERLINK("https://klasma.github.io/Logging_0484/tillsynsmail/A 26148-2022 tillsynsbegäran mail.docx", "A 26148-2022")</f>
        <v/>
      </c>
      <c r="AE64">
        <f>HYPERLINK("https://klasma.github.io/Logging_0484/fåglar/A 26148-2022 prioriterade fågelarter.docx", "A 26148-2022")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46323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59070-2022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44904</v>
      </c>
      <c r="E66" s="1" t="n">
        <v>46323</v>
      </c>
      <c r="F66" t="inlineStr">
        <is>
          <t>SÖDERMANLANDS LÄN</t>
        </is>
      </c>
      <c r="G66" t="inlineStr">
        <is>
          <t>ESKILSTUNA</t>
        </is>
      </c>
      <c r="I66" t="n">
        <v>6.6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HYPERLINK("https://klasma.github.io/Logging_0484/artfynd/A 59070-2022 artfynd.xlsx", "A 59070-2022")</f>
        <v/>
      </c>
      <c r="X66">
        <f>HYPERLINK("https://klasma.github.io/Logging_0484/kartor/A 59070-2022 karta.png", "A 59070-2022")</f>
        <v/>
      </c>
      <c r="Y66">
        <f>HYPERLINK("https://klasma.github.io/Logging_0484/kartor_geotiff/A 59070-2022 georefererad karta.tif", "A 59070-2022")</f>
        <v/>
      </c>
      <c r="AA66">
        <f>HYPERLINK("https://klasma.github.io/Logging_0484/klagomål/A 59070-2022 FSC-klagomål.docx", "A 59070-2022")</f>
        <v/>
      </c>
      <c r="AB66">
        <f>HYPERLINK("https://klasma.github.io/Logging_0484/klagomålsmail/A 59070-2022 FSC-klagomål mail.docx", "A 59070-2022")</f>
        <v/>
      </c>
      <c r="AC66">
        <f>HYPERLINK("https://klasma.github.io/Logging_0484/tillsyn/A 59070-2022 tillsynsbegäran.docx", "A 59070-2022")</f>
        <v/>
      </c>
      <c r="AD66">
        <f>HYPERLINK("https://klasma.github.io/Logging_0484/tillsynsmail/A 59070-2022 tillsynsbegäran mail.docx", "A 59070-2022")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46323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46323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68018-2021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46323</v>
      </c>
      <c r="F69" t="inlineStr">
        <is>
          <t>SÖDERMANLANDS LÄN</t>
        </is>
      </c>
      <c r="G69" t="inlineStr">
        <is>
          <t>ESKILSTUNA</t>
        </is>
      </c>
      <c r="I69" t="n">
        <v>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Motaggsvamp</t>
        </is>
      </c>
      <c r="W69">
        <f>HYPERLINK("https://klasma.github.io/Logging_0484/artfynd/A 68018-2021 artfynd.xlsx", "A 68018-2021")</f>
        <v/>
      </c>
      <c r="X69">
        <f>HYPERLINK("https://klasma.github.io/Logging_0484/kartor/A 68018-2021 karta.png", "A 68018-2021")</f>
        <v/>
      </c>
      <c r="Y69">
        <f>HYPERLINK("https://klasma.github.io/Logging_0484/kartor_geotiff/A 68018-2021 georefererad karta.tif", "A 68018-2021")</f>
        <v/>
      </c>
      <c r="AA69">
        <f>HYPERLINK("https://klasma.github.io/Logging_0484/klagomål/A 68018-2021 FSC-klagomål.docx", "A 68018-2021")</f>
        <v/>
      </c>
      <c r="AB69">
        <f>HYPERLINK("https://klasma.github.io/Logging_0484/klagomålsmail/A 68018-2021 FSC-klagomål mail.docx", "A 68018-2021")</f>
        <v/>
      </c>
      <c r="AC69">
        <f>HYPERLINK("https://klasma.github.io/Logging_0484/tillsyn/A 68018-2021 tillsynsbegäran.docx", "A 68018-2021")</f>
        <v/>
      </c>
      <c r="AD69">
        <f>HYPERLINK("https://klasma.github.io/Logging_0484/tillsynsmail/A 68018-2021 tillsynsbegäran mail.docx", "A 68018-2021")</f>
        <v/>
      </c>
    </row>
    <row r="70" ht="15" customHeight="1">
      <c r="A70" t="inlineStr">
        <is>
          <t>A 51345-2024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45603</v>
      </c>
      <c r="E70" s="1" t="n">
        <v>46323</v>
      </c>
      <c r="F70" t="inlineStr">
        <is>
          <t>SÖDERMANLANDS LÄN</t>
        </is>
      </c>
      <c r="G70" t="inlineStr">
        <is>
          <t>ESKILSTUNA</t>
        </is>
      </c>
      <c r="I70" t="n">
        <v>4.9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Revlummer</t>
        </is>
      </c>
      <c r="W70">
        <f>HYPERLINK("https://klasma.github.io/Logging_0484/artfynd/A 51345-2024 artfynd.xlsx", "A 51345-2024")</f>
        <v/>
      </c>
      <c r="X70">
        <f>HYPERLINK("https://klasma.github.io/Logging_0484/kartor/A 51345-2024 karta.png", "A 51345-2024")</f>
        <v/>
      </c>
      <c r="Y70">
        <f>HYPERLINK("https://klasma.github.io/Logging_0484/kartor_geotiff/A 51345-2024 georefererad karta.tif", "A 51345-2024")</f>
        <v/>
      </c>
      <c r="AA70">
        <f>HYPERLINK("https://klasma.github.io/Logging_0484/klagomål/A 51345-2024 FSC-klagomål.docx", "A 51345-2024")</f>
        <v/>
      </c>
      <c r="AB70">
        <f>HYPERLINK("https://klasma.github.io/Logging_0484/klagomålsmail/A 51345-2024 FSC-klagomål mail.docx", "A 51345-2024")</f>
        <v/>
      </c>
      <c r="AC70">
        <f>HYPERLINK("https://klasma.github.io/Logging_0484/tillsyn/A 51345-2024 tillsynsbegäran.docx", "A 51345-2024")</f>
        <v/>
      </c>
      <c r="AD70">
        <f>HYPERLINK("https://klasma.github.io/Logging_0484/tillsynsmail/A 51345-2024 tillsynsbegäran mail.docx", "A 51345-2024")</f>
        <v/>
      </c>
    </row>
    <row r="71" ht="15" customHeight="1">
      <c r="A71" t="inlineStr">
        <is>
          <t>A 2512-2025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45674</v>
      </c>
      <c r="E71" s="1" t="n">
        <v>46323</v>
      </c>
      <c r="F71" t="inlineStr">
        <is>
          <t>SÖDERMANLANDS LÄN</t>
        </is>
      </c>
      <c r="G71" t="inlineStr">
        <is>
          <t>ESKILSTUNA</t>
        </is>
      </c>
      <c r="I71" t="n">
        <v>3.9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HYPERLINK("https://klasma.github.io/Logging_0484/artfynd/A 2512-2025 artfynd.xlsx", "A 2512-2025")</f>
        <v/>
      </c>
      <c r="X71">
        <f>HYPERLINK("https://klasma.github.io/Logging_0484/kartor/A 2512-2025 karta.png", "A 2512-2025")</f>
        <v/>
      </c>
      <c r="Y71">
        <f>HYPERLINK("https://klasma.github.io/Logging_0484/kartor_geotiff/A 2512-2025 georefererad karta.tif", "A 2512-2025")</f>
        <v/>
      </c>
      <c r="AA71">
        <f>HYPERLINK("https://klasma.github.io/Logging_0484/klagomål/A 2512-2025 FSC-klagomål.docx", "A 2512-2025")</f>
        <v/>
      </c>
      <c r="AB71">
        <f>HYPERLINK("https://klasma.github.io/Logging_0484/klagomålsmail/A 2512-2025 FSC-klagomål mail.docx", "A 2512-2025")</f>
        <v/>
      </c>
      <c r="AC71">
        <f>HYPERLINK("https://klasma.github.io/Logging_0484/tillsyn/A 2512-2025 tillsynsbegäran.docx", "A 2512-2025")</f>
        <v/>
      </c>
      <c r="AD71">
        <f>HYPERLINK("https://klasma.github.io/Logging_0484/tillsynsmail/A 2512-2025 tillsynsbegäran mail.docx", "A 2512-2025")</f>
        <v/>
      </c>
    </row>
    <row r="72" ht="15" customHeight="1">
      <c r="A72" t="inlineStr">
        <is>
          <t>A 29647-2023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45107</v>
      </c>
      <c r="E72" s="1" t="n">
        <v>46323</v>
      </c>
      <c r="F72" t="inlineStr">
        <is>
          <t>SÖDERMANLANDS LÄN</t>
        </is>
      </c>
      <c r="G72" t="inlineStr">
        <is>
          <t>ESKILSTUNA</t>
        </is>
      </c>
      <c r="H72" t="inlineStr">
        <is>
          <t>Allmännings- och besparingsskogar</t>
        </is>
      </c>
      <c r="I72" t="n">
        <v>0.9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Rödvingetrast</t>
        </is>
      </c>
      <c r="W72">
        <f>HYPERLINK("https://klasma.github.io/Logging_0484/artfynd/A 29647-2023 artfynd.xlsx", "A 29647-2023")</f>
        <v/>
      </c>
      <c r="X72">
        <f>HYPERLINK("https://klasma.github.io/Logging_0484/kartor/A 29647-2023 karta.png", "A 29647-2023")</f>
        <v/>
      </c>
      <c r="Y72">
        <f>HYPERLINK("https://klasma.github.io/Logging_0484/kartor_geotiff/A 29647-2023 georefererad karta.tif", "A 29647-2023")</f>
        <v/>
      </c>
      <c r="AA72">
        <f>HYPERLINK("https://klasma.github.io/Logging_0484/klagomål/A 29647-2023 FSC-klagomål.docx", "A 29647-2023")</f>
        <v/>
      </c>
      <c r="AB72">
        <f>HYPERLINK("https://klasma.github.io/Logging_0484/klagomålsmail/A 29647-2023 FSC-klagomål mail.docx", "A 29647-2023")</f>
        <v/>
      </c>
      <c r="AC72">
        <f>HYPERLINK("https://klasma.github.io/Logging_0484/tillsyn/A 29647-2023 tillsynsbegäran.docx", "A 29647-2023")</f>
        <v/>
      </c>
      <c r="AD72">
        <f>HYPERLINK("https://klasma.github.io/Logging_0484/tillsynsmail/A 29647-2023 tillsynsbegäran mail.docx", "A 29647-2023")</f>
        <v/>
      </c>
      <c r="AE72">
        <f>HYPERLINK("https://klasma.github.io/Logging_0484/fåglar/A 29647-2023 prioriterade fågelarter.docx", "A 29647-2023")</f>
        <v/>
      </c>
    </row>
    <row r="73" ht="15" customHeight="1">
      <c r="A73" t="inlineStr">
        <is>
          <t>A 29047-2026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46199</v>
      </c>
      <c r="E73" s="1" t="n">
        <v>46323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0.4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Kandelabersvamp</t>
        </is>
      </c>
      <c r="W73">
        <f>HYPERLINK("https://klasma.github.io/Logging_0484/artfynd/A 29047-2026 artfynd.xlsx", "A 29047-2026")</f>
        <v/>
      </c>
      <c r="X73">
        <f>HYPERLINK("https://klasma.github.io/Logging_0484/kartor/A 29047-2026 karta.png", "A 29047-2026")</f>
        <v/>
      </c>
      <c r="Y73">
        <f>HYPERLINK("https://klasma.github.io/Logging_0484/kartor_geotiff/A 29047-2026 georefererad karta.tif", "A 29047-2026")</f>
        <v/>
      </c>
      <c r="AA73">
        <f>HYPERLINK("https://klasma.github.io/Logging_0484/klagomål/A 29047-2026 FSC-klagomål.docx", "A 29047-2026")</f>
        <v/>
      </c>
      <c r="AB73">
        <f>HYPERLINK("https://klasma.github.io/Logging_0484/klagomålsmail/A 29047-2026 FSC-klagomål mail.docx", "A 29047-2026")</f>
        <v/>
      </c>
      <c r="AC73">
        <f>HYPERLINK("https://klasma.github.io/Logging_0484/tillsyn/A 29047-2026 tillsynsbegäran.docx", "A 29047-2026")</f>
        <v/>
      </c>
      <c r="AD73">
        <f>HYPERLINK("https://klasma.github.io/Logging_0484/tillsynsmail/A 29047-2026 tillsynsbegäran mail.docx", "A 29047-2026")</f>
        <v/>
      </c>
    </row>
    <row r="74" ht="15" customHeight="1">
      <c r="A74" t="inlineStr">
        <is>
          <t>A 30975-2023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46323</v>
      </c>
      <c r="F74" t="inlineStr">
        <is>
          <t>SÖDERMANLANDS LÄN</t>
        </is>
      </c>
      <c r="G74" t="inlineStr">
        <is>
          <t>ESKILSTUNA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Bombmurkla</t>
        </is>
      </c>
      <c r="W74">
        <f>HYPERLINK("https://klasma.github.io/Logging_0484/artfynd/A 30975-2023 artfynd.xlsx", "A 30975-2023")</f>
        <v/>
      </c>
      <c r="X74">
        <f>HYPERLINK("https://klasma.github.io/Logging_0484/kartor/A 30975-2023 karta.png", "A 30975-2023")</f>
        <v/>
      </c>
      <c r="Y74">
        <f>HYPERLINK("https://klasma.github.io/Logging_0484/kartor_geotiff/A 30975-2023 georefererad karta.tif", "A 30975-2023")</f>
        <v/>
      </c>
      <c r="AA74">
        <f>HYPERLINK("https://klasma.github.io/Logging_0484/klagomål/A 30975-2023 FSC-klagomål.docx", "A 30975-2023")</f>
        <v/>
      </c>
      <c r="AB74">
        <f>HYPERLINK("https://klasma.github.io/Logging_0484/klagomålsmail/A 30975-2023 FSC-klagomål mail.docx", "A 30975-2023")</f>
        <v/>
      </c>
      <c r="AC74">
        <f>HYPERLINK("https://klasma.github.io/Logging_0484/tillsyn/A 30975-2023 tillsynsbegäran.docx", "A 30975-2023")</f>
        <v/>
      </c>
      <c r="AD74">
        <f>HYPERLINK("https://klasma.github.io/Logging_0484/tillsynsmail/A 30975-2023 tillsynsbegäran mail.docx", "A 30975-2023")</f>
        <v/>
      </c>
    </row>
    <row r="75" ht="15" customHeight="1">
      <c r="A75" t="inlineStr">
        <is>
          <t>A 8518-2026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46065</v>
      </c>
      <c r="E75" s="1" t="n">
        <v>46323</v>
      </c>
      <c r="F75" t="inlineStr">
        <is>
          <t>SÖDERMANLANDS LÄN</t>
        </is>
      </c>
      <c r="G75" t="inlineStr">
        <is>
          <t>ESKILSTUNA</t>
        </is>
      </c>
      <c r="I75" t="n">
        <v>8.9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HYPERLINK("https://klasma.github.io/Logging_0484/artfynd/A 8518-2026 artfynd.xlsx", "A 8518-2026")</f>
        <v/>
      </c>
      <c r="X75">
        <f>HYPERLINK("https://klasma.github.io/Logging_0484/kartor/A 8518-2026 karta.png", "A 8518-2026")</f>
        <v/>
      </c>
      <c r="Y75">
        <f>HYPERLINK("https://klasma.github.io/Logging_0484/kartor_geotiff/A 8518-2026 georefererad karta.tif", "A 8518-2026")</f>
        <v/>
      </c>
      <c r="AA75">
        <f>HYPERLINK("https://klasma.github.io/Logging_0484/klagomål/A 8518-2026 FSC-klagomål.docx", "A 8518-2026")</f>
        <v/>
      </c>
      <c r="AB75">
        <f>HYPERLINK("https://klasma.github.io/Logging_0484/klagomålsmail/A 8518-2026 FSC-klagomål mail.docx", "A 8518-2026")</f>
        <v/>
      </c>
      <c r="AC75">
        <f>HYPERLINK("https://klasma.github.io/Logging_0484/tillsyn/A 8518-2026 tillsynsbegäran.docx", "A 8518-2026")</f>
        <v/>
      </c>
      <c r="AD75">
        <f>HYPERLINK("https://klasma.github.io/Logging_0484/tillsynsmail/A 8518-2026 tillsynsbegäran mail.docx", "A 8518-2026")</f>
        <v/>
      </c>
    </row>
    <row r="76" ht="15" customHeight="1">
      <c r="A76" t="inlineStr">
        <is>
          <t>A 50760-2023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45217</v>
      </c>
      <c r="E76" s="1" t="n">
        <v>46323</v>
      </c>
      <c r="F76" t="inlineStr">
        <is>
          <t>SÖDERMANLANDS LÄN</t>
        </is>
      </c>
      <c r="G76" t="inlineStr">
        <is>
          <t>ESKILSTUNA</t>
        </is>
      </c>
      <c r="I76" t="n">
        <v>4.1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Pärluggla</t>
        </is>
      </c>
      <c r="W76">
        <f>HYPERLINK("https://klasma.github.io/Logging_0484/artfynd/A 50760-2023 artfynd.xlsx", "A 50760-2023")</f>
        <v/>
      </c>
      <c r="X76">
        <f>HYPERLINK("https://klasma.github.io/Logging_0484/kartor/A 50760-2023 karta.png", "A 50760-2023")</f>
        <v/>
      </c>
      <c r="Y76">
        <f>HYPERLINK("https://klasma.github.io/Logging_0484/kartor_geotiff/A 50760-2023 georefererad karta.tif", "A 50760-2023")</f>
        <v/>
      </c>
      <c r="AA76">
        <f>HYPERLINK("https://klasma.github.io/Logging_0484/klagomål/A 50760-2023 FSC-klagomål.docx", "A 50760-2023")</f>
        <v/>
      </c>
      <c r="AB76">
        <f>HYPERLINK("https://klasma.github.io/Logging_0484/klagomålsmail/A 50760-2023 FSC-klagomål mail.docx", "A 50760-2023")</f>
        <v/>
      </c>
      <c r="AC76">
        <f>HYPERLINK("https://klasma.github.io/Logging_0484/tillsyn/A 50760-2023 tillsynsbegäran.docx", "A 50760-2023")</f>
        <v/>
      </c>
      <c r="AD76">
        <f>HYPERLINK("https://klasma.github.io/Logging_0484/tillsynsmail/A 50760-2023 tillsynsbegäran mail.docx", "A 50760-2023")</f>
        <v/>
      </c>
      <c r="AE76">
        <f>HYPERLINK("https://klasma.github.io/Logging_0484/fåglar/A 50760-2023 prioriterade fågelarter.docx", "A 50760-2023")</f>
        <v/>
      </c>
    </row>
    <row r="77" ht="15" customHeight="1">
      <c r="A77" t="inlineStr">
        <is>
          <t>A 39011-2026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46287</v>
      </c>
      <c r="E77" s="1" t="n">
        <v>46323</v>
      </c>
      <c r="F77" t="inlineStr">
        <is>
          <t>SÖDERMANLANDS LÄN</t>
        </is>
      </c>
      <c r="G77" t="inlineStr">
        <is>
          <t>ESKILSTUNA</t>
        </is>
      </c>
      <c r="I77" t="n">
        <v>10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Blåsippa</t>
        </is>
      </c>
      <c r="W77">
        <f>HYPERLINK("https://klasma.github.io/Logging_0484/artfynd/A 39011-2026 artfynd.xlsx", "A 39011-2026")</f>
        <v/>
      </c>
      <c r="X77">
        <f>HYPERLINK("https://klasma.github.io/Logging_0484/kartor/A 39011-2026 karta.png", "A 39011-2026")</f>
        <v/>
      </c>
      <c r="Y77">
        <f>HYPERLINK("https://klasma.github.io/Logging_0484/kartor_geotiff/A 39011-2026 georefererad karta.tif", "A 39011-2026")</f>
        <v/>
      </c>
      <c r="AA77">
        <f>HYPERLINK("https://klasma.github.io/Logging_0484/klagomål/A 39011-2026 FSC-klagomål.docx", "A 39011-2026")</f>
        <v/>
      </c>
      <c r="AB77">
        <f>HYPERLINK("https://klasma.github.io/Logging_0484/klagomålsmail/A 39011-2026 FSC-klagomål mail.docx", "A 39011-2026")</f>
        <v/>
      </c>
      <c r="AC77">
        <f>HYPERLINK("https://klasma.github.io/Logging_0484/tillsyn/A 39011-2026 tillsynsbegäran.docx", "A 39011-2026")</f>
        <v/>
      </c>
      <c r="AD77">
        <f>HYPERLINK("https://klasma.github.io/Logging_0484/tillsynsmail/A 39011-2026 tillsynsbegäran mail.docx", "A 39011-2026")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46323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HYPERLINK("https://klasma.github.io/Logging_0484/artfynd/A 55087-2022 artfynd.xlsx", "A 55087-2022")</f>
        <v/>
      </c>
      <c r="X78">
        <f>HYPERLINK("https://klasma.github.io/Logging_0484/kartor/A 55087-2022 karta.png", "A 55087-2022")</f>
        <v/>
      </c>
      <c r="Y78">
        <f>HYPERLINK("https://klasma.github.io/Logging_0484/kartor_geotiff/A 55087-2022 georefererad karta.tif", "A 55087-2022")</f>
        <v/>
      </c>
      <c r="AA78">
        <f>HYPERLINK("https://klasma.github.io/Logging_0484/klagomål/A 55087-2022 FSC-klagomål.docx", "A 55087-2022")</f>
        <v/>
      </c>
      <c r="AB78">
        <f>HYPERLINK("https://klasma.github.io/Logging_0484/klagomålsmail/A 55087-2022 FSC-klagomål mail.docx", "A 55087-2022")</f>
        <v/>
      </c>
      <c r="AC78">
        <f>HYPERLINK("https://klasma.github.io/Logging_0484/tillsyn/A 55087-2022 tillsynsbegäran.docx", "A 55087-2022")</f>
        <v/>
      </c>
      <c r="AD78">
        <f>HYPERLINK("https://klasma.github.io/Logging_0484/tillsynsmail/A 55087-2022 tillsynsbegäran mail.docx", "A 55087-2022")</f>
        <v/>
      </c>
      <c r="AE78">
        <f>HYPERLINK("https://klasma.github.io/Logging_0484/fåglar/A 55087-2022 prioriterade fågelarter.docx", "A 55087-2022")</f>
        <v/>
      </c>
    </row>
    <row r="79" ht="15" customHeight="1">
      <c r="A79" t="inlineStr">
        <is>
          <t>A 71976-2021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46323</v>
      </c>
      <c r="F79" t="inlineStr">
        <is>
          <t>SÖDERMANLANDS LÄN</t>
        </is>
      </c>
      <c r="G79" t="inlineStr">
        <is>
          <t>ESKILSTUNA</t>
        </is>
      </c>
      <c r="I79" t="n">
        <v>19.6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Jungfrulin</t>
        </is>
      </c>
      <c r="W79">
        <f>HYPERLINK("https://klasma.github.io/Logging_0484/artfynd/A 71976-2021 artfynd.xlsx", "A 71976-2021")</f>
        <v/>
      </c>
      <c r="X79">
        <f>HYPERLINK("https://klasma.github.io/Logging_0484/kartor/A 71976-2021 karta.png", "A 71976-2021")</f>
        <v/>
      </c>
      <c r="Y79">
        <f>HYPERLINK("https://klasma.github.io/Logging_0484/kartor_geotiff/A 71976-2021 georefererad karta.tif", "A 71976-2021")</f>
        <v/>
      </c>
      <c r="AA79">
        <f>HYPERLINK("https://klasma.github.io/Logging_0484/klagomål/A 71976-2021 FSC-klagomål.docx", "A 71976-2021")</f>
        <v/>
      </c>
      <c r="AB79">
        <f>HYPERLINK("https://klasma.github.io/Logging_0484/klagomålsmail/A 71976-2021 FSC-klagomål mail.docx", "A 71976-2021")</f>
        <v/>
      </c>
      <c r="AC79">
        <f>HYPERLINK("https://klasma.github.io/Logging_0484/tillsyn/A 71976-2021 tillsynsbegäran.docx", "A 71976-2021")</f>
        <v/>
      </c>
      <c r="AD79">
        <f>HYPERLINK("https://klasma.github.io/Logging_0484/tillsynsmail/A 71976-2021 tillsynsbegäran mail.docx", "A 71976-2021")</f>
        <v/>
      </c>
    </row>
    <row r="80" ht="15" customHeight="1">
      <c r="A80" t="inlineStr">
        <is>
          <t>A 15608-2026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46323</v>
      </c>
      <c r="F80" t="inlineStr">
        <is>
          <t>SÖDERMANLANDS LÄN</t>
        </is>
      </c>
      <c r="G80" t="inlineStr">
        <is>
          <t>ESKILSTUNA</t>
        </is>
      </c>
      <c r="I80" t="n">
        <v>9.6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15608-2026 artfynd.xlsx", "A 15608-2026")</f>
        <v/>
      </c>
      <c r="X80">
        <f>HYPERLINK("https://klasma.github.io/Logging_0484/kartor/A 15608-2026 karta.png", "A 15608-2026")</f>
        <v/>
      </c>
      <c r="Y80">
        <f>HYPERLINK("https://klasma.github.io/Logging_0484/kartor_geotiff/A 15608-2026 georefererad karta.tif", "A 15608-2026")</f>
        <v/>
      </c>
      <c r="AA80">
        <f>HYPERLINK("https://klasma.github.io/Logging_0484/klagomål/A 15608-2026 FSC-klagomål.docx", "A 15608-2026")</f>
        <v/>
      </c>
      <c r="AB80">
        <f>HYPERLINK("https://klasma.github.io/Logging_0484/klagomålsmail/A 15608-2026 FSC-klagomål mail.docx", "A 15608-2026")</f>
        <v/>
      </c>
      <c r="AC80">
        <f>HYPERLINK("https://klasma.github.io/Logging_0484/tillsyn/A 15608-2026 tillsynsbegäran.docx", "A 15608-2026")</f>
        <v/>
      </c>
      <c r="AD80">
        <f>HYPERLINK("https://klasma.github.io/Logging_0484/tillsynsmail/A 15608-2026 tillsynsbegäran mail.docx", "A 15608-2026")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46323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38361-2024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45545</v>
      </c>
      <c r="E82" s="1" t="n">
        <v>46323</v>
      </c>
      <c r="F82" t="inlineStr">
        <is>
          <t>SÖDERMANLANDS LÄN</t>
        </is>
      </c>
      <c r="G82" t="inlineStr">
        <is>
          <t>ESKILSTUNA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Spillkråka</t>
        </is>
      </c>
      <c r="W82">
        <f>HYPERLINK("https://klasma.github.io/Logging_0484/artfynd/A 38361-2024 artfynd.xlsx", "A 38361-2024")</f>
        <v/>
      </c>
      <c r="X82">
        <f>HYPERLINK("https://klasma.github.io/Logging_0484/kartor/A 38361-2024 karta.png", "A 38361-2024")</f>
        <v/>
      </c>
      <c r="Y82">
        <f>HYPERLINK("https://klasma.github.io/Logging_0484/kartor_geotiff/A 38361-2024 georefererad karta.tif", "A 38361-2024")</f>
        <v/>
      </c>
      <c r="AA82">
        <f>HYPERLINK("https://klasma.github.io/Logging_0484/klagomål/A 38361-2024 FSC-klagomål.docx", "A 38361-2024")</f>
        <v/>
      </c>
      <c r="AB82">
        <f>HYPERLINK("https://klasma.github.io/Logging_0484/klagomålsmail/A 38361-2024 FSC-klagomål mail.docx", "A 38361-2024")</f>
        <v/>
      </c>
      <c r="AC82">
        <f>HYPERLINK("https://klasma.github.io/Logging_0484/tillsyn/A 38361-2024 tillsynsbegäran.docx", "A 38361-2024")</f>
        <v/>
      </c>
      <c r="AD82">
        <f>HYPERLINK("https://klasma.github.io/Logging_0484/tillsynsmail/A 38361-2024 tillsynsbegäran mail.docx", "A 38361-2024")</f>
        <v/>
      </c>
      <c r="AE82">
        <f>HYPERLINK("https://klasma.github.io/Logging_0484/fåglar/A 38361-2024 prioriterade fågelarter.docx", "A 38361-2024")</f>
        <v/>
      </c>
    </row>
    <row r="83" ht="15" customHeight="1">
      <c r="A83" t="inlineStr">
        <is>
          <t>A 23637-2023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45077</v>
      </c>
      <c r="E83" s="1" t="n">
        <v>46323</v>
      </c>
      <c r="F83" t="inlineStr">
        <is>
          <t>SÖDERMANLANDS LÄN</t>
        </is>
      </c>
      <c r="G83" t="inlineStr">
        <is>
          <t>ESKILSTUNA</t>
        </is>
      </c>
      <c r="I83" t="n">
        <v>15.8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Violett fingersvamp</t>
        </is>
      </c>
      <c r="W83">
        <f>HYPERLINK("https://klasma.github.io/Logging_0484/artfynd/A 23637-2023 artfynd.xlsx", "A 23637-2023")</f>
        <v/>
      </c>
      <c r="X83">
        <f>HYPERLINK("https://klasma.github.io/Logging_0484/kartor/A 23637-2023 karta.png", "A 23637-2023")</f>
        <v/>
      </c>
      <c r="Y83">
        <f>HYPERLINK("https://klasma.github.io/Logging_0484/kartor_geotiff/A 23637-2023 georefererad karta.tif", "A 23637-2023")</f>
        <v/>
      </c>
      <c r="AA83">
        <f>HYPERLINK("https://klasma.github.io/Logging_0484/klagomål/A 23637-2023 FSC-klagomål.docx", "A 23637-2023")</f>
        <v/>
      </c>
      <c r="AB83">
        <f>HYPERLINK("https://klasma.github.io/Logging_0484/klagomålsmail/A 23637-2023 FSC-klagomål mail.docx", "A 23637-2023")</f>
        <v/>
      </c>
      <c r="AC83">
        <f>HYPERLINK("https://klasma.github.io/Logging_0484/tillsyn/A 23637-2023 tillsynsbegäran.docx", "A 23637-2023")</f>
        <v/>
      </c>
      <c r="AD83">
        <f>HYPERLINK("https://klasma.github.io/Logging_0484/tillsynsmail/A 23637-2023 tillsynsbegäran mail.docx", "A 23637-2023")</f>
        <v/>
      </c>
    </row>
    <row r="84" ht="15" customHeight="1">
      <c r="A84" t="inlineStr">
        <is>
          <t>A 14327-2023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45012</v>
      </c>
      <c r="E84" s="1" t="n">
        <v>46323</v>
      </c>
      <c r="F84" t="inlineStr">
        <is>
          <t>SÖDERMANLANDS LÄN</t>
        </is>
      </c>
      <c r="G84" t="inlineStr">
        <is>
          <t>ESKILSTUNA</t>
        </is>
      </c>
      <c r="H84" t="inlineStr">
        <is>
          <t>Kommuner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HYPERLINK("https://klasma.github.io/Logging_0484/artfynd/A 14327-2023 artfynd.xlsx", "A 14327-2023")</f>
        <v/>
      </c>
      <c r="X84">
        <f>HYPERLINK("https://klasma.github.io/Logging_0484/kartor/A 14327-2023 karta.png", "A 14327-2023")</f>
        <v/>
      </c>
      <c r="Y84">
        <f>HYPERLINK("https://klasma.github.io/Logging_0484/kartor_geotiff/A 14327-2023 georefererad karta.tif", "A 14327-2023")</f>
        <v/>
      </c>
      <c r="AA84">
        <f>HYPERLINK("https://klasma.github.io/Logging_0484/klagomål/A 14327-2023 FSC-klagomål.docx", "A 14327-2023")</f>
        <v/>
      </c>
      <c r="AB84">
        <f>HYPERLINK("https://klasma.github.io/Logging_0484/klagomålsmail/A 14327-2023 FSC-klagomål mail.docx", "A 14327-2023")</f>
        <v/>
      </c>
      <c r="AC84">
        <f>HYPERLINK("https://klasma.github.io/Logging_0484/tillsyn/A 14327-2023 tillsynsbegäran.docx", "A 14327-2023")</f>
        <v/>
      </c>
      <c r="AD84">
        <f>HYPERLINK("https://klasma.github.io/Logging_0484/tillsynsmail/A 14327-2023 tillsynsbegäran mail.docx", "A 14327-2023")</f>
        <v/>
      </c>
    </row>
    <row r="85" ht="15" customHeight="1">
      <c r="A85" t="inlineStr">
        <is>
          <t>A 31056-2025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46323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Skogsklocka</t>
        </is>
      </c>
      <c r="W85">
        <f>HYPERLINK("https://klasma.github.io/Logging_0484/artfynd/A 31056-2025 artfynd.xlsx", "A 31056-2025")</f>
        <v/>
      </c>
      <c r="X85">
        <f>HYPERLINK("https://klasma.github.io/Logging_0484/kartor/A 31056-2025 karta.png", "A 31056-2025")</f>
        <v/>
      </c>
      <c r="Y85">
        <f>HYPERLINK("https://klasma.github.io/Logging_0484/kartor_geotiff/A 31056-2025 georefererad karta.tif", "A 31056-2025")</f>
        <v/>
      </c>
      <c r="AA85">
        <f>HYPERLINK("https://klasma.github.io/Logging_0484/klagomål/A 31056-2025 FSC-klagomål.docx", "A 31056-2025")</f>
        <v/>
      </c>
      <c r="AB85">
        <f>HYPERLINK("https://klasma.github.io/Logging_0484/klagomålsmail/A 31056-2025 FSC-klagomål mail.docx", "A 31056-2025")</f>
        <v/>
      </c>
      <c r="AC85">
        <f>HYPERLINK("https://klasma.github.io/Logging_0484/tillsyn/A 31056-2025 tillsynsbegäran.docx", "A 31056-2025")</f>
        <v/>
      </c>
      <c r="AD85">
        <f>HYPERLINK("https://klasma.github.io/Logging_0484/tillsynsmail/A 31056-2025 tillsynsbegäran mail.docx", "A 31056-2025")</f>
        <v/>
      </c>
    </row>
    <row r="86" ht="15" customHeight="1">
      <c r="A86" t="inlineStr">
        <is>
          <t>A 40600-2026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46294</v>
      </c>
      <c r="E86" s="1" t="n">
        <v>46323</v>
      </c>
      <c r="F86" t="inlineStr">
        <is>
          <t>SÖDERMANLANDS LÄN</t>
        </is>
      </c>
      <c r="G86" t="inlineStr">
        <is>
          <t>ESKILSTUNA</t>
        </is>
      </c>
      <c r="I86" t="n">
        <v>10.1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Spillkråka</t>
        </is>
      </c>
      <c r="W86">
        <f>HYPERLINK("https://klasma.github.io/Logging_0484/artfynd/A 40600-2026 artfynd.xlsx", "A 40600-2026")</f>
        <v/>
      </c>
      <c r="X86">
        <f>HYPERLINK("https://klasma.github.io/Logging_0484/kartor/A 40600-2026 karta.png", "A 40600-2026")</f>
        <v/>
      </c>
      <c r="Y86">
        <f>HYPERLINK("https://klasma.github.io/Logging_0484/kartor_geotiff/A 40600-2026 georefererad karta.tif", "A 40600-2026")</f>
        <v/>
      </c>
      <c r="AA86">
        <f>HYPERLINK("https://klasma.github.io/Logging_0484/klagomål/A 40600-2026 FSC-klagomål.docx", "A 40600-2026")</f>
        <v/>
      </c>
      <c r="AB86">
        <f>HYPERLINK("https://klasma.github.io/Logging_0484/klagomålsmail/A 40600-2026 FSC-klagomål mail.docx", "A 40600-2026")</f>
        <v/>
      </c>
      <c r="AC86">
        <f>HYPERLINK("https://klasma.github.io/Logging_0484/tillsyn/A 40600-2026 tillsynsbegäran.docx", "A 40600-2026")</f>
        <v/>
      </c>
      <c r="AD86">
        <f>HYPERLINK("https://klasma.github.io/Logging_0484/tillsynsmail/A 40600-2026 tillsynsbegäran mail.docx", "A 40600-2026")</f>
        <v/>
      </c>
      <c r="AE86">
        <f>HYPERLINK("https://klasma.github.io/Logging_0484/fåglar/A 40600-2026 prioriterade fågelarter.docx", "A 40600-2026")</f>
        <v/>
      </c>
    </row>
    <row r="87" ht="15" customHeight="1">
      <c r="A87" t="inlineStr">
        <is>
          <t>A 36216-2025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45867</v>
      </c>
      <c r="E87" s="1" t="n">
        <v>46323</v>
      </c>
      <c r="F87" t="inlineStr">
        <is>
          <t>SÖDERMANLANDS LÄN</t>
        </is>
      </c>
      <c r="G87" t="inlineStr">
        <is>
          <t>ESKILSTUNA</t>
        </is>
      </c>
      <c r="I87" t="n">
        <v>18.7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Blomkålssvamp</t>
        </is>
      </c>
      <c r="W87">
        <f>HYPERLINK("https://klasma.github.io/Logging_0484/artfynd/A 36216-2025 artfynd.xlsx", "A 36216-2025")</f>
        <v/>
      </c>
      <c r="X87">
        <f>HYPERLINK("https://klasma.github.io/Logging_0484/kartor/A 36216-2025 karta.png", "A 36216-2025")</f>
        <v/>
      </c>
      <c r="Y87">
        <f>HYPERLINK("https://klasma.github.io/Logging_0484/kartor_geotiff/A 36216-2025 georefererad karta.tif", "A 36216-2025")</f>
        <v/>
      </c>
      <c r="AA87">
        <f>HYPERLINK("https://klasma.github.io/Logging_0484/klagomål/A 36216-2025 FSC-klagomål.docx", "A 36216-2025")</f>
        <v/>
      </c>
      <c r="AB87">
        <f>HYPERLINK("https://klasma.github.io/Logging_0484/klagomålsmail/A 36216-2025 FSC-klagomål mail.docx", "A 36216-2025")</f>
        <v/>
      </c>
      <c r="AC87">
        <f>HYPERLINK("https://klasma.github.io/Logging_0484/tillsyn/A 36216-2025 tillsynsbegäran.docx", "A 36216-2025")</f>
        <v/>
      </c>
      <c r="AD87">
        <f>HYPERLINK("https://klasma.github.io/Logging_0484/tillsynsmail/A 36216-2025 tillsynsbegäran mail.docx", "A 36216-2025")</f>
        <v/>
      </c>
    </row>
    <row r="88" ht="15" customHeight="1">
      <c r="A88" t="inlineStr">
        <is>
          <t>A 26097-2026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46323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2.5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Svinrot</t>
        </is>
      </c>
      <c r="W88">
        <f>HYPERLINK("https://klasma.github.io/Logging_0484/artfynd/A 26097-2026 artfynd.xlsx", "A 26097-2026")</f>
        <v/>
      </c>
      <c r="X88">
        <f>HYPERLINK("https://klasma.github.io/Logging_0484/kartor/A 26097-2026 karta.png", "A 26097-2026")</f>
        <v/>
      </c>
      <c r="Y88">
        <f>HYPERLINK("https://klasma.github.io/Logging_0484/kartor_geotiff/A 26097-2026 georefererad karta.tif", "A 26097-2026")</f>
        <v/>
      </c>
      <c r="AA88">
        <f>HYPERLINK("https://klasma.github.io/Logging_0484/klagomål/A 26097-2026 FSC-klagomål.docx", "A 26097-2026")</f>
        <v/>
      </c>
      <c r="AB88">
        <f>HYPERLINK("https://klasma.github.io/Logging_0484/klagomålsmail/A 26097-2026 FSC-klagomål mail.docx", "A 26097-2026")</f>
        <v/>
      </c>
      <c r="AC88">
        <f>HYPERLINK("https://klasma.github.io/Logging_0484/tillsyn/A 26097-2026 tillsynsbegäran.docx", "A 26097-2026")</f>
        <v/>
      </c>
      <c r="AD88">
        <f>HYPERLINK("https://klasma.github.io/Logging_0484/tillsynsmail/A 26097-2026 tillsynsbegäran mail.docx", "A 26097-2026")</f>
        <v/>
      </c>
    </row>
    <row r="89" ht="15" customHeight="1">
      <c r="A89" t="inlineStr">
        <is>
          <t>A 26008-2026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46323</v>
      </c>
      <c r="F89" t="inlineStr">
        <is>
          <t>SÖDERMANLANDS LÄN</t>
        </is>
      </c>
      <c r="G89" t="inlineStr">
        <is>
          <t>ESKILSTUNA</t>
        </is>
      </c>
      <c r="I89" t="n">
        <v>2.8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8</v>
      </c>
      <c r="U89" t="n">
        <v>0</v>
      </c>
      <c r="V89" s="2" t="inlineStr">
        <is>
          <t>Svart trolldruva</t>
        </is>
      </c>
      <c r="W89">
        <f>HYPERLINK("https://klasma.github.io/Logging_0484/artfynd/A 26008-2026 artfynd.xlsx", "A 26008-2026")</f>
        <v/>
      </c>
      <c r="X89">
        <f>HYPERLINK("https://klasma.github.io/Logging_0484/kartor/A 26008-2026 karta.png", "A 26008-2026")</f>
        <v/>
      </c>
      <c r="Y89">
        <f>HYPERLINK("https://klasma.github.io/Logging_0484/kartor_geotiff/A 26008-2026 georefererad karta.tif", "A 26008-2026")</f>
        <v/>
      </c>
      <c r="AA89">
        <f>HYPERLINK("https://klasma.github.io/Logging_0484/klagomål/A 26008-2026 FSC-klagomål.docx", "A 26008-2026")</f>
        <v/>
      </c>
      <c r="AB89">
        <f>HYPERLINK("https://klasma.github.io/Logging_0484/klagomålsmail/A 26008-2026 FSC-klagomål mail.docx", "A 26008-2026")</f>
        <v/>
      </c>
      <c r="AC89">
        <f>HYPERLINK("https://klasma.github.io/Logging_0484/tillsyn/A 26008-2026 tillsynsbegäran.docx", "A 26008-2026")</f>
        <v/>
      </c>
      <c r="AD89">
        <f>HYPERLINK("https://klasma.github.io/Logging_0484/tillsynsmail/A 26008-2026 tillsynsbegäran mail.docx", "A 26008-2026")</f>
        <v/>
      </c>
    </row>
    <row r="90" ht="15" customHeight="1">
      <c r="A90" t="inlineStr">
        <is>
          <t>A 26094-2026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46323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HYPERLINK("https://klasma.github.io/Logging_0484/artfynd/A 26094-2026 artfynd.xlsx", "A 26094-2026")</f>
        <v/>
      </c>
      <c r="X90">
        <f>HYPERLINK("https://klasma.github.io/Logging_0484/kartor/A 26094-2026 karta.png", "A 26094-2026")</f>
        <v/>
      </c>
      <c r="Y90">
        <f>HYPERLINK("https://klasma.github.io/Logging_0484/kartor_geotiff/A 26094-2026 georefererad karta.tif", "A 26094-2026")</f>
        <v/>
      </c>
      <c r="AA90">
        <f>HYPERLINK("https://klasma.github.io/Logging_0484/klagomål/A 26094-2026 FSC-klagomål.docx", "A 26094-2026")</f>
        <v/>
      </c>
      <c r="AB90">
        <f>HYPERLINK("https://klasma.github.io/Logging_0484/klagomålsmail/A 26094-2026 FSC-klagomål mail.docx", "A 26094-2026")</f>
        <v/>
      </c>
      <c r="AC90">
        <f>HYPERLINK("https://klasma.github.io/Logging_0484/tillsyn/A 26094-2026 tillsynsbegäran.docx", "A 26094-2026")</f>
        <v/>
      </c>
      <c r="AD90">
        <f>HYPERLINK("https://klasma.github.io/Logging_0484/tillsynsmail/A 26094-2026 tillsynsbegäran mail.docx", "A 26094-2026")</f>
        <v/>
      </c>
      <c r="AE90">
        <f>HYPERLINK("https://klasma.github.io/Logging_0484/fåglar/A 26094-2026 prioriterade fågelarter.docx", "A 26094-2026")</f>
        <v/>
      </c>
    </row>
    <row r="91" ht="15" customHeight="1">
      <c r="A91" t="inlineStr">
        <is>
          <t>A 27892-2026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46323</v>
      </c>
      <c r="F91" t="inlineStr">
        <is>
          <t>SÖDERMANLANDS LÄN</t>
        </is>
      </c>
      <c r="G91" t="inlineStr">
        <is>
          <t>ESKILSTUNA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Nattviol</t>
        </is>
      </c>
      <c r="W91">
        <f>HYPERLINK("https://klasma.github.io/Logging_0484/artfynd/A 27892-2026 artfynd.xlsx", "A 27892-2026")</f>
        <v/>
      </c>
      <c r="X91">
        <f>HYPERLINK("https://klasma.github.io/Logging_0484/kartor/A 27892-2026 karta.png", "A 27892-2026")</f>
        <v/>
      </c>
      <c r="Y91">
        <f>HYPERLINK("https://klasma.github.io/Logging_0484/kartor_geotiff/A 27892-2026 georefererad karta.tif", "A 27892-2026")</f>
        <v/>
      </c>
      <c r="AA91">
        <f>HYPERLINK("https://klasma.github.io/Logging_0484/klagomål/A 27892-2026 FSC-klagomål.docx", "A 27892-2026")</f>
        <v/>
      </c>
      <c r="AB91">
        <f>HYPERLINK("https://klasma.github.io/Logging_0484/klagomålsmail/A 27892-2026 FSC-klagomål mail.docx", "A 27892-2026")</f>
        <v/>
      </c>
      <c r="AC91">
        <f>HYPERLINK("https://klasma.github.io/Logging_0484/tillsyn/A 27892-2026 tillsynsbegäran.docx", "A 27892-2026")</f>
        <v/>
      </c>
      <c r="AD91">
        <f>HYPERLINK("https://klasma.github.io/Logging_0484/tillsynsmail/A 27892-2026 tillsynsbegäran mail.docx", "A 27892-2026")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46323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46323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46323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46323</v>
      </c>
      <c r="F95" t="inlineStr">
        <is>
          <t>SÖDERMANLANDS LÄN</t>
        </is>
      </c>
      <c r="G95" t="inlineStr">
        <is>
          <t>ESKILSTUNA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46323</v>
      </c>
      <c r="F96" t="inlineStr">
        <is>
          <t>SÖDERMANLANDS LÄN</t>
        </is>
      </c>
      <c r="G96" t="inlineStr">
        <is>
          <t>ESKILSTUNA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46323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46323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44588</v>
      </c>
      <c r="E99" s="1" t="n">
        <v>46323</v>
      </c>
      <c r="F99" t="inlineStr">
        <is>
          <t>SÖDERMANLANDS LÄN</t>
        </is>
      </c>
      <c r="G99" t="inlineStr">
        <is>
          <t>ESKILSTUNA</t>
        </is>
      </c>
      <c r="H99" t="inlineStr">
        <is>
          <t>Allmännings- och besparingsskogar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46323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46323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70051-2021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46323</v>
      </c>
      <c r="F102" t="inlineStr">
        <is>
          <t>SÖDERMANLANDS LÄN</t>
        </is>
      </c>
      <c r="G102" t="inlineStr">
        <is>
          <t>ESKILSTUNA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46323</v>
      </c>
      <c r="F103" t="inlineStr">
        <is>
          <t>SÖDERMANLANDS LÄN</t>
        </is>
      </c>
      <c r="G103" t="inlineStr">
        <is>
          <t>ESKILSTUNA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46323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46323</v>
      </c>
      <c r="F105" t="inlineStr">
        <is>
          <t>SÖDERMANLANDS LÄN</t>
        </is>
      </c>
      <c r="G105" t="inlineStr">
        <is>
          <t>ESKILSTUNA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46323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46323</v>
      </c>
      <c r="F107" t="inlineStr">
        <is>
          <t>SÖDERMANLANDS LÄN</t>
        </is>
      </c>
      <c r="G107" t="inlineStr">
        <is>
          <t>ESKILSTUNA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44799</v>
      </c>
      <c r="E108" s="1" t="n">
        <v>46323</v>
      </c>
      <c r="F108" t="inlineStr">
        <is>
          <t>SÖDERMANLANDS LÄN</t>
        </is>
      </c>
      <c r="G108" t="inlineStr">
        <is>
          <t>ESKILSTUNA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46323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46323</v>
      </c>
      <c r="F110" t="inlineStr">
        <is>
          <t>SÖDERMANLANDS LÄN</t>
        </is>
      </c>
      <c r="G110" t="inlineStr">
        <is>
          <t>ESKILSTUNA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46323</v>
      </c>
      <c r="F111" t="inlineStr">
        <is>
          <t>SÖDERMANLANDS LÄN</t>
        </is>
      </c>
      <c r="G111" t="inlineStr">
        <is>
          <t>ESKILSTUNA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46323</v>
      </c>
      <c r="F112" t="inlineStr">
        <is>
          <t>SÖDERMANLANDS LÄN</t>
        </is>
      </c>
      <c r="G112" t="inlineStr">
        <is>
          <t>ESKILSTUNA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46323</v>
      </c>
      <c r="F113" t="inlineStr">
        <is>
          <t>SÖDERMANLANDS LÄN</t>
        </is>
      </c>
      <c r="G113" t="inlineStr">
        <is>
          <t>ESKILSTUNA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46323</v>
      </c>
      <c r="F114" t="inlineStr">
        <is>
          <t>SÖDERMANLANDS LÄN</t>
        </is>
      </c>
      <c r="G114" t="inlineStr">
        <is>
          <t>ESKILSTUNA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46323</v>
      </c>
      <c r="F115" t="inlineStr">
        <is>
          <t>SÖDERMANLANDS LÄN</t>
        </is>
      </c>
      <c r="G115" t="inlineStr">
        <is>
          <t>ESKILSTUNA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46323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46323</v>
      </c>
      <c r="F117" t="inlineStr">
        <is>
          <t>SÖDERMANLANDS LÄN</t>
        </is>
      </c>
      <c r="G117" t="inlineStr">
        <is>
          <t>ESKILSTUNA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71980-2021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46323</v>
      </c>
      <c r="F118" t="inlineStr">
        <is>
          <t>SÖDERMANLANDS LÄN</t>
        </is>
      </c>
      <c r="G118" t="inlineStr">
        <is>
          <t>ESKILSTUNA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46323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46323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46323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46323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46323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46323</v>
      </c>
      <c r="F124" t="inlineStr">
        <is>
          <t>SÖDERMANLANDS LÄN</t>
        </is>
      </c>
      <c r="G124" t="inlineStr">
        <is>
          <t>ESKILSTUNA</t>
        </is>
      </c>
      <c r="I124" t="n">
        <v>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46323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46323</v>
      </c>
      <c r="F126" t="inlineStr">
        <is>
          <t>SÖDERMANLANDS LÄN</t>
        </is>
      </c>
      <c r="G126" t="inlineStr">
        <is>
          <t>ESKILSTUNA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46323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46323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Naturvårdsverket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65406-2021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46323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46323</v>
      </c>
      <c r="F130" t="inlineStr">
        <is>
          <t>SÖDERMANLANDS LÄN</t>
        </is>
      </c>
      <c r="G130" t="inlineStr">
        <is>
          <t>ESKILSTUNA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46323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46323</v>
      </c>
      <c r="F132" t="inlineStr">
        <is>
          <t>SÖDERMANLANDS LÄN</t>
        </is>
      </c>
      <c r="G132" t="inlineStr">
        <is>
          <t>ESKILSTUNA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46323</v>
      </c>
      <c r="F133" t="inlineStr">
        <is>
          <t>SÖDERMANLANDS LÄN</t>
        </is>
      </c>
      <c r="G133" t="inlineStr">
        <is>
          <t>ESKILSTUNA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46323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32390-2022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46323</v>
      </c>
      <c r="F135" t="inlineStr">
        <is>
          <t>SÖDERMANLANDS LÄN</t>
        </is>
      </c>
      <c r="G135" t="inlineStr">
        <is>
          <t>ESKILSTUNA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44739</v>
      </c>
      <c r="E136" s="1" t="n">
        <v>46323</v>
      </c>
      <c r="F136" t="inlineStr">
        <is>
          <t>SÖDERMANLANDS LÄN</t>
        </is>
      </c>
      <c r="G136" t="inlineStr">
        <is>
          <t>ESKILSTUNA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46323</v>
      </c>
      <c r="F137" t="inlineStr">
        <is>
          <t>SÖDERMANLANDS LÄN</t>
        </is>
      </c>
      <c r="G137" t="inlineStr">
        <is>
          <t>ESKILSTUNA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44783</v>
      </c>
      <c r="E138" s="1" t="n">
        <v>46323</v>
      </c>
      <c r="F138" t="inlineStr">
        <is>
          <t>SÖDERMANLANDS LÄN</t>
        </is>
      </c>
      <c r="G138" t="inlineStr">
        <is>
          <t>ESKILSTUNA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46323</v>
      </c>
      <c r="F139" t="inlineStr">
        <is>
          <t>SÖDERMANLANDS LÄN</t>
        </is>
      </c>
      <c r="G139" t="inlineStr">
        <is>
          <t>ESKILSTUNA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44782</v>
      </c>
      <c r="E140" s="1" t="n">
        <v>46323</v>
      </c>
      <c r="F140" t="inlineStr">
        <is>
          <t>SÖDERMANLANDS LÄN</t>
        </is>
      </c>
      <c r="G140" t="inlineStr">
        <is>
          <t>ESKILSTUNA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44654</v>
      </c>
      <c r="E141" s="1" t="n">
        <v>46323</v>
      </c>
      <c r="F141" t="inlineStr">
        <is>
          <t>SÖDERMANLANDS LÄN</t>
        </is>
      </c>
      <c r="G141" t="inlineStr">
        <is>
          <t>ESKILSTUNA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46323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Allmännings- och besparingsskogar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70191-2021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44533</v>
      </c>
      <c r="E143" s="1" t="n">
        <v>46323</v>
      </c>
      <c r="F143" t="inlineStr">
        <is>
          <t>SÖDERMANLANDS LÄN</t>
        </is>
      </c>
      <c r="G143" t="inlineStr">
        <is>
          <t>ESKILSTUNA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44748</v>
      </c>
      <c r="E144" s="1" t="n">
        <v>46323</v>
      </c>
      <c r="F144" t="inlineStr">
        <is>
          <t>SÖDERMANLANDS LÄN</t>
        </is>
      </c>
      <c r="G144" t="inlineStr">
        <is>
          <t>ESKILSTUNA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46323</v>
      </c>
      <c r="F145" t="inlineStr">
        <is>
          <t>SÖDERMANLANDS LÄN</t>
        </is>
      </c>
      <c r="G145" t="inlineStr">
        <is>
          <t>ESKILSTUNA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46323</v>
      </c>
      <c r="F146" t="inlineStr">
        <is>
          <t>SÖDERMANLANDS LÄN</t>
        </is>
      </c>
      <c r="G146" t="inlineStr">
        <is>
          <t>ESKILSTUNA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1346-2024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45303</v>
      </c>
      <c r="E147" s="1" t="n">
        <v>46323</v>
      </c>
      <c r="F147" t="inlineStr">
        <is>
          <t>SÖDERMANLANDS LÄN</t>
        </is>
      </c>
      <c r="G147" t="inlineStr">
        <is>
          <t>ESKILSTUNA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46323</v>
      </c>
      <c r="F148" t="inlineStr">
        <is>
          <t>SÖDERMANLANDS LÄN</t>
        </is>
      </c>
      <c r="G148" t="inlineStr">
        <is>
          <t>ESKILSTUNA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46323</v>
      </c>
      <c r="F149" t="inlineStr">
        <is>
          <t>SÖDERMANLANDS LÄN</t>
        </is>
      </c>
      <c r="G149" t="inlineStr">
        <is>
          <t>ESKILSTUNA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46323</v>
      </c>
      <c r="F150" t="inlineStr">
        <is>
          <t>SÖDERMANLANDS LÄN</t>
        </is>
      </c>
      <c r="G150" t="inlineStr">
        <is>
          <t>ESKILSTUNA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46323</v>
      </c>
      <c r="F151" t="inlineStr">
        <is>
          <t>SÖDERMANLANDS LÄN</t>
        </is>
      </c>
      <c r="G151" t="inlineStr">
        <is>
          <t>ESKILSTUNA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53098-2022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44873</v>
      </c>
      <c r="E152" s="1" t="n">
        <v>46323</v>
      </c>
      <c r="F152" t="inlineStr">
        <is>
          <t>SÖDERMANLANDS LÄN</t>
        </is>
      </c>
      <c r="G152" t="inlineStr">
        <is>
          <t>ESKILSTUNA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46323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46323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46323</v>
      </c>
      <c r="F155" t="inlineStr">
        <is>
          <t>SÖDERMANLANDS LÄN</t>
        </is>
      </c>
      <c r="G155" t="inlineStr">
        <is>
          <t>ESKILSTUNA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46323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36643-2022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44804</v>
      </c>
      <c r="E157" s="1" t="n">
        <v>46323</v>
      </c>
      <c r="F157" t="inlineStr">
        <is>
          <t>SÖDERMANLANDS LÄN</t>
        </is>
      </c>
      <c r="G157" t="inlineStr">
        <is>
          <t>ESKILSTUNA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44578</v>
      </c>
      <c r="E158" s="1" t="n">
        <v>46323</v>
      </c>
      <c r="F158" t="inlineStr">
        <is>
          <t>SÖDERMANLANDS LÄN</t>
        </is>
      </c>
      <c r="G158" t="inlineStr">
        <is>
          <t>ESKILSTUNA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45006</v>
      </c>
      <c r="E159" s="1" t="n">
        <v>46323</v>
      </c>
      <c r="F159" t="inlineStr">
        <is>
          <t>SÖDERMANLANDS LÄN</t>
        </is>
      </c>
      <c r="G159" t="inlineStr">
        <is>
          <t>ESKILSTUNA</t>
        </is>
      </c>
      <c r="I159" t="n">
        <v>16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46323</v>
      </c>
      <c r="F160" t="inlineStr">
        <is>
          <t>SÖDERMANLANDS LÄN</t>
        </is>
      </c>
      <c r="G160" t="inlineStr">
        <is>
          <t>ESKILSTUNA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46323</v>
      </c>
      <c r="F161" t="inlineStr">
        <is>
          <t>SÖDERMANLANDS LÄN</t>
        </is>
      </c>
      <c r="G161" t="inlineStr">
        <is>
          <t>ESKILSTUNA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46323</v>
      </c>
      <c r="F162" t="inlineStr">
        <is>
          <t>SÖDERMANLANDS LÄN</t>
        </is>
      </c>
      <c r="G162" t="inlineStr">
        <is>
          <t>ESKILSTUNA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46323</v>
      </c>
      <c r="F163" t="inlineStr">
        <is>
          <t>SÖDERMANLANDS LÄN</t>
        </is>
      </c>
      <c r="G163" t="inlineStr">
        <is>
          <t>ESKILSTUNA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44634</v>
      </c>
      <c r="E164" s="1" t="n">
        <v>46323</v>
      </c>
      <c r="F164" t="inlineStr">
        <is>
          <t>SÖDERMANLANDS LÄN</t>
        </is>
      </c>
      <c r="G164" t="inlineStr">
        <is>
          <t>ESKILSTUNA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46323</v>
      </c>
      <c r="F165" t="inlineStr">
        <is>
          <t>SÖDERMANLANDS LÄN</t>
        </is>
      </c>
      <c r="G165" t="inlineStr">
        <is>
          <t>ESKILSTUNA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46323</v>
      </c>
      <c r="F166" t="inlineStr">
        <is>
          <t>SÖDERMANLANDS LÄN</t>
        </is>
      </c>
      <c r="G166" t="inlineStr">
        <is>
          <t>ESKILSTUNA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44983</v>
      </c>
      <c r="E167" s="1" t="n">
        <v>46323</v>
      </c>
      <c r="F167" t="inlineStr">
        <is>
          <t>SÖDERMANLANDS LÄN</t>
        </is>
      </c>
      <c r="G167" t="inlineStr">
        <is>
          <t>ESKILSTUNA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46323</v>
      </c>
      <c r="F168" t="inlineStr">
        <is>
          <t>SÖDERMANLANDS LÄN</t>
        </is>
      </c>
      <c r="G168" t="inlineStr">
        <is>
          <t>ESKILSTUNA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46323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Sveaskog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45882-2022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46323</v>
      </c>
      <c r="F170" t="inlineStr">
        <is>
          <t>SÖDERMANLANDS LÄN</t>
        </is>
      </c>
      <c r="G170" t="inlineStr">
        <is>
          <t>ESKILSTUNA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45884-2022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46323</v>
      </c>
      <c r="F171" t="inlineStr">
        <is>
          <t>SÖDERMANLANDS LÄN</t>
        </is>
      </c>
      <c r="G171" t="inlineStr">
        <is>
          <t>ESKILSTUNA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46323</v>
      </c>
      <c r="F172" t="inlineStr">
        <is>
          <t>SÖDERMANLANDS LÄN</t>
        </is>
      </c>
      <c r="G172" t="inlineStr">
        <is>
          <t>ESKILSTUNA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44739</v>
      </c>
      <c r="E173" s="1" t="n">
        <v>46323</v>
      </c>
      <c r="F173" t="inlineStr">
        <is>
          <t>SÖDERMANLANDS LÄN</t>
        </is>
      </c>
      <c r="G173" t="inlineStr">
        <is>
          <t>ESKILSTUNA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46323</v>
      </c>
      <c r="F174" t="inlineStr">
        <is>
          <t>SÖDERMANLANDS LÄN</t>
        </is>
      </c>
      <c r="G174" t="inlineStr">
        <is>
          <t>ESKILSTUNA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45514</v>
      </c>
      <c r="E175" s="1" t="n">
        <v>46323</v>
      </c>
      <c r="F175" t="inlineStr">
        <is>
          <t>SÖDERMANLANDS LÄN</t>
        </is>
      </c>
      <c r="G175" t="inlineStr">
        <is>
          <t>ESKILSTUNA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45058</v>
      </c>
      <c r="E176" s="1" t="n">
        <v>46323</v>
      </c>
      <c r="F176" t="inlineStr">
        <is>
          <t>SÖDERMANLANDS LÄN</t>
        </is>
      </c>
      <c r="G176" t="inlineStr">
        <is>
          <t>ESKILSTUNA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33585-2022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44789</v>
      </c>
      <c r="E177" s="1" t="n">
        <v>46323</v>
      </c>
      <c r="F177" t="inlineStr">
        <is>
          <t>SÖDERMANLANDS LÄN</t>
        </is>
      </c>
      <c r="G177" t="inlineStr">
        <is>
          <t>ESKILSTUNA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45341</v>
      </c>
      <c r="E178" s="1" t="n">
        <v>46323</v>
      </c>
      <c r="F178" t="inlineStr">
        <is>
          <t>SÖDERMANLANDS LÄN</t>
        </is>
      </c>
      <c r="G178" t="inlineStr">
        <is>
          <t>ESKILSTUNA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46323</v>
      </c>
      <c r="F179" t="inlineStr">
        <is>
          <t>SÖDERMANLANDS LÄN</t>
        </is>
      </c>
      <c r="G179" t="inlineStr">
        <is>
          <t>ESKILSTUNA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45429</v>
      </c>
      <c r="E180" s="1" t="n">
        <v>46323</v>
      </c>
      <c r="F180" t="inlineStr">
        <is>
          <t>SÖDERMANLANDS LÄN</t>
        </is>
      </c>
      <c r="G180" t="inlineStr">
        <is>
          <t>ESKILSTUNA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46323</v>
      </c>
      <c r="F181" t="inlineStr">
        <is>
          <t>SÖDERMANLANDS LÄN</t>
        </is>
      </c>
      <c r="G181" t="inlineStr">
        <is>
          <t>ESKILSTUNA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61367-2021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44499</v>
      </c>
      <c r="E182" s="1" t="n">
        <v>46323</v>
      </c>
      <c r="F182" t="inlineStr">
        <is>
          <t>SÖDERMANLANDS LÄN</t>
        </is>
      </c>
      <c r="G182" t="inlineStr">
        <is>
          <t>ESKILSTUNA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65595-2021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46323</v>
      </c>
      <c r="F183" t="inlineStr">
        <is>
          <t>SÖDERMANLANDS LÄN</t>
        </is>
      </c>
      <c r="G183" t="inlineStr">
        <is>
          <t>ESKILSTUNA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46323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46323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Allmännings- och besparingsskogar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46323</v>
      </c>
      <c r="F186" t="inlineStr">
        <is>
          <t>SÖDERMANLANDS LÄN</t>
        </is>
      </c>
      <c r="G186" t="inlineStr">
        <is>
          <t>ESKILSTUNA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38895-2023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45163</v>
      </c>
      <c r="E187" s="1" t="n">
        <v>46323</v>
      </c>
      <c r="F187" t="inlineStr">
        <is>
          <t>SÖDERMANLANDS LÄN</t>
        </is>
      </c>
      <c r="G187" t="inlineStr">
        <is>
          <t>ESKILSTUNA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45041</v>
      </c>
      <c r="E188" s="1" t="n">
        <v>46323</v>
      </c>
      <c r="F188" t="inlineStr">
        <is>
          <t>SÖDERMANLANDS LÄN</t>
        </is>
      </c>
      <c r="G188" t="inlineStr">
        <is>
          <t>ESKILSTUNA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57304-2023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45245</v>
      </c>
      <c r="E189" s="1" t="n">
        <v>46323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44626</v>
      </c>
      <c r="E190" s="1" t="n">
        <v>46323</v>
      </c>
      <c r="F190" t="inlineStr">
        <is>
          <t>SÖDERMANLANDS LÄN</t>
        </is>
      </c>
      <c r="G190" t="inlineStr">
        <is>
          <t>ESKILSTUNA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61367-2021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44499</v>
      </c>
      <c r="E191" s="1" t="n">
        <v>46323</v>
      </c>
      <c r="F191" t="inlineStr">
        <is>
          <t>SÖDERMANLANDS LÄN</t>
        </is>
      </c>
      <c r="G191" t="inlineStr">
        <is>
          <t>ESKILSTUNA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45713</v>
      </c>
      <c r="E192" s="1" t="n">
        <v>46323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46323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44799</v>
      </c>
      <c r="E194" s="1" t="n">
        <v>46323</v>
      </c>
      <c r="F194" t="inlineStr">
        <is>
          <t>SÖDERMANLANDS LÄN</t>
        </is>
      </c>
      <c r="G194" t="inlineStr">
        <is>
          <t>ESKILSTUNA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44832</v>
      </c>
      <c r="E195" s="1" t="n">
        <v>46323</v>
      </c>
      <c r="F195" t="inlineStr">
        <is>
          <t>SÖDERMANLANDS LÄN</t>
        </is>
      </c>
      <c r="G195" t="inlineStr">
        <is>
          <t>ESKILSTUNA</t>
        </is>
      </c>
      <c r="I195" t="n">
        <v>19.9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46323</v>
      </c>
      <c r="F196" t="inlineStr">
        <is>
          <t>SÖDERMANLANDS LÄN</t>
        </is>
      </c>
      <c r="G196" t="inlineStr">
        <is>
          <t>ESKILSTUNA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46323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Kyrkan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45695</v>
      </c>
      <c r="E198" s="1" t="n">
        <v>46323</v>
      </c>
      <c r="F198" t="inlineStr">
        <is>
          <t>SÖDERMANLANDS LÄN</t>
        </is>
      </c>
      <c r="G198" t="inlineStr">
        <is>
          <t>ESKILSTUNA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49469-2022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44861</v>
      </c>
      <c r="E199" s="1" t="n">
        <v>46323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Allmännings- och besparingsskogar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45387</v>
      </c>
      <c r="E200" s="1" t="n">
        <v>46323</v>
      </c>
      <c r="F200" t="inlineStr">
        <is>
          <t>SÖDERMANLANDS LÄN</t>
        </is>
      </c>
      <c r="G200" t="inlineStr">
        <is>
          <t>ESKILSTUNA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46323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Allmännings- och besparingsskogar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58991-2022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44903</v>
      </c>
      <c r="E202" s="1" t="n">
        <v>46323</v>
      </c>
      <c r="F202" t="inlineStr">
        <is>
          <t>SÖDERMANLANDS LÄN</t>
        </is>
      </c>
      <c r="G202" t="inlineStr">
        <is>
          <t>ESKILSTUNA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46323</v>
      </c>
      <c r="F203" t="inlineStr">
        <is>
          <t>SÖDERMANLANDS LÄN</t>
        </is>
      </c>
      <c r="G203" t="inlineStr">
        <is>
          <t>ESKILSTUNA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46323</v>
      </c>
      <c r="F204" t="inlineStr">
        <is>
          <t>SÖDERMANLANDS LÄN</t>
        </is>
      </c>
      <c r="G204" t="inlineStr">
        <is>
          <t>ESKILSTUNA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45464</v>
      </c>
      <c r="E205" s="1" t="n">
        <v>46323</v>
      </c>
      <c r="F205" t="inlineStr">
        <is>
          <t>SÖDERMANLANDS LÄN</t>
        </is>
      </c>
      <c r="G205" t="inlineStr">
        <is>
          <t>ESKILSTUNA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68022-2021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44525</v>
      </c>
      <c r="E206" s="1" t="n">
        <v>46323</v>
      </c>
      <c r="F206" t="inlineStr">
        <is>
          <t>SÖDERMANLANDS LÄN</t>
        </is>
      </c>
      <c r="G206" t="inlineStr">
        <is>
          <t>ESKILSTUNA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44979</v>
      </c>
      <c r="E207" s="1" t="n">
        <v>46323</v>
      </c>
      <c r="F207" t="inlineStr">
        <is>
          <t>SÖDERMANLANDS LÄN</t>
        </is>
      </c>
      <c r="G207" t="inlineStr">
        <is>
          <t>ESKILSTUNA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45464</v>
      </c>
      <c r="E208" s="1" t="n">
        <v>46323</v>
      </c>
      <c r="F208" t="inlineStr">
        <is>
          <t>SÖDERMANLANDS LÄN</t>
        </is>
      </c>
      <c r="G208" t="inlineStr">
        <is>
          <t>ESKILSTUNA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46323</v>
      </c>
      <c r="F209" t="inlineStr">
        <is>
          <t>SÖDERMANLANDS LÄN</t>
        </is>
      </c>
      <c r="G209" t="inlineStr">
        <is>
          <t>ESKILSTUNA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15592-2023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45020</v>
      </c>
      <c r="E210" s="1" t="n">
        <v>46323</v>
      </c>
      <c r="F210" t="inlineStr">
        <is>
          <t>SÖDERMANLANDS LÄN</t>
        </is>
      </c>
      <c r="G210" t="inlineStr">
        <is>
          <t>ESKILSTUNA</t>
        </is>
      </c>
      <c r="I210" t="n">
        <v>7.9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45341</v>
      </c>
      <c r="E211" s="1" t="n">
        <v>46323</v>
      </c>
      <c r="F211" t="inlineStr">
        <is>
          <t>SÖDERMANLANDS LÄN</t>
        </is>
      </c>
      <c r="G211" t="inlineStr">
        <is>
          <t>ESKILSTUNA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45695</v>
      </c>
      <c r="E212" s="1" t="n">
        <v>46323</v>
      </c>
      <c r="F212" t="inlineStr">
        <is>
          <t>SÖDERMANLANDS LÄN</t>
        </is>
      </c>
      <c r="G212" t="inlineStr">
        <is>
          <t>ESKILSTUNA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45695</v>
      </c>
      <c r="E213" s="1" t="n">
        <v>46323</v>
      </c>
      <c r="F213" t="inlineStr">
        <is>
          <t>SÖDERMANLANDS LÄN</t>
        </is>
      </c>
      <c r="G213" t="inlineStr">
        <is>
          <t>ESKILSTUNA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45077</v>
      </c>
      <c r="E214" s="1" t="n">
        <v>46323</v>
      </c>
      <c r="F214" t="inlineStr">
        <is>
          <t>SÖDERMANLANDS LÄN</t>
        </is>
      </c>
      <c r="G214" t="inlineStr">
        <is>
          <t>ESKILSTUNA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44671</v>
      </c>
      <c r="E215" s="1" t="n">
        <v>46323</v>
      </c>
      <c r="F215" t="inlineStr">
        <is>
          <t>SÖDERMANLANDS LÄN</t>
        </is>
      </c>
      <c r="G215" t="inlineStr">
        <is>
          <t>ESKILSTUNA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54216-2022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44881</v>
      </c>
      <c r="E216" s="1" t="n">
        <v>46323</v>
      </c>
      <c r="F216" t="inlineStr">
        <is>
          <t>SÖDERMANLANDS LÄN</t>
        </is>
      </c>
      <c r="G216" t="inlineStr">
        <is>
          <t>ESKILSTUNA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46323</v>
      </c>
      <c r="F217" t="inlineStr">
        <is>
          <t>SÖDERMANLANDS LÄN</t>
        </is>
      </c>
      <c r="G217" t="inlineStr">
        <is>
          <t>ESKILSTUNA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44883</v>
      </c>
      <c r="E218" s="1" t="n">
        <v>46323</v>
      </c>
      <c r="F218" t="inlineStr">
        <is>
          <t>SÖDERMANLANDS LÄN</t>
        </is>
      </c>
      <c r="G218" t="inlineStr">
        <is>
          <t>ESKILSTUNA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59138-2024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46323</v>
      </c>
      <c r="F219" t="inlineStr">
        <is>
          <t>SÖDERMANLANDS LÄN</t>
        </is>
      </c>
      <c r="G219" t="inlineStr">
        <is>
          <t>ESKILSTUNA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45103</v>
      </c>
      <c r="E220" s="1" t="n">
        <v>46323</v>
      </c>
      <c r="F220" t="inlineStr">
        <is>
          <t>SÖDERMANLANDS LÄN</t>
        </is>
      </c>
      <c r="G220" t="inlineStr">
        <is>
          <t>ESKILSTUNA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30971-2023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46323</v>
      </c>
      <c r="F221" t="inlineStr">
        <is>
          <t>SÖDERMANLANDS LÄN</t>
        </is>
      </c>
      <c r="G221" t="inlineStr">
        <is>
          <t>ESKILSTUNA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45267</v>
      </c>
      <c r="E222" s="1" t="n">
        <v>46323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46323</v>
      </c>
      <c r="F223" t="inlineStr">
        <is>
          <t>SÖDERMANLANDS LÄN</t>
        </is>
      </c>
      <c r="G223" t="inlineStr">
        <is>
          <t>ESKILSTUNA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46323</v>
      </c>
      <c r="F224" t="inlineStr">
        <is>
          <t>SÖDERMANLANDS LÄN</t>
        </is>
      </c>
      <c r="G224" t="inlineStr">
        <is>
          <t>ESKILSTUNA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45301</v>
      </c>
      <c r="E225" s="1" t="n">
        <v>46323</v>
      </c>
      <c r="F225" t="inlineStr">
        <is>
          <t>SÖDERMANLANDS LÄN</t>
        </is>
      </c>
      <c r="G225" t="inlineStr">
        <is>
          <t>ESKILSTUNA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45587</v>
      </c>
      <c r="E226" s="1" t="n">
        <v>46323</v>
      </c>
      <c r="F226" t="inlineStr">
        <is>
          <t>SÖDERMANLANDS LÄN</t>
        </is>
      </c>
      <c r="G226" t="inlineStr">
        <is>
          <t>ESKILSTUNA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65614-2021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44516</v>
      </c>
      <c r="E227" s="1" t="n">
        <v>46323</v>
      </c>
      <c r="F227" t="inlineStr">
        <is>
          <t>SÖDERMANLANDS LÄN</t>
        </is>
      </c>
      <c r="G227" t="inlineStr">
        <is>
          <t>ESKILSTUNA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44916</v>
      </c>
      <c r="E228" s="1" t="n">
        <v>46323</v>
      </c>
      <c r="F228" t="inlineStr">
        <is>
          <t>SÖDERMANLANDS LÄN</t>
        </is>
      </c>
      <c r="G228" t="inlineStr">
        <is>
          <t>ESKILSTUNA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44888</v>
      </c>
      <c r="E229" s="1" t="n">
        <v>46323</v>
      </c>
      <c r="F229" t="inlineStr">
        <is>
          <t>SÖDERMANLANDS LÄN</t>
        </is>
      </c>
      <c r="G229" t="inlineStr">
        <is>
          <t>ESKILSTUNA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50310-2022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44865</v>
      </c>
      <c r="E230" s="1" t="n">
        <v>46323</v>
      </c>
      <c r="F230" t="inlineStr">
        <is>
          <t>SÖDERMANLANDS LÄN</t>
        </is>
      </c>
      <c r="G230" t="inlineStr">
        <is>
          <t>ESKILSTUNA</t>
        </is>
      </c>
      <c r="H230" t="inlineStr">
        <is>
          <t>Kyrkan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46323</v>
      </c>
      <c r="F231" t="inlineStr">
        <is>
          <t>SÖDERMANLANDS LÄN</t>
        </is>
      </c>
      <c r="G231" t="inlineStr">
        <is>
          <t>ESKILSTUNA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46323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Kommuner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53181-2024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45611</v>
      </c>
      <c r="E233" s="1" t="n">
        <v>46323</v>
      </c>
      <c r="F233" t="inlineStr">
        <is>
          <t>SÖDERMANLANDS LÄN</t>
        </is>
      </c>
      <c r="G233" t="inlineStr">
        <is>
          <t>ESKILSTUNA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45670</v>
      </c>
      <c r="E234" s="1" t="n">
        <v>46323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15963-2022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44664</v>
      </c>
      <c r="E235" s="1" t="n">
        <v>46323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70560-2021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46323</v>
      </c>
      <c r="F236" t="inlineStr">
        <is>
          <t>SÖDERMANLANDS LÄN</t>
        </is>
      </c>
      <c r="G236" t="inlineStr">
        <is>
          <t>ESKILSTUNA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65349-2021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44515</v>
      </c>
      <c r="E237" s="1" t="n">
        <v>46323</v>
      </c>
      <c r="F237" t="inlineStr">
        <is>
          <t>SÖDERMANLANDS LÄN</t>
        </is>
      </c>
      <c r="G237" t="inlineStr">
        <is>
          <t>ESKILSTUNA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46323</v>
      </c>
      <c r="F238" t="inlineStr">
        <is>
          <t>SÖDERMANLANDS LÄN</t>
        </is>
      </c>
      <c r="G238" t="inlineStr">
        <is>
          <t>ESKILSTUNA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45183</v>
      </c>
      <c r="E239" s="1" t="n">
        <v>46323</v>
      </c>
      <c r="F239" t="inlineStr">
        <is>
          <t>SÖDERMANLANDS LÄN</t>
        </is>
      </c>
      <c r="G239" t="inlineStr">
        <is>
          <t>ESKILSTUNA</t>
        </is>
      </c>
      <c r="H239" t="inlineStr">
        <is>
          <t>Allmännings- och besparingsskogar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44729</v>
      </c>
      <c r="E240" s="1" t="n">
        <v>46323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45211</v>
      </c>
      <c r="E241" s="1" t="n">
        <v>46323</v>
      </c>
      <c r="F241" t="inlineStr">
        <is>
          <t>SÖDERMANLANDS LÄN</t>
        </is>
      </c>
      <c r="G241" t="inlineStr">
        <is>
          <t>ESKILSTUNA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44886</v>
      </c>
      <c r="E242" s="1" t="n">
        <v>46323</v>
      </c>
      <c r="F242" t="inlineStr">
        <is>
          <t>SÖDERMANLANDS LÄN</t>
        </is>
      </c>
      <c r="G242" t="inlineStr">
        <is>
          <t>ESKILSTUNA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46323</v>
      </c>
      <c r="F243" t="inlineStr">
        <is>
          <t>SÖDERMANLANDS LÄN</t>
        </is>
      </c>
      <c r="G243" t="inlineStr">
        <is>
          <t>ESKILSTUNA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44571</v>
      </c>
      <c r="E244" s="1" t="n">
        <v>46323</v>
      </c>
      <c r="F244" t="inlineStr">
        <is>
          <t>SÖDERMANLANDS LÄN</t>
        </is>
      </c>
      <c r="G244" t="inlineStr">
        <is>
          <t>ESKILSTUNA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46323</v>
      </c>
      <c r="F245" t="inlineStr">
        <is>
          <t>SÖDERMANLANDS LÄN</t>
        </is>
      </c>
      <c r="G245" t="inlineStr">
        <is>
          <t>ESKILSTUNA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46323</v>
      </c>
      <c r="F246" t="inlineStr">
        <is>
          <t>SÖDERMANLANDS LÄN</t>
        </is>
      </c>
      <c r="G246" t="inlineStr">
        <is>
          <t>ESKILSTUNA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46323</v>
      </c>
      <c r="F247" t="inlineStr">
        <is>
          <t>SÖDERMANLANDS LÄN</t>
        </is>
      </c>
      <c r="G247" t="inlineStr">
        <is>
          <t>ESKILSTUNA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44634</v>
      </c>
      <c r="E248" s="1" t="n">
        <v>46323</v>
      </c>
      <c r="F248" t="inlineStr">
        <is>
          <t>SÖDERMANLANDS LÄN</t>
        </is>
      </c>
      <c r="G248" t="inlineStr">
        <is>
          <t>ESKILSTUNA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61298-2022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44915</v>
      </c>
      <c r="E249" s="1" t="n">
        <v>46323</v>
      </c>
      <c r="F249" t="inlineStr">
        <is>
          <t>SÖDERMANLANDS LÄN</t>
        </is>
      </c>
      <c r="G249" t="inlineStr">
        <is>
          <t>ESKILSTUNA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46323</v>
      </c>
      <c r="F250" t="inlineStr">
        <is>
          <t>SÖDERMANLANDS LÄN</t>
        </is>
      </c>
      <c r="G250" t="inlineStr">
        <is>
          <t>ESKILSTUNA</t>
        </is>
      </c>
      <c r="I250" t="n">
        <v>8.300000000000001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45429</v>
      </c>
      <c r="E251" s="1" t="n">
        <v>46323</v>
      </c>
      <c r="F251" t="inlineStr">
        <is>
          <t>SÖDERMANLANDS LÄN</t>
        </is>
      </c>
      <c r="G251" t="inlineStr">
        <is>
          <t>ESKILSTUNA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46323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Allmännings- och besparingsskogar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44918</v>
      </c>
      <c r="E253" s="1" t="n">
        <v>46323</v>
      </c>
      <c r="F253" t="inlineStr">
        <is>
          <t>SÖDERMANLANDS LÄN</t>
        </is>
      </c>
      <c r="G253" t="inlineStr">
        <is>
          <t>ESKILSTUNA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44588</v>
      </c>
      <c r="E254" s="1" t="n">
        <v>46323</v>
      </c>
      <c r="F254" t="inlineStr">
        <is>
          <t>SÖDERMANLANDS LÄN</t>
        </is>
      </c>
      <c r="G254" t="inlineStr">
        <is>
          <t>ESKILSTUNA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57524-2022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46323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45079</v>
      </c>
      <c r="E256" s="1" t="n">
        <v>46323</v>
      </c>
      <c r="F256" t="inlineStr">
        <is>
          <t>SÖDERMANLANDS LÄN</t>
        </is>
      </c>
      <c r="G256" t="inlineStr">
        <is>
          <t>ESKILSTUNA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45544</v>
      </c>
      <c r="E257" s="1" t="n">
        <v>46323</v>
      </c>
      <c r="F257" t="inlineStr">
        <is>
          <t>SÖDERMANLANDS LÄN</t>
        </is>
      </c>
      <c r="G257" t="inlineStr">
        <is>
          <t>ESKILSTUNA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46323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Allmännings- och besparingsskogar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57538-2022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44889</v>
      </c>
      <c r="E259" s="1" t="n">
        <v>46323</v>
      </c>
      <c r="F259" t="inlineStr">
        <is>
          <t>SÖDERMANLANDS LÄN</t>
        </is>
      </c>
      <c r="G259" t="inlineStr">
        <is>
          <t>ESKILSTUNA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44930</v>
      </c>
      <c r="E260" s="1" t="n">
        <v>46323</v>
      </c>
      <c r="F260" t="inlineStr">
        <is>
          <t>SÖDERMANLANDS LÄN</t>
        </is>
      </c>
      <c r="G260" t="inlineStr">
        <is>
          <t>ESKILSTUNA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46323</v>
      </c>
      <c r="F261" t="inlineStr">
        <is>
          <t>SÖDERMANLANDS LÄN</t>
        </is>
      </c>
      <c r="G261" t="inlineStr">
        <is>
          <t>ESKILSTUNA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46323</v>
      </c>
      <c r="F262" t="inlineStr">
        <is>
          <t>SÖDERMANLANDS LÄN</t>
        </is>
      </c>
      <c r="G262" t="inlineStr">
        <is>
          <t>ESKILSTUNA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46323</v>
      </c>
      <c r="F263" t="inlineStr">
        <is>
          <t>SÖDERMANLANDS LÄN</t>
        </is>
      </c>
      <c r="G263" t="inlineStr">
        <is>
          <t>ESKILSTUNA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61170-2021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44497</v>
      </c>
      <c r="E264" s="1" t="n">
        <v>46323</v>
      </c>
      <c r="F264" t="inlineStr">
        <is>
          <t>SÖDERMANLANDS LÄN</t>
        </is>
      </c>
      <c r="G264" t="inlineStr">
        <is>
          <t>ESKILSTUNA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46323</v>
      </c>
      <c r="F265" t="inlineStr">
        <is>
          <t>SÖDERMANLANDS LÄN</t>
        </is>
      </c>
      <c r="G265" t="inlineStr">
        <is>
          <t>ESKILSTUNA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46323</v>
      </c>
      <c r="F266" t="inlineStr">
        <is>
          <t>SÖDERMANLANDS LÄN</t>
        </is>
      </c>
      <c r="G266" t="inlineStr">
        <is>
          <t>ESKILSTUNA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46323</v>
      </c>
      <c r="F267" t="inlineStr">
        <is>
          <t>SÖDERMANLANDS LÄN</t>
        </is>
      </c>
      <c r="G267" t="inlineStr">
        <is>
          <t>ESKILSTUNA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46323</v>
      </c>
      <c r="F268" t="inlineStr">
        <is>
          <t>SÖDERMANLANDS LÄN</t>
        </is>
      </c>
      <c r="G268" t="inlineStr">
        <is>
          <t>ESKILSTUNA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46323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46323</v>
      </c>
      <c r="F270" t="inlineStr">
        <is>
          <t>SÖDERMANLANDS LÄN</t>
        </is>
      </c>
      <c r="G270" t="inlineStr">
        <is>
          <t>ESKILSTUNA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57546-2022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44889</v>
      </c>
      <c r="E271" s="1" t="n">
        <v>46323</v>
      </c>
      <c r="F271" t="inlineStr">
        <is>
          <t>SÖDERMANLANDS LÄN</t>
        </is>
      </c>
      <c r="G271" t="inlineStr">
        <is>
          <t>ESKILSTUNA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45049</v>
      </c>
      <c r="E272" s="1" t="n">
        <v>46323</v>
      </c>
      <c r="F272" t="inlineStr">
        <is>
          <t>SÖDERMANLANDS LÄN</t>
        </is>
      </c>
      <c r="G272" t="inlineStr">
        <is>
          <t>ESKILSTUNA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1340-2024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45303</v>
      </c>
      <c r="E273" s="1" t="n">
        <v>46323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46323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Övriga Aktiebolag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46323</v>
      </c>
      <c r="F275" t="inlineStr">
        <is>
          <t>SÖDERMANLANDS LÄN</t>
        </is>
      </c>
      <c r="G275" t="inlineStr">
        <is>
          <t>ESKILSTUNA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12547-2022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44638</v>
      </c>
      <c r="E276" s="1" t="n">
        <v>46323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45007</v>
      </c>
      <c r="E277" s="1" t="n">
        <v>46323</v>
      </c>
      <c r="F277" t="inlineStr">
        <is>
          <t>SÖDERMANLANDS LÄN</t>
        </is>
      </c>
      <c r="G277" t="inlineStr">
        <is>
          <t>ESKILSTUNA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46323</v>
      </c>
      <c r="F278" t="inlineStr">
        <is>
          <t>SÖDERMANLANDS LÄN</t>
        </is>
      </c>
      <c r="G278" t="inlineStr">
        <is>
          <t>ESKILSTUNA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45271</v>
      </c>
      <c r="E279" s="1" t="n">
        <v>46323</v>
      </c>
      <c r="F279" t="inlineStr">
        <is>
          <t>SÖDERMANLANDS LÄN</t>
        </is>
      </c>
      <c r="G279" t="inlineStr">
        <is>
          <t>ESKILSTUNA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70265-2021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44536</v>
      </c>
      <c r="E280" s="1" t="n">
        <v>46323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46323</v>
      </c>
      <c r="F281" t="inlineStr">
        <is>
          <t>SÖDERMANLANDS LÄN</t>
        </is>
      </c>
      <c r="G281" t="inlineStr">
        <is>
          <t>ESKILSTUNA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60276-2024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46323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Allmännings- och besparingsskogar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48877-2023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45209</v>
      </c>
      <c r="E283" s="1" t="n">
        <v>46323</v>
      </c>
      <c r="F283" t="inlineStr">
        <is>
          <t>SÖDERMANLANDS LÄN</t>
        </is>
      </c>
      <c r="G283" t="inlineStr">
        <is>
          <t>ESKILSTUNA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10010-2024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45363</v>
      </c>
      <c r="E284" s="1" t="n">
        <v>46323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46608-2024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45582</v>
      </c>
      <c r="E285" s="1" t="n">
        <v>46323</v>
      </c>
      <c r="F285" t="inlineStr">
        <is>
          <t>SÖDERMANLANDS LÄN</t>
        </is>
      </c>
      <c r="G285" t="inlineStr">
        <is>
          <t>ESKILSTUNA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44928</v>
      </c>
      <c r="E286" s="1" t="n">
        <v>46323</v>
      </c>
      <c r="F286" t="inlineStr">
        <is>
          <t>SÖDERMANLANDS LÄN</t>
        </is>
      </c>
      <c r="G286" t="inlineStr">
        <is>
          <t>ESKILSTUNA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46323</v>
      </c>
      <c r="F287" t="inlineStr">
        <is>
          <t>SÖDERMANLANDS LÄN</t>
        </is>
      </c>
      <c r="G287" t="inlineStr">
        <is>
          <t>ESKILSTUNA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61829-2023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45266</v>
      </c>
      <c r="E288" s="1" t="n">
        <v>46323</v>
      </c>
      <c r="F288" t="inlineStr">
        <is>
          <t>SÖDERMANLANDS LÄN</t>
        </is>
      </c>
      <c r="G288" t="inlineStr">
        <is>
          <t>ESKILSTUNA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44525</v>
      </c>
      <c r="E289" s="1" t="n">
        <v>46323</v>
      </c>
      <c r="F289" t="inlineStr">
        <is>
          <t>SÖDERMANLANDS LÄN</t>
        </is>
      </c>
      <c r="G289" t="inlineStr">
        <is>
          <t>ESKILSTUNA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46323</v>
      </c>
      <c r="F290" t="inlineStr">
        <is>
          <t>SÖDERMANLANDS LÄN</t>
        </is>
      </c>
      <c r="G290" t="inlineStr">
        <is>
          <t>ESKILSTUNA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46323</v>
      </c>
      <c r="F291" t="inlineStr">
        <is>
          <t>SÖDERMANLANDS LÄN</t>
        </is>
      </c>
      <c r="G291" t="inlineStr">
        <is>
          <t>ESKILSTUNA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46323</v>
      </c>
      <c r="F292" t="inlineStr">
        <is>
          <t>SÖDERMANLANDS LÄN</t>
        </is>
      </c>
      <c r="G292" t="inlineStr">
        <is>
          <t>ESKILSTUNA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35377-2023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45146</v>
      </c>
      <c r="E293" s="1" t="n">
        <v>46323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Kyrkan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46323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46323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13826-2025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46323</v>
      </c>
      <c r="F296" t="inlineStr">
        <is>
          <t>SÖDERMANLANDS LÄN</t>
        </is>
      </c>
      <c r="G296" t="inlineStr">
        <is>
          <t>ESKILSTUNA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46323</v>
      </c>
      <c r="F297" t="inlineStr">
        <is>
          <t>SÖDERMANLANDS LÄN</t>
        </is>
      </c>
      <c r="G297" t="inlineStr">
        <is>
          <t>ESKILSTUNA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46323</v>
      </c>
      <c r="F298" t="inlineStr">
        <is>
          <t>SÖDERMANLANDS LÄN</t>
        </is>
      </c>
      <c r="G298" t="inlineStr">
        <is>
          <t>ESKILSTUNA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46323</v>
      </c>
      <c r="F299" t="inlineStr">
        <is>
          <t>SÖDERMANLANDS LÄN</t>
        </is>
      </c>
      <c r="G299" t="inlineStr">
        <is>
          <t>ESKILSTUNA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45069</v>
      </c>
      <c r="E300" s="1" t="n">
        <v>46323</v>
      </c>
      <c r="F300" t="inlineStr">
        <is>
          <t>SÖDERMANLANDS LÄN</t>
        </is>
      </c>
      <c r="G300" t="inlineStr">
        <is>
          <t>ESKILSTUNA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44626</v>
      </c>
      <c r="E301" s="1" t="n">
        <v>46323</v>
      </c>
      <c r="F301" t="inlineStr">
        <is>
          <t>SÖDERMANLANDS LÄN</t>
        </is>
      </c>
      <c r="G301" t="inlineStr">
        <is>
          <t>ESKILSTUNA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44927-2023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45190</v>
      </c>
      <c r="E302" s="1" t="n">
        <v>46323</v>
      </c>
      <c r="F302" t="inlineStr">
        <is>
          <t>SÖDERMANLANDS LÄN</t>
        </is>
      </c>
      <c r="G302" t="inlineStr">
        <is>
          <t>ESKILSTUNA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44593</v>
      </c>
      <c r="E303" s="1" t="n">
        <v>46323</v>
      </c>
      <c r="F303" t="inlineStr">
        <is>
          <t>SÖDERMANLANDS LÄN</t>
        </is>
      </c>
      <c r="G303" t="inlineStr">
        <is>
          <t>ESKILSTUNA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29053-2026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46199</v>
      </c>
      <c r="E304" s="1" t="n">
        <v>46323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46323</v>
      </c>
      <c r="F305" t="inlineStr">
        <is>
          <t>SÖDERMANLANDS LÄN</t>
        </is>
      </c>
      <c r="G305" t="inlineStr">
        <is>
          <t>ESKILSTUNA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45435</v>
      </c>
      <c r="E306" s="1" t="n">
        <v>46323</v>
      </c>
      <c r="F306" t="inlineStr">
        <is>
          <t>SÖDERMANLANDS LÄN</t>
        </is>
      </c>
      <c r="G306" t="inlineStr">
        <is>
          <t>ESKILSTUNA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29051-2026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46199</v>
      </c>
      <c r="E307" s="1" t="n">
        <v>46323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45049</v>
      </c>
      <c r="E308" s="1" t="n">
        <v>46323</v>
      </c>
      <c r="F308" t="inlineStr">
        <is>
          <t>SÖDERMANLANDS LÄN</t>
        </is>
      </c>
      <c r="G308" t="inlineStr">
        <is>
          <t>ESKILSTUNA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22605-2023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45071</v>
      </c>
      <c r="E309" s="1" t="n">
        <v>46323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Kyrkan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44572</v>
      </c>
      <c r="E310" s="1" t="n">
        <v>46323</v>
      </c>
      <c r="F310" t="inlineStr">
        <is>
          <t>SÖDERMANLANDS LÄN</t>
        </is>
      </c>
      <c r="G310" t="inlineStr">
        <is>
          <t>ESKILSTUNA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44606</v>
      </c>
      <c r="E311" s="1" t="n">
        <v>46323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Kyrkan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46323</v>
      </c>
      <c r="F312" t="inlineStr">
        <is>
          <t>SÖDERMANLANDS LÄN</t>
        </is>
      </c>
      <c r="G312" t="inlineStr">
        <is>
          <t>ESKILSTUNA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46323</v>
      </c>
      <c r="F313" t="inlineStr">
        <is>
          <t>SÖDERMANLANDS LÄN</t>
        </is>
      </c>
      <c r="G313" t="inlineStr">
        <is>
          <t>ESKILSTUNA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46323</v>
      </c>
      <c r="F314" t="inlineStr">
        <is>
          <t>SÖDERMANLANDS LÄN</t>
        </is>
      </c>
      <c r="G314" t="inlineStr">
        <is>
          <t>ESKILSTUNA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45643</v>
      </c>
      <c r="E315" s="1" t="n">
        <v>46323</v>
      </c>
      <c r="F315" t="inlineStr">
        <is>
          <t>SÖDERMANLANDS LÄN</t>
        </is>
      </c>
      <c r="G315" t="inlineStr">
        <is>
          <t>ESKILSTUNA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13495-2024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45387</v>
      </c>
      <c r="E316" s="1" t="n">
        <v>46323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Kyrkan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46157</v>
      </c>
      <c r="E317" s="1" t="n">
        <v>46323</v>
      </c>
      <c r="F317" t="inlineStr">
        <is>
          <t>SÖDERMANLANDS LÄN</t>
        </is>
      </c>
      <c r="G317" t="inlineStr">
        <is>
          <t>ESKILSTUNA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46323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Allmännings- och besparingsskogar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45210</v>
      </c>
      <c r="E319" s="1" t="n">
        <v>46323</v>
      </c>
      <c r="F319" t="inlineStr">
        <is>
          <t>SÖDERMANLANDS LÄN</t>
        </is>
      </c>
      <c r="G319" t="inlineStr">
        <is>
          <t>ESKILSTUNA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46213</v>
      </c>
      <c r="E320" s="1" t="n">
        <v>46323</v>
      </c>
      <c r="F320" t="inlineStr">
        <is>
          <t>SÖDERMANLANDS LÄN</t>
        </is>
      </c>
      <c r="G320" t="inlineStr">
        <is>
          <t>ESKILSTUNA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46323</v>
      </c>
      <c r="F321" t="inlineStr">
        <is>
          <t>SÖDERMANLANDS LÄN</t>
        </is>
      </c>
      <c r="G321" t="inlineStr">
        <is>
          <t>ESKILSTUNA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31131-2026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46216</v>
      </c>
      <c r="E322" s="1" t="n">
        <v>46323</v>
      </c>
      <c r="F322" t="inlineStr">
        <is>
          <t>SÖDERMANLANDS LÄN</t>
        </is>
      </c>
      <c r="G322" t="inlineStr">
        <is>
          <t>ESKILSTUNA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46217</v>
      </c>
      <c r="E323" s="1" t="n">
        <v>46323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Kommuner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46217</v>
      </c>
      <c r="E324" s="1" t="n">
        <v>46323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Kommuner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46216</v>
      </c>
      <c r="E325" s="1" t="n">
        <v>46323</v>
      </c>
      <c r="F325" t="inlineStr">
        <is>
          <t>SÖDERMANLANDS LÄN</t>
        </is>
      </c>
      <c r="G325" t="inlineStr">
        <is>
          <t>ESKILSTUNA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46219</v>
      </c>
      <c r="E326" s="1" t="n">
        <v>46323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51801-2025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45950</v>
      </c>
      <c r="E327" s="1" t="n">
        <v>46323</v>
      </c>
      <c r="F327" t="inlineStr">
        <is>
          <t>SÖDERMANLANDS LÄN</t>
        </is>
      </c>
      <c r="G327" t="inlineStr">
        <is>
          <t>ESKILSTUNA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26871-2023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46323</v>
      </c>
      <c r="F328" t="inlineStr">
        <is>
          <t>SÖDERMANLANDS LÄN</t>
        </is>
      </c>
      <c r="G328" t="inlineStr">
        <is>
          <t>ESKILSTUNA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24537-2025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45798</v>
      </c>
      <c r="E329" s="1" t="n">
        <v>46323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24534-2025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45798</v>
      </c>
      <c r="E330" s="1" t="n">
        <v>46323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Sveaskog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24535-2025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45798</v>
      </c>
      <c r="E331" s="1" t="n">
        <v>46323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Sveaskog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24536-2025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45798</v>
      </c>
      <c r="E332" s="1" t="n">
        <v>46323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Sveaskog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44886</v>
      </c>
      <c r="E333" s="1" t="n">
        <v>46323</v>
      </c>
      <c r="F333" t="inlineStr">
        <is>
          <t>SÖDERMANLANDS LÄN</t>
        </is>
      </c>
      <c r="G333" t="inlineStr">
        <is>
          <t>ESKILSTUNA</t>
        </is>
      </c>
      <c r="I333" t="n">
        <v>15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45798</v>
      </c>
      <c r="E334" s="1" t="n">
        <v>46323</v>
      </c>
      <c r="F334" t="inlineStr">
        <is>
          <t>SÖDERMANLANDS LÄN</t>
        </is>
      </c>
      <c r="G334" t="inlineStr">
        <is>
          <t>ESKILSTUNA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46323</v>
      </c>
      <c r="F335" t="inlineStr">
        <is>
          <t>SÖDERMANLANDS LÄN</t>
        </is>
      </c>
      <c r="G335" t="inlineStr">
        <is>
          <t>ESKILSTUNA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24667-2025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46323</v>
      </c>
      <c r="F336" t="inlineStr">
        <is>
          <t>SÖDERMANLANDS LÄN</t>
        </is>
      </c>
      <c r="G336" t="inlineStr">
        <is>
          <t>ESKILSTUNA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45183</v>
      </c>
      <c r="E337" s="1" t="n">
        <v>46323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45237</v>
      </c>
      <c r="E338" s="1" t="n">
        <v>46323</v>
      </c>
      <c r="F338" t="inlineStr">
        <is>
          <t>SÖDERMANLANDS LÄN</t>
        </is>
      </c>
      <c r="G338" t="inlineStr">
        <is>
          <t>ESKILSTUNA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13153-2026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46092</v>
      </c>
      <c r="E339" s="1" t="n">
        <v>46323</v>
      </c>
      <c r="F339" t="inlineStr">
        <is>
          <t>SÖDERMANLANDS LÄN</t>
        </is>
      </c>
      <c r="G339" t="inlineStr">
        <is>
          <t>ESKILSTUNA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4200-2025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45685</v>
      </c>
      <c r="E340" s="1" t="n">
        <v>46323</v>
      </c>
      <c r="F340" t="inlineStr">
        <is>
          <t>SÖDERMANLANDS LÄN</t>
        </is>
      </c>
      <c r="G340" t="inlineStr">
        <is>
          <t>ESKILSTUNA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46323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Allmännings- och besparingsskogar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44664</v>
      </c>
      <c r="E342" s="1" t="n">
        <v>46323</v>
      </c>
      <c r="F342" t="inlineStr">
        <is>
          <t>SÖDERMANLANDS LÄN</t>
        </is>
      </c>
      <c r="G342" t="inlineStr">
        <is>
          <t>ESKILSTUNA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45723</v>
      </c>
      <c r="E343" s="1" t="n">
        <v>46323</v>
      </c>
      <c r="F343" t="inlineStr">
        <is>
          <t>SÖDERMANLANDS LÄN</t>
        </is>
      </c>
      <c r="G343" t="inlineStr">
        <is>
          <t>ESKILSTUNA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45240</v>
      </c>
      <c r="E344" s="1" t="n">
        <v>46323</v>
      </c>
      <c r="F344" t="inlineStr">
        <is>
          <t>SÖDERMANLANDS LÄN</t>
        </is>
      </c>
      <c r="G344" t="inlineStr">
        <is>
          <t>ESKILSTUNA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46237</v>
      </c>
      <c r="E345" s="1" t="n">
        <v>46323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Sveaskog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25229-2022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44729</v>
      </c>
      <c r="E346" s="1" t="n">
        <v>46323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Allmännings- och besparingsskogar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46238</v>
      </c>
      <c r="E347" s="1" t="n">
        <v>46323</v>
      </c>
      <c r="F347" t="inlineStr">
        <is>
          <t>SÖDERMANLANDS LÄN</t>
        </is>
      </c>
      <c r="G347" t="inlineStr">
        <is>
          <t>ESKILSTUNA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43489-2024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45568</v>
      </c>
      <c r="E348" s="1" t="n">
        <v>46323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61831-2023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45266</v>
      </c>
      <c r="E349" s="1" t="n">
        <v>46323</v>
      </c>
      <c r="F349" t="inlineStr">
        <is>
          <t>SÖDERMANLANDS LÄN</t>
        </is>
      </c>
      <c r="G349" t="inlineStr">
        <is>
          <t>ESKILSTUNA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29068-2022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44749</v>
      </c>
      <c r="E350" s="1" t="n">
        <v>46323</v>
      </c>
      <c r="F350" t="inlineStr">
        <is>
          <t>SÖDERMANLANDS LÄN</t>
        </is>
      </c>
      <c r="G350" t="inlineStr">
        <is>
          <t>ESKILSTUNA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46238</v>
      </c>
      <c r="E351" s="1" t="n">
        <v>46323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Sveaskog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46239</v>
      </c>
      <c r="E352" s="1" t="n">
        <v>46323</v>
      </c>
      <c r="F352" t="inlineStr">
        <is>
          <t>SÖDERMANLANDS LÄN</t>
        </is>
      </c>
      <c r="G352" t="inlineStr">
        <is>
          <t>ESKILSTUNA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46323</v>
      </c>
      <c r="F353" t="inlineStr">
        <is>
          <t>SÖDERMANLANDS LÄN</t>
        </is>
      </c>
      <c r="G353" t="inlineStr">
        <is>
          <t>ESKILSTUNA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1334-2024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45303</v>
      </c>
      <c r="E354" s="1" t="n">
        <v>46323</v>
      </c>
      <c r="F354" t="inlineStr">
        <is>
          <t>SÖDERMANLANDS LÄN</t>
        </is>
      </c>
      <c r="G354" t="inlineStr">
        <is>
          <t>ESKILSTUNA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45159</v>
      </c>
      <c r="E355" s="1" t="n">
        <v>46323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29750-2022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44755</v>
      </c>
      <c r="E356" s="1" t="n">
        <v>46323</v>
      </c>
      <c r="F356" t="inlineStr">
        <is>
          <t>SÖDERMANLANDS LÄN</t>
        </is>
      </c>
      <c r="G356" t="inlineStr">
        <is>
          <t>ESKILSTUNA</t>
        </is>
      </c>
      <c r="I356" t="n">
        <v>20.1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45715</v>
      </c>
      <c r="E357" s="1" t="n">
        <v>46323</v>
      </c>
      <c r="F357" t="inlineStr">
        <is>
          <t>SÖDERMANLANDS LÄN</t>
        </is>
      </c>
      <c r="G357" t="inlineStr">
        <is>
          <t>ESKILSTUNA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46241</v>
      </c>
      <c r="E358" s="1" t="n">
        <v>46323</v>
      </c>
      <c r="F358" t="inlineStr">
        <is>
          <t>SÖDERMANLANDS LÄN</t>
        </is>
      </c>
      <c r="G358" t="inlineStr">
        <is>
          <t>ESKILSTUNA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30968-2022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44768</v>
      </c>
      <c r="E359" s="1" t="n">
        <v>46323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Sveaskog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52663-2023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45225</v>
      </c>
      <c r="E360" s="1" t="n">
        <v>46323</v>
      </c>
      <c r="F360" t="inlineStr">
        <is>
          <t>SÖDERMANLANDS LÄN</t>
        </is>
      </c>
      <c r="G360" t="inlineStr">
        <is>
          <t>ESKILSTUNA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46323</v>
      </c>
      <c r="F361" t="inlineStr">
        <is>
          <t>SÖDERMANLANDS LÄN</t>
        </is>
      </c>
      <c r="G361" t="inlineStr">
        <is>
          <t>ESKILSTUNA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33087-2026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46245</v>
      </c>
      <c r="E362" s="1" t="n">
        <v>46323</v>
      </c>
      <c r="F362" t="inlineStr">
        <is>
          <t>SÖDERMANLANDS LÄN</t>
        </is>
      </c>
      <c r="G362" t="inlineStr">
        <is>
          <t>ESKILSTUNA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44804</v>
      </c>
      <c r="E363" s="1" t="n">
        <v>46323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46245</v>
      </c>
      <c r="E364" s="1" t="n">
        <v>46323</v>
      </c>
      <c r="F364" t="inlineStr">
        <is>
          <t>SÖDERMANLANDS LÄN</t>
        </is>
      </c>
      <c r="G364" t="inlineStr">
        <is>
          <t>ESKILSTUNA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46287</v>
      </c>
      <c r="E365" s="1" t="n">
        <v>46323</v>
      </c>
      <c r="F365" t="inlineStr">
        <is>
          <t>SÖDERMANLANDS LÄN</t>
        </is>
      </c>
      <c r="G365" t="inlineStr">
        <is>
          <t>ESKILSTUNA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46323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46323</v>
      </c>
      <c r="F367" t="inlineStr">
        <is>
          <t>SÖDERMANLANDS LÄN</t>
        </is>
      </c>
      <c r="G367" t="inlineStr">
        <is>
          <t>ESKILSTUNA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46244</v>
      </c>
      <c r="E368" s="1" t="n">
        <v>46323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Kommuner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46287</v>
      </c>
      <c r="E369" s="1" t="n">
        <v>46323</v>
      </c>
      <c r="F369" t="inlineStr">
        <is>
          <t>SÖDERMANLANDS LÄN</t>
        </is>
      </c>
      <c r="G369" t="inlineStr">
        <is>
          <t>ESKILSTUNA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46323</v>
      </c>
      <c r="F370" t="inlineStr">
        <is>
          <t>SÖDERMANLANDS LÄN</t>
        </is>
      </c>
      <c r="G370" t="inlineStr">
        <is>
          <t>ESKILSTUNA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46323</v>
      </c>
      <c r="F371" t="inlineStr">
        <is>
          <t>SÖDERMANLANDS LÄN</t>
        </is>
      </c>
      <c r="G371" t="inlineStr">
        <is>
          <t>ESKILSTUNA</t>
        </is>
      </c>
      <c r="H371" t="inlineStr">
        <is>
          <t>Kommuner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46246</v>
      </c>
      <c r="E372" s="1" t="n">
        <v>46323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61830-2023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45266</v>
      </c>
      <c r="E373" s="1" t="n">
        <v>46323</v>
      </c>
      <c r="F373" t="inlineStr">
        <is>
          <t>SÖDERMANLANDS LÄN</t>
        </is>
      </c>
      <c r="G373" t="inlineStr">
        <is>
          <t>ESKILSTUNA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46323</v>
      </c>
      <c r="F374" t="inlineStr">
        <is>
          <t>SÖDERMANLANDS LÄN</t>
        </is>
      </c>
      <c r="G374" t="inlineStr">
        <is>
          <t>ESKILSTUNA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36613-2024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46323</v>
      </c>
      <c r="F375" t="inlineStr">
        <is>
          <t>SÖDERMANLANDS LÄN</t>
        </is>
      </c>
      <c r="G375" t="inlineStr">
        <is>
          <t>ESKILSTUNA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39700-2026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46289</v>
      </c>
      <c r="E376" s="1" t="n">
        <v>46323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44582</v>
      </c>
      <c r="E377" s="1" t="n">
        <v>46323</v>
      </c>
      <c r="F377" t="inlineStr">
        <is>
          <t>SÖDERMANLANDS LÄN</t>
        </is>
      </c>
      <c r="G377" t="inlineStr">
        <is>
          <t>ESKILSTUNA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36142-2022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44803</v>
      </c>
      <c r="E378" s="1" t="n">
        <v>46323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44803</v>
      </c>
      <c r="E379" s="1" t="n">
        <v>46323</v>
      </c>
      <c r="F379" t="inlineStr">
        <is>
          <t>SÖDERMANLANDS LÄN</t>
        </is>
      </c>
      <c r="G379" t="inlineStr">
        <is>
          <t>ESKILSTUNA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70613-2021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44537</v>
      </c>
      <c r="E380" s="1" t="n">
        <v>46323</v>
      </c>
      <c r="F380" t="inlineStr">
        <is>
          <t>SÖDERMANLANDS LÄN</t>
        </is>
      </c>
      <c r="G380" t="inlineStr">
        <is>
          <t>ESKILSTUNA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44615-2022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46323</v>
      </c>
      <c r="F381" t="inlineStr">
        <is>
          <t>SÖDERMANLANDS LÄN</t>
        </is>
      </c>
      <c r="G381" t="inlineStr">
        <is>
          <t>ESKILSTUNA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45763</v>
      </c>
      <c r="E382" s="1" t="n">
        <v>46323</v>
      </c>
      <c r="F382" t="inlineStr">
        <is>
          <t>SÖDERMANLANDS LÄN</t>
        </is>
      </c>
      <c r="G382" t="inlineStr">
        <is>
          <t>ESKILSTUNA</t>
        </is>
      </c>
      <c r="I382" t="n">
        <v>15.6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46323</v>
      </c>
      <c r="F383" t="inlineStr">
        <is>
          <t>SÖDERMANLANDS LÄN</t>
        </is>
      </c>
      <c r="G383" t="inlineStr">
        <is>
          <t>ESKILSTUNA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46323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46323</v>
      </c>
      <c r="F385" t="inlineStr">
        <is>
          <t>SÖDERMANLANDS LÄN</t>
        </is>
      </c>
      <c r="G385" t="inlineStr">
        <is>
          <t>ESKILSTUNA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46108</v>
      </c>
      <c r="E386" s="1" t="n">
        <v>46323</v>
      </c>
      <c r="F386" t="inlineStr">
        <is>
          <t>SÖDERMANLANDS LÄN</t>
        </is>
      </c>
      <c r="G386" t="inlineStr">
        <is>
          <t>ESKILSTUNA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44874</v>
      </c>
      <c r="E387" s="1" t="n">
        <v>46323</v>
      </c>
      <c r="F387" t="inlineStr">
        <is>
          <t>SÖDERMANLANDS LÄN</t>
        </is>
      </c>
      <c r="G387" t="inlineStr">
        <is>
          <t>ESKILSTUNA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44938</v>
      </c>
      <c r="E388" s="1" t="n">
        <v>46323</v>
      </c>
      <c r="F388" t="inlineStr">
        <is>
          <t>SÖDERMANLANDS LÄN</t>
        </is>
      </c>
      <c r="G388" t="inlineStr">
        <is>
          <t>ESKILSTUNA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18105-2026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46125</v>
      </c>
      <c r="E389" s="1" t="n">
        <v>46323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46323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45005</v>
      </c>
      <c r="E391" s="1" t="n">
        <v>46323</v>
      </c>
      <c r="F391" t="inlineStr">
        <is>
          <t>SÖDERMANLANDS LÄN</t>
        </is>
      </c>
      <c r="G391" t="inlineStr">
        <is>
          <t>ESKILSTUNA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46323</v>
      </c>
      <c r="F392" t="inlineStr">
        <is>
          <t>SÖDERMANLANDS LÄN</t>
        </is>
      </c>
      <c r="G392" t="inlineStr">
        <is>
          <t>ESKILSTUNA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46323</v>
      </c>
      <c r="F393" t="inlineStr">
        <is>
          <t>SÖDERMANLANDS LÄN</t>
        </is>
      </c>
      <c r="G393" t="inlineStr">
        <is>
          <t>ESKILSTUNA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46254</v>
      </c>
      <c r="E394" s="1" t="n">
        <v>46323</v>
      </c>
      <c r="F394" t="inlineStr">
        <is>
          <t>SÖDERMANLANDS LÄN</t>
        </is>
      </c>
      <c r="G394" t="inlineStr">
        <is>
          <t>ESKILSTUNA</t>
        </is>
      </c>
      <c r="H394" t="inlineStr">
        <is>
          <t>Allmännings- och besparingsskogar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44942</v>
      </c>
      <c r="E395" s="1" t="n">
        <v>46323</v>
      </c>
      <c r="F395" t="inlineStr">
        <is>
          <t>SÖDERMANLANDS LÄN</t>
        </is>
      </c>
      <c r="G395" t="inlineStr">
        <is>
          <t>ESKILSTUNA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46323</v>
      </c>
      <c r="F396" t="inlineStr">
        <is>
          <t>SÖDERMANLANDS LÄN</t>
        </is>
      </c>
      <c r="G396" t="inlineStr">
        <is>
          <t>ESKILSTUNA</t>
        </is>
      </c>
      <c r="I396" t="n">
        <v>11.6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45608</v>
      </c>
      <c r="E397" s="1" t="n">
        <v>46323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Övriga Aktiebolag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45062</v>
      </c>
      <c r="E398" s="1" t="n">
        <v>46323</v>
      </c>
      <c r="F398" t="inlineStr">
        <is>
          <t>SÖDERMANLANDS LÄN</t>
        </is>
      </c>
      <c r="G398" t="inlineStr">
        <is>
          <t>ESKILSTUNA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45006</v>
      </c>
      <c r="E399" s="1" t="n">
        <v>46323</v>
      </c>
      <c r="F399" t="inlineStr">
        <is>
          <t>SÖDERMANLANDS LÄN</t>
        </is>
      </c>
      <c r="G399" t="inlineStr">
        <is>
          <t>ESKILSTUNA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55673-2024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46323</v>
      </c>
      <c r="F400" t="inlineStr">
        <is>
          <t>SÖDERMANLANDS LÄN</t>
        </is>
      </c>
      <c r="G400" t="inlineStr">
        <is>
          <t>ESKILSTUNA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46323</v>
      </c>
      <c r="F401" t="inlineStr">
        <is>
          <t>SÖDERMANLANDS LÄN</t>
        </is>
      </c>
      <c r="G401" t="inlineStr">
        <is>
          <t>ESKILSTUNA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46323</v>
      </c>
      <c r="F402" t="inlineStr">
        <is>
          <t>SÖDERMANLANDS LÄN</t>
        </is>
      </c>
      <c r="G402" t="inlineStr">
        <is>
          <t>ESKILSTUNA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45833</v>
      </c>
      <c r="E403" s="1" t="n">
        <v>46323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44862-2025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45918</v>
      </c>
      <c r="E404" s="1" t="n">
        <v>46323</v>
      </c>
      <c r="F404" t="inlineStr">
        <is>
          <t>SÖDERMANLANDS LÄN</t>
        </is>
      </c>
      <c r="G404" t="inlineStr">
        <is>
          <t>ESKILSTUNA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45004</v>
      </c>
      <c r="E405" s="1" t="n">
        <v>46323</v>
      </c>
      <c r="F405" t="inlineStr">
        <is>
          <t>SÖDERMANLANDS LÄN</t>
        </is>
      </c>
      <c r="G405" t="inlineStr">
        <is>
          <t>ESKILSTUNA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46872-2022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44851</v>
      </c>
      <c r="E406" s="1" t="n">
        <v>46323</v>
      </c>
      <c r="F406" t="inlineStr">
        <is>
          <t>SÖDERMANLANDS LÄN</t>
        </is>
      </c>
      <c r="G406" t="inlineStr">
        <is>
          <t>ESKILSTUNA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46796-2023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45198</v>
      </c>
      <c r="E407" s="1" t="n">
        <v>46323</v>
      </c>
      <c r="F407" t="inlineStr">
        <is>
          <t>SÖDERMANLANDS LÄN</t>
        </is>
      </c>
      <c r="G407" t="inlineStr">
        <is>
          <t>ESKILSTUNA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46323</v>
      </c>
      <c r="F408" t="inlineStr">
        <is>
          <t>SÖDERMANLANDS LÄN</t>
        </is>
      </c>
      <c r="G408" t="inlineStr">
        <is>
          <t>ESKILSTUNA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44804</v>
      </c>
      <c r="E409" s="1" t="n">
        <v>46323</v>
      </c>
      <c r="F409" t="inlineStr">
        <is>
          <t>SÖDERMANLANDS LÄN</t>
        </is>
      </c>
      <c r="G409" t="inlineStr">
        <is>
          <t>ESKILSTUNA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42935-2026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46310</v>
      </c>
      <c r="E410" s="1" t="n">
        <v>46323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Allmännings- och besparingsskogar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44729</v>
      </c>
      <c r="E411" s="1" t="n">
        <v>46323</v>
      </c>
      <c r="F411" t="inlineStr">
        <is>
          <t>SÖDERMANLANDS LÄN</t>
        </is>
      </c>
      <c r="G411" t="inlineStr">
        <is>
          <t>ESKILSTUNA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46310</v>
      </c>
      <c r="E412" s="1" t="n">
        <v>46323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11.1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59151-2022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46323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Allmännings- och besparingsskogar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44946</v>
      </c>
      <c r="E414" s="1" t="n">
        <v>46323</v>
      </c>
      <c r="F414" t="inlineStr">
        <is>
          <t>SÖDERMANLANDS LÄN</t>
        </is>
      </c>
      <c r="G414" t="inlineStr">
        <is>
          <t>ESKILSTUNA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44889</v>
      </c>
      <c r="E415" s="1" t="n">
        <v>46323</v>
      </c>
      <c r="F415" t="inlineStr">
        <is>
          <t>SÖDERMANLANDS LÄN</t>
        </is>
      </c>
      <c r="G415" t="inlineStr">
        <is>
          <t>ESKILSTUNA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4621-2022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44592</v>
      </c>
      <c r="E416" s="1" t="n">
        <v>46323</v>
      </c>
      <c r="F416" t="inlineStr">
        <is>
          <t>SÖDERMANLANDS LÄN</t>
        </is>
      </c>
      <c r="G416" t="inlineStr">
        <is>
          <t>ESKILSTUNA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45061</v>
      </c>
      <c r="E417" s="1" t="n">
        <v>46323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35076-2022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44797</v>
      </c>
      <c r="E418" s="1" t="n">
        <v>46323</v>
      </c>
      <c r="F418" t="inlineStr">
        <is>
          <t>SÖDERMANLANDS LÄN</t>
        </is>
      </c>
      <c r="G418" t="inlineStr">
        <is>
          <t>ESKILSTUNA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59773-2025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46323</v>
      </c>
      <c r="F419" t="inlineStr">
        <is>
          <t>SÖDERMANLANDS LÄN</t>
        </is>
      </c>
      <c r="G419" t="inlineStr">
        <is>
          <t>ESKILSTUNA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45329</v>
      </c>
      <c r="E420" s="1" t="n">
        <v>46323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Kyrkan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30096-2025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45826</v>
      </c>
      <c r="E421" s="1" t="n">
        <v>46323</v>
      </c>
      <c r="F421" t="inlineStr">
        <is>
          <t>SÖDERMANLANDS LÄN</t>
        </is>
      </c>
      <c r="G421" t="inlineStr">
        <is>
          <t>ESKILSTUNA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50484-2025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45945</v>
      </c>
      <c r="E422" s="1" t="n">
        <v>46323</v>
      </c>
      <c r="F422" t="inlineStr">
        <is>
          <t>SÖDERMANLANDS LÄN</t>
        </is>
      </c>
      <c r="G422" t="inlineStr">
        <is>
          <t>ESKILSTUNA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46323</v>
      </c>
      <c r="F423" t="inlineStr">
        <is>
          <t>SÖDERMANLANDS LÄN</t>
        </is>
      </c>
      <c r="G423" t="inlineStr">
        <is>
          <t>ESKILSTUNA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30004-2025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45826</v>
      </c>
      <c r="E424" s="1" t="n">
        <v>46323</v>
      </c>
      <c r="F424" t="inlineStr">
        <is>
          <t>SÖDERMANLANDS LÄN</t>
        </is>
      </c>
      <c r="G424" t="inlineStr">
        <is>
          <t>ESKILSTUNA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44953</v>
      </c>
      <c r="E425" s="1" t="n">
        <v>46323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30117-2025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45826</v>
      </c>
      <c r="E426" s="1" t="n">
        <v>46323</v>
      </c>
      <c r="F426" t="inlineStr">
        <is>
          <t>SÖDERMANLANDS LÄN</t>
        </is>
      </c>
      <c r="G426" t="inlineStr">
        <is>
          <t>ESKILSTUNA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45303</v>
      </c>
      <c r="E427" s="1" t="n">
        <v>46323</v>
      </c>
      <c r="F427" t="inlineStr">
        <is>
          <t>SÖDERMANLANDS LÄN</t>
        </is>
      </c>
      <c r="G427" t="inlineStr">
        <is>
          <t>ESKILSTUNA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40574-2023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45170</v>
      </c>
      <c r="E428" s="1" t="n">
        <v>46323</v>
      </c>
      <c r="F428" t="inlineStr">
        <is>
          <t>SÖDERMANLANDS LÄN</t>
        </is>
      </c>
      <c r="G428" t="inlineStr">
        <is>
          <t>ESKILSTUNA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45303</v>
      </c>
      <c r="E429" s="1" t="n">
        <v>46323</v>
      </c>
      <c r="F429" t="inlineStr">
        <is>
          <t>SÖDERMANLANDS LÄN</t>
        </is>
      </c>
      <c r="G429" t="inlineStr">
        <is>
          <t>ESKILSTUNA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36648-2022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44804</v>
      </c>
      <c r="E430" s="1" t="n">
        <v>46323</v>
      </c>
      <c r="F430" t="inlineStr">
        <is>
          <t>SÖDERMANLANDS LÄN</t>
        </is>
      </c>
      <c r="G430" t="inlineStr">
        <is>
          <t>ESKILSTUNA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46311</v>
      </c>
      <c r="E431" s="1" t="n">
        <v>46323</v>
      </c>
      <c r="F431" t="inlineStr">
        <is>
          <t>SÖDERMANLANDS LÄN</t>
        </is>
      </c>
      <c r="G431" t="inlineStr">
        <is>
          <t>ESKILSTUNA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46323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39543-2023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45167</v>
      </c>
      <c r="E433" s="1" t="n">
        <v>46323</v>
      </c>
      <c r="F433" t="inlineStr">
        <is>
          <t>SÖDERMANLANDS LÄN</t>
        </is>
      </c>
      <c r="G433" t="inlineStr">
        <is>
          <t>ESKILSTUNA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46323</v>
      </c>
      <c r="F434" t="inlineStr">
        <is>
          <t>SÖDERMANLANDS LÄN</t>
        </is>
      </c>
      <c r="G434" t="inlineStr">
        <is>
          <t>ESKILSTUNA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44701</v>
      </c>
      <c r="E435" s="1" t="n">
        <v>46323</v>
      </c>
      <c r="F435" t="inlineStr">
        <is>
          <t>SÖDERMANLANDS LÄN</t>
        </is>
      </c>
      <c r="G435" t="inlineStr">
        <is>
          <t>ESKILSTUNA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44732</v>
      </c>
      <c r="E436" s="1" t="n">
        <v>46323</v>
      </c>
      <c r="F436" t="inlineStr">
        <is>
          <t>SÖDERMANLANDS LÄN</t>
        </is>
      </c>
      <c r="G436" t="inlineStr">
        <is>
          <t>ESKILSTUNA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46323</v>
      </c>
      <c r="F437" t="inlineStr">
        <is>
          <t>SÖDERMANLANDS LÄN</t>
        </is>
      </c>
      <c r="G437" t="inlineStr">
        <is>
          <t>ESKILSTUNA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46323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46323</v>
      </c>
      <c r="F439" t="inlineStr">
        <is>
          <t>SÖDERMANLANDS LÄN</t>
        </is>
      </c>
      <c r="G439" t="inlineStr">
        <is>
          <t>ESKILSTUNA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45518</v>
      </c>
      <c r="E440" s="1" t="n">
        <v>46323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Övriga Aktiebolag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46323</v>
      </c>
      <c r="F441" t="inlineStr">
        <is>
          <t>SÖDERMANLANDS LÄN</t>
        </is>
      </c>
      <c r="G441" t="inlineStr">
        <is>
          <t>ESKILSTUNA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46150</v>
      </c>
      <c r="E442" s="1" t="n">
        <v>46323</v>
      </c>
      <c r="F442" t="inlineStr">
        <is>
          <t>SÖDERMANLANDS LÄN</t>
        </is>
      </c>
      <c r="G442" t="inlineStr">
        <is>
          <t>ESKILSTUNA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46322</v>
      </c>
      <c r="E443" s="1" t="n">
        <v>46323</v>
      </c>
      <c r="F443" t="inlineStr">
        <is>
          <t>SÖDERMANLANDS LÄN</t>
        </is>
      </c>
      <c r="G443" t="inlineStr">
        <is>
          <t>ESKILSTUNA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20180-2022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44698</v>
      </c>
      <c r="E444" s="1" t="n">
        <v>46323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46322</v>
      </c>
      <c r="E445" s="1" t="n">
        <v>46323</v>
      </c>
      <c r="F445" t="inlineStr">
        <is>
          <t>SÖDERMANLANDS LÄN</t>
        </is>
      </c>
      <c r="G445" t="inlineStr">
        <is>
          <t>ESKILSTUNA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46323</v>
      </c>
      <c r="F446" t="inlineStr">
        <is>
          <t>SÖDERMANLANDS LÄN</t>
        </is>
      </c>
      <c r="G446" t="inlineStr">
        <is>
          <t>ESKILSTUNA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45694</v>
      </c>
      <c r="E447" s="1" t="n">
        <v>46323</v>
      </c>
      <c r="F447" t="inlineStr">
        <is>
          <t>SÖDERMANLANDS LÄN</t>
        </is>
      </c>
      <c r="G447" t="inlineStr">
        <is>
          <t>ESKILSTUNA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46323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22759-2026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46157</v>
      </c>
      <c r="E449" s="1" t="n">
        <v>46323</v>
      </c>
      <c r="F449" t="inlineStr">
        <is>
          <t>SÖDERMANLANDS LÄN</t>
        </is>
      </c>
      <c r="G449" t="inlineStr">
        <is>
          <t>ESKILSTUNA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9711-2025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45715</v>
      </c>
      <c r="E450" s="1" t="n">
        <v>46323</v>
      </c>
      <c r="F450" t="inlineStr">
        <is>
          <t>SÖDERMANLANDS LÄN</t>
        </is>
      </c>
      <c r="G450" t="inlineStr">
        <is>
          <t>ESKILSTUNA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45897</v>
      </c>
      <c r="E451" s="1" t="n">
        <v>46323</v>
      </c>
      <c r="F451" t="inlineStr">
        <is>
          <t>SÖDERMANLANDS LÄN</t>
        </is>
      </c>
      <c r="G451" t="inlineStr">
        <is>
          <t>ESKILSTUNA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23402-2026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46162</v>
      </c>
      <c r="E452" s="1" t="n">
        <v>46323</v>
      </c>
      <c r="F452" t="inlineStr">
        <is>
          <t>SÖDERMANLANDS LÄN</t>
        </is>
      </c>
      <c r="G452" t="inlineStr">
        <is>
          <t>ESKILSTUNA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52203-2025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45953</v>
      </c>
      <c r="E453" s="1" t="n">
        <v>46323</v>
      </c>
      <c r="F453" t="inlineStr">
        <is>
          <t>SÖDERMANLANDS LÄN</t>
        </is>
      </c>
      <c r="G453" t="inlineStr">
        <is>
          <t>ESKILSTUNA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51547-2024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45604</v>
      </c>
      <c r="E454" s="1" t="n">
        <v>46323</v>
      </c>
      <c r="F454" t="inlineStr">
        <is>
          <t>SÖDERMANLANDS LÄN</t>
        </is>
      </c>
      <c r="G454" t="inlineStr">
        <is>
          <t>ESKILSTUNA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23665-2026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46323</v>
      </c>
      <c r="F455" t="inlineStr">
        <is>
          <t>SÖDERMANLANDS LÄN</t>
        </is>
      </c>
      <c r="G455" t="inlineStr">
        <is>
          <t>ESKILSTUNA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45460</v>
      </c>
      <c r="E456" s="1" t="n">
        <v>46323</v>
      </c>
      <c r="F456" t="inlineStr">
        <is>
          <t>SÖDERMANLANDS LÄN</t>
        </is>
      </c>
      <c r="G456" t="inlineStr">
        <is>
          <t>ESKILSTUNA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45875</v>
      </c>
      <c r="E457" s="1" t="n">
        <v>46323</v>
      </c>
      <c r="F457" t="inlineStr">
        <is>
          <t>SÖDERMANLANDS LÄN</t>
        </is>
      </c>
      <c r="G457" t="inlineStr">
        <is>
          <t>ESKILSTUNA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22388-2026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46154</v>
      </c>
      <c r="E458" s="1" t="n">
        <v>46323</v>
      </c>
      <c r="F458" t="inlineStr">
        <is>
          <t>SÖDERMANLANDS LÄN</t>
        </is>
      </c>
      <c r="G458" t="inlineStr">
        <is>
          <t>ESKILSTUNA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45953</v>
      </c>
      <c r="E459" s="1" t="n">
        <v>46323</v>
      </c>
      <c r="F459" t="inlineStr">
        <is>
          <t>SÖDERMANLANDS LÄN</t>
        </is>
      </c>
      <c r="G459" t="inlineStr">
        <is>
          <t>ESKILSTUNA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56383-2025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46323</v>
      </c>
      <c r="F460" t="inlineStr">
        <is>
          <t>SÖDERMANLANDS LÄN</t>
        </is>
      </c>
      <c r="G460" t="inlineStr">
        <is>
          <t>ESKILSTUNA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46323</v>
      </c>
      <c r="F461" t="inlineStr">
        <is>
          <t>SÖDERMANLANDS LÄN</t>
        </is>
      </c>
      <c r="G461" t="inlineStr">
        <is>
          <t>ESKILSTUNA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26022-2026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46323</v>
      </c>
      <c r="F462" t="inlineStr">
        <is>
          <t>SÖDERMANLANDS LÄN</t>
        </is>
      </c>
      <c r="G462" t="inlineStr">
        <is>
          <t>ESKILSTUNA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46323</v>
      </c>
      <c r="F463" t="inlineStr">
        <is>
          <t>SÖDERMANLANDS LÄN</t>
        </is>
      </c>
      <c r="G463" t="inlineStr">
        <is>
          <t>ESKILSTUNA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26018-2026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46181</v>
      </c>
      <c r="E464" s="1" t="n">
        <v>46323</v>
      </c>
      <c r="F464" t="inlineStr">
        <is>
          <t>SÖDERMANLANDS LÄN</t>
        </is>
      </c>
      <c r="G464" t="inlineStr">
        <is>
          <t>ESKILSTUNA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46323</v>
      </c>
      <c r="F465" t="inlineStr">
        <is>
          <t>SÖDERMANLANDS LÄN</t>
        </is>
      </c>
      <c r="G465" t="inlineStr">
        <is>
          <t>ESKILSTUNA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46191</v>
      </c>
      <c r="E466" s="1" t="n">
        <v>46323</v>
      </c>
      <c r="F466" t="inlineStr">
        <is>
          <t>SÖDERMANLANDS LÄN</t>
        </is>
      </c>
      <c r="G466" t="inlineStr">
        <is>
          <t>ESKILSTUNA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27779-2026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46191</v>
      </c>
      <c r="E467" s="1" t="n">
        <v>46323</v>
      </c>
      <c r="F467" t="inlineStr">
        <is>
          <t>SÖDERMANLANDS LÄN</t>
        </is>
      </c>
      <c r="G467" t="inlineStr">
        <is>
          <t>ESKILSTUNA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46323</v>
      </c>
      <c r="F468" t="inlineStr">
        <is>
          <t>SÖDERMANLANDS LÄN</t>
        </is>
      </c>
      <c r="G468" t="inlineStr">
        <is>
          <t>ESKILSTUNA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1333-2020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43993</v>
      </c>
      <c r="E469" s="1" t="n">
        <v>46323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383-2023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44959</v>
      </c>
      <c r="E470" s="1" t="n">
        <v>46323</v>
      </c>
      <c r="F470" t="inlineStr">
        <is>
          <t>SÖDERMANLANDS LÄN</t>
        </is>
      </c>
      <c r="G470" t="inlineStr">
        <is>
          <t>ESKILSTUNA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3665-2023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45217</v>
      </c>
      <c r="E471" s="1" t="n">
        <v>46323</v>
      </c>
      <c r="F471" t="inlineStr">
        <is>
          <t>SÖDERMANLANDS LÄN</t>
        </is>
      </c>
      <c r="G471" t="inlineStr">
        <is>
          <t>ESKILSTUNA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4583-2023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45282</v>
      </c>
      <c r="E472" s="1" t="n">
        <v>46323</v>
      </c>
      <c r="F472" t="inlineStr">
        <is>
          <t>SÖDERMANLANDS LÄN</t>
        </is>
      </c>
      <c r="G472" t="inlineStr">
        <is>
          <t>ESKILSTUNA</t>
        </is>
      </c>
      <c r="I472" t="n">
        <v>31.4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1601-2025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45798</v>
      </c>
      <c r="E473" s="1" t="n">
        <v>46323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1602-2025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45798</v>
      </c>
      <c r="E474" s="1" t="n">
        <v>46323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291-2025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45686</v>
      </c>
      <c r="E475" s="1" t="n">
        <v>46323</v>
      </c>
      <c r="F475" t="inlineStr">
        <is>
          <t>SÖDERMANLANDS LÄN</t>
        </is>
      </c>
      <c r="G475" t="inlineStr">
        <is>
          <t>ESKILSTUNA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2917-2024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45504</v>
      </c>
      <c r="E476" s="1" t="n">
        <v>46323</v>
      </c>
      <c r="F476" t="inlineStr">
        <is>
          <t>SÖDERMANLANDS LÄN</t>
        </is>
      </c>
      <c r="G476" t="inlineStr">
        <is>
          <t>ESKILSTUNA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1920-2025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45826</v>
      </c>
      <c r="E477" s="1" t="n">
        <v>46323</v>
      </c>
      <c r="F477" t="inlineStr">
        <is>
          <t>SÖDERMANLANDS LÄN</t>
        </is>
      </c>
      <c r="G477" t="inlineStr">
        <is>
          <t>ESKILSTUNA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1030-2026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46125</v>
      </c>
      <c r="E478" s="1" t="n">
        <v>46323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1870-2026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46199</v>
      </c>
      <c r="E479" s="1" t="n">
        <v>46323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1871-2026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46199</v>
      </c>
      <c r="E480" s="1" t="n">
        <v>46323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2026-10-28T03:14:06Z</dcterms:created>
  <dcterms:modified xmlns:dcterms="http://purl.org/dc/terms/" xmlns:xsi="http://www.w3.org/2001/XMLSchema-instance" xsi:type="dcterms:W3CDTF">2026-10-28T03:14:06Z</dcterms:modified>
</cp:coreProperties>
</file>