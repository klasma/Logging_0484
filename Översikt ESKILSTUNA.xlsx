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45733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45733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45733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45733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45733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45733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45733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45733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45733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45733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45733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45733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45733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45733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45733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45733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45733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45733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45733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45733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45733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45733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45733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45733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45733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45733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45733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45733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45733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45733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45733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45733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45733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45733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45733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45733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45733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45733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45733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45733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45733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45733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45733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45733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45733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45733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45733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45733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2514-2025</t>
        </is>
      </c>
      <c r="B50" s="1" t="n">
        <v>45674</v>
      </c>
      <c r="C50" s="1" t="n">
        <v>45733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Mindre hackspett
Bronshjon</t>
        </is>
      </c>
      <c r="S50">
        <f>HYPERLINK("https://klasma.github.io/Logging_0484/artfynd/A 2514-2025 artfynd.xlsx", "A 2514-2025")</f>
        <v/>
      </c>
      <c r="T50">
        <f>HYPERLINK("https://klasma.github.io/Logging_0484/kartor/A 2514-2025 karta.png", "A 2514-2025")</f>
        <v/>
      </c>
      <c r="U50">
        <f>HYPERLINK("https://klasma.github.io/Logging_0484/knärot/A 2514-2025 karta knärot.png", "A 2514-2025")</f>
        <v/>
      </c>
      <c r="V50">
        <f>HYPERLINK("https://klasma.github.io/Logging_0484/klagomål/A 2514-2025 FSC-klagomål.docx", "A 2514-2025")</f>
        <v/>
      </c>
      <c r="W50">
        <f>HYPERLINK("https://klasma.github.io/Logging_0484/klagomålsmail/A 2514-2025 FSC-klagomål mail.docx", "A 2514-2025")</f>
        <v/>
      </c>
      <c r="X50">
        <f>HYPERLINK("https://klasma.github.io/Logging_0484/tillsyn/A 2514-2025 tillsynsbegäran.docx", "A 2514-2025")</f>
        <v/>
      </c>
      <c r="Y50">
        <f>HYPERLINK("https://klasma.github.io/Logging_0484/tillsynsmail/A 2514-2025 tillsynsbegäran mail.docx", "A 2514-2025")</f>
        <v/>
      </c>
      <c r="Z50">
        <f>HYPERLINK("https://klasma.github.io/Logging_0484/fåglar/A 2514-2025 prioriterade fågelarter.docx", "A 2514-2025")</f>
        <v/>
      </c>
    </row>
    <row r="51" ht="15" customHeight="1">
      <c r="A51" t="inlineStr">
        <is>
          <t>A 4436-2025</t>
        </is>
      </c>
      <c r="B51" s="1" t="n">
        <v>45686</v>
      </c>
      <c r="C51" s="1" t="n">
        <v>45733</v>
      </c>
      <c r="D51" t="inlineStr">
        <is>
          <t>SÖDERMANLANDS LÄN</t>
        </is>
      </c>
      <c r="E51" t="inlineStr">
        <is>
          <t>ESKILSTUNA</t>
        </is>
      </c>
      <c r="G51" t="n">
        <v>2.1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Vårärt
Blåsippa</t>
        </is>
      </c>
      <c r="S51">
        <f>HYPERLINK("https://klasma.github.io/Logging_0484/artfynd/A 4436-2025 artfynd.xlsx", "A 4436-2025")</f>
        <v/>
      </c>
      <c r="T51">
        <f>HYPERLINK("https://klasma.github.io/Logging_0484/kartor/A 4436-2025 karta.png", "A 4436-2025")</f>
        <v/>
      </c>
      <c r="V51">
        <f>HYPERLINK("https://klasma.github.io/Logging_0484/klagomål/A 4436-2025 FSC-klagomål.docx", "A 4436-2025")</f>
        <v/>
      </c>
      <c r="W51">
        <f>HYPERLINK("https://klasma.github.io/Logging_0484/klagomålsmail/A 4436-2025 FSC-klagomål mail.docx", "A 4436-2025")</f>
        <v/>
      </c>
      <c r="X51">
        <f>HYPERLINK("https://klasma.github.io/Logging_0484/tillsyn/A 4436-2025 tillsynsbegäran.docx", "A 4436-2025")</f>
        <v/>
      </c>
      <c r="Y51">
        <f>HYPERLINK("https://klasma.github.io/Logging_0484/tillsynsmail/A 4436-2025 tillsynsbegäran mail.docx", "A 4436-2025")</f>
        <v/>
      </c>
    </row>
    <row r="52" ht="15" customHeight="1">
      <c r="A52" t="inlineStr">
        <is>
          <t>A 9495-2025</t>
        </is>
      </c>
      <c r="B52" s="1" t="n">
        <v>45715</v>
      </c>
      <c r="C52" s="1" t="n">
        <v>45733</v>
      </c>
      <c r="D52" t="inlineStr">
        <is>
          <t>SÖDERMANLANDS LÄN</t>
        </is>
      </c>
      <c r="E52" t="inlineStr">
        <is>
          <t>ESKILSTUNA</t>
        </is>
      </c>
      <c r="G52" t="n">
        <v>9.6</v>
      </c>
      <c r="H52" t="n">
        <v>0</v>
      </c>
      <c r="I52" t="n">
        <v>0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Ask
Svinrot
Ängsskära</t>
        </is>
      </c>
      <c r="S52">
        <f>HYPERLINK("https://klasma.github.io/Logging_0484/artfynd/A 9495-2025 artfynd.xlsx", "A 9495-2025")</f>
        <v/>
      </c>
      <c r="T52">
        <f>HYPERLINK("https://klasma.github.io/Logging_0484/kartor/A 9495-2025 karta.png", "A 9495-2025")</f>
        <v/>
      </c>
      <c r="V52">
        <f>HYPERLINK("https://klasma.github.io/Logging_0484/klagomål/A 9495-2025 FSC-klagomål.docx", "A 9495-2025")</f>
        <v/>
      </c>
      <c r="W52">
        <f>HYPERLINK("https://klasma.github.io/Logging_0484/klagomålsmail/A 9495-2025 FSC-klagomål mail.docx", "A 9495-2025")</f>
        <v/>
      </c>
      <c r="X52">
        <f>HYPERLINK("https://klasma.github.io/Logging_0484/tillsyn/A 9495-2025 tillsynsbegäran.docx", "A 9495-2025")</f>
        <v/>
      </c>
      <c r="Y52">
        <f>HYPERLINK("https://klasma.github.io/Logging_0484/tillsynsmail/A 9495-2025 tillsynsbegäran mail.docx", "A 9495-2025")</f>
        <v/>
      </c>
    </row>
    <row r="53" ht="15" customHeight="1">
      <c r="A53" t="inlineStr">
        <is>
          <t>A 43401-2019</t>
        </is>
      </c>
      <c r="B53" s="1" t="n">
        <v>43706</v>
      </c>
      <c r="C53" s="1" t="n">
        <v>45733</v>
      </c>
      <c r="D53" t="inlineStr">
        <is>
          <t>SÖDERMANLANDS LÄN</t>
        </is>
      </c>
      <c r="E53" t="inlineStr">
        <is>
          <t>ESKILSTUNA</t>
        </is>
      </c>
      <c r="G53" t="n">
        <v>22.9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 sköldmossa
Stubbspretmossa</t>
        </is>
      </c>
      <c r="S53">
        <f>HYPERLINK("https://klasma.github.io/Logging_0484/artfynd/A 43401-2019 artfynd.xlsx", "A 43401-2019")</f>
        <v/>
      </c>
      <c r="T53">
        <f>HYPERLINK("https://klasma.github.io/Logging_0484/kartor/A 43401-2019 karta.png", "A 43401-2019")</f>
        <v/>
      </c>
      <c r="V53">
        <f>HYPERLINK("https://klasma.github.io/Logging_0484/klagomål/A 43401-2019 FSC-klagomål.docx", "A 43401-2019")</f>
        <v/>
      </c>
      <c r="W53">
        <f>HYPERLINK("https://klasma.github.io/Logging_0484/klagomålsmail/A 43401-2019 FSC-klagomål mail.docx", "A 43401-2019")</f>
        <v/>
      </c>
      <c r="X53">
        <f>HYPERLINK("https://klasma.github.io/Logging_0484/tillsyn/A 43401-2019 tillsynsbegäran.docx", "A 43401-2019")</f>
        <v/>
      </c>
      <c r="Y53">
        <f>HYPERLINK("https://klasma.github.io/Logging_0484/tillsynsmail/A 43401-2019 tillsynsbegäran mail.docx", "A 43401-2019")</f>
        <v/>
      </c>
    </row>
    <row r="54" ht="15" customHeight="1">
      <c r="A54" t="inlineStr">
        <is>
          <t>A 51654-2019</t>
        </is>
      </c>
      <c r="B54" s="1" t="n">
        <v>43740</v>
      </c>
      <c r="C54" s="1" t="n">
        <v>45733</v>
      </c>
      <c r="D54" t="inlineStr">
        <is>
          <t>SÖDERMANLANDS LÄN</t>
        </is>
      </c>
      <c r="E54" t="inlineStr">
        <is>
          <t>ESKILSTUNA</t>
        </is>
      </c>
      <c r="G54" t="n">
        <v>7.9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Svartvit flugsnappare</t>
        </is>
      </c>
      <c r="S54">
        <f>HYPERLINK("https://klasma.github.io/Logging_0484/artfynd/A 51654-2019 artfynd.xlsx", "A 51654-2019")</f>
        <v/>
      </c>
      <c r="T54">
        <f>HYPERLINK("https://klasma.github.io/Logging_0484/kartor/A 51654-2019 karta.png", "A 51654-2019")</f>
        <v/>
      </c>
      <c r="V54">
        <f>HYPERLINK("https://klasma.github.io/Logging_0484/klagomål/A 51654-2019 FSC-klagomål.docx", "A 51654-2019")</f>
        <v/>
      </c>
      <c r="W54">
        <f>HYPERLINK("https://klasma.github.io/Logging_0484/klagomålsmail/A 51654-2019 FSC-klagomål mail.docx", "A 51654-2019")</f>
        <v/>
      </c>
      <c r="X54">
        <f>HYPERLINK("https://klasma.github.io/Logging_0484/tillsyn/A 51654-2019 tillsynsbegäran.docx", "A 51654-2019")</f>
        <v/>
      </c>
      <c r="Y54">
        <f>HYPERLINK("https://klasma.github.io/Logging_0484/tillsynsmail/A 51654-2019 tillsynsbegäran mail.docx", "A 51654-2019")</f>
        <v/>
      </c>
      <c r="Z54">
        <f>HYPERLINK("https://klasma.github.io/Logging_0484/fåglar/A 51654-2019 prioriterade fågelarter.docx", "A 51654-2019")</f>
        <v/>
      </c>
    </row>
    <row r="55" ht="15" customHeight="1">
      <c r="A55" t="inlineStr">
        <is>
          <t>A 69146-2019</t>
        </is>
      </c>
      <c r="B55" s="1" t="n">
        <v>43815</v>
      </c>
      <c r="C55" s="1" t="n">
        <v>45733</v>
      </c>
      <c r="D55" t="inlineStr">
        <is>
          <t>SÖDERMANLANDS LÄN</t>
        </is>
      </c>
      <c r="E55" t="inlineStr">
        <is>
          <t>ESKILSTUNA</t>
        </is>
      </c>
      <c r="G55" t="n">
        <v>19.3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Järpe
Kungsörn</t>
        </is>
      </c>
      <c r="S55">
        <f>HYPERLINK("https://klasma.github.io/Logging_0484/artfynd/A 69146-2019 artfynd.xlsx", "A 69146-2019")</f>
        <v/>
      </c>
      <c r="T55">
        <f>HYPERLINK("https://klasma.github.io/Logging_0484/kartor/A 69146-2019 karta.png", "A 69146-2019")</f>
        <v/>
      </c>
      <c r="V55">
        <f>HYPERLINK("https://klasma.github.io/Logging_0484/klagomål/A 69146-2019 FSC-klagomål.docx", "A 69146-2019")</f>
        <v/>
      </c>
      <c r="W55">
        <f>HYPERLINK("https://klasma.github.io/Logging_0484/klagomålsmail/A 69146-2019 FSC-klagomål mail.docx", "A 69146-2019")</f>
        <v/>
      </c>
      <c r="X55">
        <f>HYPERLINK("https://klasma.github.io/Logging_0484/tillsyn/A 69146-2019 tillsynsbegäran.docx", "A 69146-2019")</f>
        <v/>
      </c>
      <c r="Y55">
        <f>HYPERLINK("https://klasma.github.io/Logging_0484/tillsynsmail/A 69146-2019 tillsynsbegäran mail.docx", "A 69146-2019")</f>
        <v/>
      </c>
      <c r="Z55">
        <f>HYPERLINK("https://klasma.github.io/Logging_0484/fåglar/A 69146-2019 prioriterade fågelarter.docx", "A 69146-2019")</f>
        <v/>
      </c>
    </row>
    <row r="56" ht="15" customHeight="1">
      <c r="A56" t="inlineStr">
        <is>
          <t>A 3683-2020</t>
        </is>
      </c>
      <c r="B56" s="1" t="n">
        <v>43845</v>
      </c>
      <c r="C56" s="1" t="n">
        <v>45733</v>
      </c>
      <c r="D56" t="inlineStr">
        <is>
          <t>SÖDERMANLANDS LÄN</t>
        </is>
      </c>
      <c r="E56" t="inlineStr">
        <is>
          <t>ESKILSTUNA</t>
        </is>
      </c>
      <c r="G56" t="n">
        <v>10.3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Blåsippa</t>
        </is>
      </c>
      <c r="S56">
        <f>HYPERLINK("https://klasma.github.io/Logging_0484/artfynd/A 3683-2020 artfynd.xlsx", "A 3683-2020")</f>
        <v/>
      </c>
      <c r="T56">
        <f>HYPERLINK("https://klasma.github.io/Logging_0484/kartor/A 3683-2020 karta.png", "A 3683-2020")</f>
        <v/>
      </c>
      <c r="U56">
        <f>HYPERLINK("https://klasma.github.io/Logging_0484/knärot/A 3683-2020 karta knärot.png", "A 3683-2020")</f>
        <v/>
      </c>
      <c r="V56">
        <f>HYPERLINK("https://klasma.github.io/Logging_0484/klagomål/A 3683-2020 FSC-klagomål.docx", "A 3683-2020")</f>
        <v/>
      </c>
      <c r="W56">
        <f>HYPERLINK("https://klasma.github.io/Logging_0484/klagomålsmail/A 3683-2020 FSC-klagomål mail.docx", "A 3683-2020")</f>
        <v/>
      </c>
      <c r="X56">
        <f>HYPERLINK("https://klasma.github.io/Logging_0484/tillsyn/A 3683-2020 tillsynsbegäran.docx", "A 3683-2020")</f>
        <v/>
      </c>
      <c r="Y56">
        <f>HYPERLINK("https://klasma.github.io/Logging_0484/tillsynsmail/A 3683-2020 tillsynsbegäran mail.docx", "A 3683-2020")</f>
        <v/>
      </c>
    </row>
    <row r="57" ht="15" customHeight="1">
      <c r="A57" t="inlineStr">
        <is>
          <t>A 5581-2020</t>
        </is>
      </c>
      <c r="B57" s="1" t="n">
        <v>43861</v>
      </c>
      <c r="C57" s="1" t="n">
        <v>45733</v>
      </c>
      <c r="D57" t="inlineStr">
        <is>
          <t>SÖDERMANLANDS LÄN</t>
        </is>
      </c>
      <c r="E57" t="inlineStr">
        <is>
          <t>ESKILSTUNA</t>
        </is>
      </c>
      <c r="G57" t="n">
        <v>7.1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Rävticka
Vedticka</t>
        </is>
      </c>
      <c r="S57">
        <f>HYPERLINK("https://klasma.github.io/Logging_0484/artfynd/A 5581-2020 artfynd.xlsx", "A 5581-2020")</f>
        <v/>
      </c>
      <c r="T57">
        <f>HYPERLINK("https://klasma.github.io/Logging_0484/kartor/A 5581-2020 karta.png", "A 5581-2020")</f>
        <v/>
      </c>
      <c r="V57">
        <f>HYPERLINK("https://klasma.github.io/Logging_0484/klagomål/A 5581-2020 FSC-klagomål.docx", "A 5581-2020")</f>
        <v/>
      </c>
      <c r="W57">
        <f>HYPERLINK("https://klasma.github.io/Logging_0484/klagomålsmail/A 5581-2020 FSC-klagomål mail.docx", "A 5581-2020")</f>
        <v/>
      </c>
      <c r="X57">
        <f>HYPERLINK("https://klasma.github.io/Logging_0484/tillsyn/A 5581-2020 tillsynsbegäran.docx", "A 5581-2020")</f>
        <v/>
      </c>
      <c r="Y57">
        <f>HYPERLINK("https://klasma.github.io/Logging_0484/tillsynsmail/A 5581-2020 tillsynsbegäran mail.docx", "A 5581-2020")</f>
        <v/>
      </c>
    </row>
    <row r="58" ht="15" customHeight="1">
      <c r="A58" t="inlineStr">
        <is>
          <t>A 46353-2020</t>
        </is>
      </c>
      <c r="B58" s="1" t="n">
        <v>44092</v>
      </c>
      <c r="C58" s="1" t="n">
        <v>45733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Sandviol
Revlummer</t>
        </is>
      </c>
      <c r="S58">
        <f>HYPERLINK("https://klasma.github.io/Logging_0484/artfynd/A 46353-2020 artfynd.xlsx", "A 46353-2020")</f>
        <v/>
      </c>
      <c r="T58">
        <f>HYPERLINK("https://klasma.github.io/Logging_0484/kartor/A 46353-2020 karta.png", "A 46353-2020")</f>
        <v/>
      </c>
      <c r="V58">
        <f>HYPERLINK("https://klasma.github.io/Logging_0484/klagomål/A 46353-2020 FSC-klagomål.docx", "A 46353-2020")</f>
        <v/>
      </c>
      <c r="W58">
        <f>HYPERLINK("https://klasma.github.io/Logging_0484/klagomålsmail/A 46353-2020 FSC-klagomål mail.docx", "A 46353-2020")</f>
        <v/>
      </c>
      <c r="X58">
        <f>HYPERLINK("https://klasma.github.io/Logging_0484/tillsyn/A 46353-2020 tillsynsbegäran.docx", "A 46353-2020")</f>
        <v/>
      </c>
      <c r="Y58">
        <f>HYPERLINK("https://klasma.github.io/Logging_0484/tillsynsmail/A 46353-2020 tillsynsbegäran mail.docx", "A 46353-2020")</f>
        <v/>
      </c>
    </row>
    <row r="59" ht="15" customHeight="1">
      <c r="A59" t="inlineStr">
        <is>
          <t>A 56191-2020</t>
        </is>
      </c>
      <c r="B59" s="1" t="n">
        <v>44133</v>
      </c>
      <c r="C59" s="1" t="n">
        <v>45733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4.9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Svart trolldruva
Blåsippa</t>
        </is>
      </c>
      <c r="S59">
        <f>HYPERLINK("https://klasma.github.io/Logging_0484/artfynd/A 56191-2020 artfynd.xlsx", "A 56191-2020")</f>
        <v/>
      </c>
      <c r="T59">
        <f>HYPERLINK("https://klasma.github.io/Logging_0484/kartor/A 56191-2020 karta.png", "A 56191-2020")</f>
        <v/>
      </c>
      <c r="V59">
        <f>HYPERLINK("https://klasma.github.io/Logging_0484/klagomål/A 56191-2020 FSC-klagomål.docx", "A 56191-2020")</f>
        <v/>
      </c>
      <c r="W59">
        <f>HYPERLINK("https://klasma.github.io/Logging_0484/klagomålsmail/A 56191-2020 FSC-klagomål mail.docx", "A 56191-2020")</f>
        <v/>
      </c>
      <c r="X59">
        <f>HYPERLINK("https://klasma.github.io/Logging_0484/tillsyn/A 56191-2020 tillsynsbegäran.docx", "A 56191-2020")</f>
        <v/>
      </c>
      <c r="Y59">
        <f>HYPERLINK("https://klasma.github.io/Logging_0484/tillsynsmail/A 56191-2020 tillsynsbegäran mail.docx", "A 56191-2020")</f>
        <v/>
      </c>
    </row>
    <row r="60" ht="15" customHeight="1">
      <c r="A60" t="inlineStr">
        <is>
          <t>A 69068-2021</t>
        </is>
      </c>
      <c r="B60" s="1" t="n">
        <v>44530</v>
      </c>
      <c r="C60" s="1" t="n">
        <v>45733</v>
      </c>
      <c r="D60" t="inlineStr">
        <is>
          <t>SÖDERMANLANDS LÄN</t>
        </is>
      </c>
      <c r="E60" t="inlineStr">
        <is>
          <t>ESKILSTUNA</t>
        </is>
      </c>
      <c r="G60" t="n">
        <v>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Mindre märgborre</t>
        </is>
      </c>
      <c r="S60">
        <f>HYPERLINK("https://klasma.github.io/Logging_0484/artfynd/A 69068-2021 artfynd.xlsx", "A 69068-2021")</f>
        <v/>
      </c>
      <c r="T60">
        <f>HYPERLINK("https://klasma.github.io/Logging_0484/kartor/A 69068-2021 karta.png", "A 69068-2021")</f>
        <v/>
      </c>
      <c r="V60">
        <f>HYPERLINK("https://klasma.github.io/Logging_0484/klagomål/A 69068-2021 FSC-klagomål.docx", "A 69068-2021")</f>
        <v/>
      </c>
      <c r="W60">
        <f>HYPERLINK("https://klasma.github.io/Logging_0484/klagomålsmail/A 69068-2021 FSC-klagomål mail.docx", "A 69068-2021")</f>
        <v/>
      </c>
      <c r="X60">
        <f>HYPERLINK("https://klasma.github.io/Logging_0484/tillsyn/A 69068-2021 tillsynsbegäran.docx", "A 69068-2021")</f>
        <v/>
      </c>
      <c r="Y60">
        <f>HYPERLINK("https://klasma.github.io/Logging_0484/tillsynsmail/A 69068-2021 tillsynsbegäran mail.docx", "A 69068-2021")</f>
        <v/>
      </c>
    </row>
    <row r="61" ht="15" customHeight="1">
      <c r="A61" t="inlineStr">
        <is>
          <t>A 71969-2021</t>
        </is>
      </c>
      <c r="B61" s="1" t="n">
        <v>44544</v>
      </c>
      <c r="C61" s="1" t="n">
        <v>45733</v>
      </c>
      <c r="D61" t="inlineStr">
        <is>
          <t>SÖDERMANLANDS LÄN</t>
        </is>
      </c>
      <c r="E61" t="inlineStr">
        <is>
          <t>ESKILSTUNA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HYPERLINK("https://klasma.github.io/Logging_0484/artfynd/A 71969-2021 artfynd.xlsx", "A 71969-2021")</f>
        <v/>
      </c>
      <c r="T61">
        <f>HYPERLINK("https://klasma.github.io/Logging_0484/kartor/A 71969-2021 karta.png", "A 71969-2021")</f>
        <v/>
      </c>
      <c r="V61">
        <f>HYPERLINK("https://klasma.github.io/Logging_0484/klagomål/A 71969-2021 FSC-klagomål.docx", "A 71969-2021")</f>
        <v/>
      </c>
      <c r="W61">
        <f>HYPERLINK("https://klasma.github.io/Logging_0484/klagomålsmail/A 71969-2021 FSC-klagomål mail.docx", "A 71969-2021")</f>
        <v/>
      </c>
      <c r="X61">
        <f>HYPERLINK("https://klasma.github.io/Logging_0484/tillsyn/A 71969-2021 tillsynsbegäran.docx", "A 71969-2021")</f>
        <v/>
      </c>
      <c r="Y61">
        <f>HYPERLINK("https://klasma.github.io/Logging_0484/tillsynsmail/A 71969-2021 tillsynsbegäran mail.docx", "A 71969-2021")</f>
        <v/>
      </c>
    </row>
    <row r="62" ht="15" customHeight="1">
      <c r="A62" t="inlineStr">
        <is>
          <t>A 571-2023</t>
        </is>
      </c>
      <c r="B62" s="1" t="n">
        <v>44930</v>
      </c>
      <c r="C62" s="1" t="n">
        <v>45733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HYPERLINK("https://klasma.github.io/Logging_0484/artfynd/A 571-2023 artfynd.xlsx", "A 571-2023")</f>
        <v/>
      </c>
      <c r="T62">
        <f>HYPERLINK("https://klasma.github.io/Logging_0484/kartor/A 571-2023 karta.png", "A 571-2023")</f>
        <v/>
      </c>
      <c r="V62">
        <f>HYPERLINK("https://klasma.github.io/Logging_0484/klagomål/A 571-2023 FSC-klagomål.docx", "A 571-2023")</f>
        <v/>
      </c>
      <c r="W62">
        <f>HYPERLINK("https://klasma.github.io/Logging_0484/klagomålsmail/A 571-2023 FSC-klagomål mail.docx", "A 571-2023")</f>
        <v/>
      </c>
      <c r="X62">
        <f>HYPERLINK("https://klasma.github.io/Logging_0484/tillsyn/A 571-2023 tillsynsbegäran.docx", "A 571-2023")</f>
        <v/>
      </c>
      <c r="Y62">
        <f>HYPERLINK("https://klasma.github.io/Logging_0484/tillsynsmail/A 571-2023 tillsynsbegäran mail.docx", "A 571-2023")</f>
        <v/>
      </c>
      <c r="Z62">
        <f>HYPERLINK("https://klasma.github.io/Logging_0484/fåglar/A 571-2023 prioriterade fågelarter.docx", "A 571-2023")</f>
        <v/>
      </c>
    </row>
    <row r="63" ht="15" customHeight="1">
      <c r="A63" t="inlineStr">
        <is>
          <t>A 25122-2023</t>
        </is>
      </c>
      <c r="B63" s="1" t="n">
        <v>45086</v>
      </c>
      <c r="C63" s="1" t="n">
        <v>45733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7.5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Mattlummer
Revlummer</t>
        </is>
      </c>
      <c r="S63">
        <f>HYPERLINK("https://klasma.github.io/Logging_0484/artfynd/A 25122-2023 artfynd.xlsx", "A 25122-2023")</f>
        <v/>
      </c>
      <c r="T63">
        <f>HYPERLINK("https://klasma.github.io/Logging_0484/kartor/A 25122-2023 karta.png", "A 25122-2023")</f>
        <v/>
      </c>
      <c r="V63">
        <f>HYPERLINK("https://klasma.github.io/Logging_0484/klagomål/A 25122-2023 FSC-klagomål.docx", "A 25122-2023")</f>
        <v/>
      </c>
      <c r="W63">
        <f>HYPERLINK("https://klasma.github.io/Logging_0484/klagomålsmail/A 25122-2023 FSC-klagomål mail.docx", "A 25122-2023")</f>
        <v/>
      </c>
      <c r="X63">
        <f>HYPERLINK("https://klasma.github.io/Logging_0484/tillsyn/A 25122-2023 tillsynsbegäran.docx", "A 25122-2023")</f>
        <v/>
      </c>
      <c r="Y63">
        <f>HYPERLINK("https://klasma.github.io/Logging_0484/tillsynsmail/A 25122-2023 tillsynsbegäran mail.docx", "A 25122-2023")</f>
        <v/>
      </c>
    </row>
    <row r="64" ht="15" customHeight="1">
      <c r="A64" t="inlineStr">
        <is>
          <t>A 43237-2023</t>
        </is>
      </c>
      <c r="B64" s="1" t="n">
        <v>45183</v>
      </c>
      <c r="C64" s="1" t="n">
        <v>45733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Talltita</t>
        </is>
      </c>
      <c r="S64">
        <f>HYPERLINK("https://klasma.github.io/Logging_0484/artfynd/A 43237-2023 artfynd.xlsx", "A 43237-2023")</f>
        <v/>
      </c>
      <c r="T64">
        <f>HYPERLINK("https://klasma.github.io/Logging_0484/kartor/A 43237-2023 karta.png", "A 43237-2023")</f>
        <v/>
      </c>
      <c r="V64">
        <f>HYPERLINK("https://klasma.github.io/Logging_0484/klagomål/A 43237-2023 FSC-klagomål.docx", "A 43237-2023")</f>
        <v/>
      </c>
      <c r="W64">
        <f>HYPERLINK("https://klasma.github.io/Logging_0484/klagomålsmail/A 43237-2023 FSC-klagomål mail.docx", "A 43237-2023")</f>
        <v/>
      </c>
      <c r="X64">
        <f>HYPERLINK("https://klasma.github.io/Logging_0484/tillsyn/A 43237-2023 tillsynsbegäran.docx", "A 43237-2023")</f>
        <v/>
      </c>
      <c r="Y64">
        <f>HYPERLINK("https://klasma.github.io/Logging_0484/tillsynsmail/A 43237-2023 tillsynsbegäran mail.docx", "A 43237-2023")</f>
        <v/>
      </c>
      <c r="Z64">
        <f>HYPERLINK("https://klasma.github.io/Logging_0484/fåglar/A 43237-2023 prioriterade fågelarter.docx", "A 43237-2023")</f>
        <v/>
      </c>
    </row>
    <row r="65" ht="15" customHeight="1">
      <c r="A65" t="inlineStr">
        <is>
          <t>A 24767-2024</t>
        </is>
      </c>
      <c r="B65" s="1" t="n">
        <v>45460</v>
      </c>
      <c r="C65" s="1" t="n">
        <v>45733</v>
      </c>
      <c r="D65" t="inlineStr">
        <is>
          <t>SÖDERMANLANDS LÄN</t>
        </is>
      </c>
      <c r="E65" t="inlineStr">
        <is>
          <t>ESKILSTUNA</t>
        </is>
      </c>
      <c r="G65" t="n">
        <v>15.2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Mattlummer</t>
        </is>
      </c>
      <c r="S65">
        <f>HYPERLINK("https://klasma.github.io/Logging_0484/artfynd/A 24767-2024 artfynd.xlsx", "A 24767-2024")</f>
        <v/>
      </c>
      <c r="T65">
        <f>HYPERLINK("https://klasma.github.io/Logging_0484/kartor/A 24767-2024 karta.png", "A 24767-2024")</f>
        <v/>
      </c>
      <c r="V65">
        <f>HYPERLINK("https://klasma.github.io/Logging_0484/klagomål/A 24767-2024 FSC-klagomål.docx", "A 24767-2024")</f>
        <v/>
      </c>
      <c r="W65">
        <f>HYPERLINK("https://klasma.github.io/Logging_0484/klagomålsmail/A 24767-2024 FSC-klagomål mail.docx", "A 24767-2024")</f>
        <v/>
      </c>
      <c r="X65">
        <f>HYPERLINK("https://klasma.github.io/Logging_0484/tillsyn/A 24767-2024 tillsynsbegäran.docx", "A 24767-2024")</f>
        <v/>
      </c>
      <c r="Y65">
        <f>HYPERLINK("https://klasma.github.io/Logging_0484/tillsynsmail/A 24767-2024 tillsynsbegäran mail.docx", "A 24767-2024")</f>
        <v/>
      </c>
    </row>
    <row r="66" ht="15" customHeight="1">
      <c r="A66" t="inlineStr">
        <is>
          <t>A 43014-2024</t>
        </is>
      </c>
      <c r="B66" s="1" t="n">
        <v>45566</v>
      </c>
      <c r="C66" s="1" t="n">
        <v>45733</v>
      </c>
      <c r="D66" t="inlineStr">
        <is>
          <t>SÖDERMANLANDS LÄN</t>
        </is>
      </c>
      <c r="E66" t="inlineStr">
        <is>
          <t>ESKILSTUNA</t>
        </is>
      </c>
      <c r="G66" t="n">
        <v>19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Järpe
Kungsörn</t>
        </is>
      </c>
      <c r="S66">
        <f>HYPERLINK("https://klasma.github.io/Logging_0484/artfynd/A 43014-2024 artfynd.xlsx", "A 43014-2024")</f>
        <v/>
      </c>
      <c r="T66">
        <f>HYPERLINK("https://klasma.github.io/Logging_0484/kartor/A 43014-2024 karta.png", "A 43014-2024")</f>
        <v/>
      </c>
      <c r="V66">
        <f>HYPERLINK("https://klasma.github.io/Logging_0484/klagomål/A 43014-2024 FSC-klagomål.docx", "A 43014-2024")</f>
        <v/>
      </c>
      <c r="W66">
        <f>HYPERLINK("https://klasma.github.io/Logging_0484/klagomålsmail/A 43014-2024 FSC-klagomål mail.docx", "A 43014-2024")</f>
        <v/>
      </c>
      <c r="X66">
        <f>HYPERLINK("https://klasma.github.io/Logging_0484/tillsyn/A 43014-2024 tillsynsbegäran.docx", "A 43014-2024")</f>
        <v/>
      </c>
      <c r="Y66">
        <f>HYPERLINK("https://klasma.github.io/Logging_0484/tillsynsmail/A 43014-2024 tillsynsbegäran mail.docx", "A 43014-2024")</f>
        <v/>
      </c>
      <c r="Z66">
        <f>HYPERLINK("https://klasma.github.io/Logging_0484/fåglar/A 43014-2024 prioriterade fågelarter.docx", "A 43014-2024")</f>
        <v/>
      </c>
    </row>
    <row r="67" ht="15" customHeight="1">
      <c r="A67" t="inlineStr">
        <is>
          <t>A 51326-2024</t>
        </is>
      </c>
      <c r="B67" s="1" t="n">
        <v>45603</v>
      </c>
      <c r="C67" s="1" t="n">
        <v>45733</v>
      </c>
      <c r="D67" t="inlineStr">
        <is>
          <t>SÖDERMANLANDS LÄN</t>
        </is>
      </c>
      <c r="E67" t="inlineStr">
        <is>
          <t>ESKILSTUNA</t>
        </is>
      </c>
      <c r="G67" t="n">
        <v>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Myskbock
Blåsippa</t>
        </is>
      </c>
      <c r="S67">
        <f>HYPERLINK("https://klasma.github.io/Logging_0484/artfynd/A 51326-2024 artfynd.xlsx", "A 51326-2024")</f>
        <v/>
      </c>
      <c r="T67">
        <f>HYPERLINK("https://klasma.github.io/Logging_0484/kartor/A 51326-2024 karta.png", "A 51326-2024")</f>
        <v/>
      </c>
      <c r="V67">
        <f>HYPERLINK("https://klasma.github.io/Logging_0484/klagomål/A 51326-2024 FSC-klagomål.docx", "A 51326-2024")</f>
        <v/>
      </c>
      <c r="W67">
        <f>HYPERLINK("https://klasma.github.io/Logging_0484/klagomålsmail/A 51326-2024 FSC-klagomål mail.docx", "A 51326-2024")</f>
        <v/>
      </c>
      <c r="X67">
        <f>HYPERLINK("https://klasma.github.io/Logging_0484/tillsyn/A 51326-2024 tillsynsbegäran.docx", "A 51326-2024")</f>
        <v/>
      </c>
      <c r="Y67">
        <f>HYPERLINK("https://klasma.github.io/Logging_0484/tillsynsmail/A 51326-2024 tillsynsbegäran mail.docx", "A 51326-2024")</f>
        <v/>
      </c>
    </row>
    <row r="68" ht="15" customHeight="1">
      <c r="A68" t="inlineStr">
        <is>
          <t>A 62009-2024</t>
        </is>
      </c>
      <c r="B68" s="1" t="n">
        <v>45655</v>
      </c>
      <c r="C68" s="1" t="n">
        <v>45733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11.9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62009-2024 artfynd.xlsx", "A 62009-2024")</f>
        <v/>
      </c>
      <c r="T68">
        <f>HYPERLINK("https://klasma.github.io/Logging_0484/kartor/A 62009-2024 karta.png", "A 62009-2024")</f>
        <v/>
      </c>
      <c r="V68">
        <f>HYPERLINK("https://klasma.github.io/Logging_0484/klagomål/A 62009-2024 FSC-klagomål.docx", "A 62009-2024")</f>
        <v/>
      </c>
      <c r="W68">
        <f>HYPERLINK("https://klasma.github.io/Logging_0484/klagomålsmail/A 62009-2024 FSC-klagomål mail.docx", "A 62009-2024")</f>
        <v/>
      </c>
      <c r="X68">
        <f>HYPERLINK("https://klasma.github.io/Logging_0484/tillsyn/A 62009-2024 tillsynsbegäran.docx", "A 62009-2024")</f>
        <v/>
      </c>
      <c r="Y68">
        <f>HYPERLINK("https://klasma.github.io/Logging_0484/tillsynsmail/A 62009-2024 tillsynsbegäran mail.docx", "A 62009-2024")</f>
        <v/>
      </c>
    </row>
    <row r="69" ht="15" customHeight="1">
      <c r="A69" t="inlineStr">
        <is>
          <t>A 315-2025</t>
        </is>
      </c>
      <c r="B69" s="1" t="n">
        <v>45660</v>
      </c>
      <c r="C69" s="1" t="n">
        <v>45733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10.4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Blåsippa</t>
        </is>
      </c>
      <c r="S69">
        <f>HYPERLINK("https://klasma.github.io/Logging_0484/artfynd/A 315-2025 artfynd.xlsx", "A 315-2025")</f>
        <v/>
      </c>
      <c r="T69">
        <f>HYPERLINK("https://klasma.github.io/Logging_0484/kartor/A 315-2025 karta.png", "A 315-2025")</f>
        <v/>
      </c>
      <c r="V69">
        <f>HYPERLINK("https://klasma.github.io/Logging_0484/klagomål/A 315-2025 FSC-klagomål.docx", "A 315-2025")</f>
        <v/>
      </c>
      <c r="W69">
        <f>HYPERLINK("https://klasma.github.io/Logging_0484/klagomålsmail/A 315-2025 FSC-klagomål mail.docx", "A 315-2025")</f>
        <v/>
      </c>
      <c r="X69">
        <f>HYPERLINK("https://klasma.github.io/Logging_0484/tillsyn/A 315-2025 tillsynsbegäran.docx", "A 315-2025")</f>
        <v/>
      </c>
      <c r="Y69">
        <f>HYPERLINK("https://klasma.github.io/Logging_0484/tillsynsmail/A 315-2025 tillsynsbegäran mail.docx", "A 315-2025")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45733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45733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45733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45733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45733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45733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45733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45733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45733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45733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45733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45733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45733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45733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45733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45733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45733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45733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45733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45733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45733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45733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45733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45733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45733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45733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45733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45733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45733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45733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45733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45733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45733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45733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45733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45733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45733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45733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45733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45733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45733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45733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45733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45733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45733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45733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45733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45733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45733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45733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45733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45733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45733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45733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45733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45733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45733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45733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45733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45733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45733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45733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45733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45733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45733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45733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45733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45733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45733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45733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45733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45733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45733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45733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45733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45733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45733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45733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45733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45733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45733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45733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45733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45733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45733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45733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45733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45733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45733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45733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45733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45733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45733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45733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45733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45733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45733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45733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45733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45733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45733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45733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45733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45733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45733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45733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45733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45733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45733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45733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45733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45733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45733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45733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45733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45733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45733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45733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45733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45733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45733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45733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45733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45733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45733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45733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45733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45733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45733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45733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45733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45733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45733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45733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45733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45733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45733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45733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45733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45733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45733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45733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45733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45733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45733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45733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45733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45733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45733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45733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45733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45733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45733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45733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45733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45733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45733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45733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45733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45733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45733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45733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45733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45733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45733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45733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45733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45733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45733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45733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45733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45733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45733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45733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45733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45733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45733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45733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45733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45733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45733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45733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45733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45733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45733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45733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45733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45733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45733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45733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45733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45733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45733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45733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45733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45733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45733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45733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45733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45733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45733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45733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45733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45733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45733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45733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45733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45733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45733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45733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45733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45733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45733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45733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45733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45733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45733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45733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45733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45733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45733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45733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45733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45733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45733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45733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45733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45733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45733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45733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45733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45733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45733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45733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45733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45733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45733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45733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45733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45733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45733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45733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45733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45733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45733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45733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45733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45733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45733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45733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45733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45733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45733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45733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45733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45733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45733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45733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45733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45733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45733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45733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45733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45733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45733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45733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45733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45733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45733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45733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45733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45733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45733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45733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45733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45733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45733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45733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45733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45733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45733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45733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45733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45733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45733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45733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45733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45733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45733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45733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45733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45733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45733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45733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45733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45733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45733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45733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45733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45733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45733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45733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45733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45733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45733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45733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45733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45733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45733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45733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45733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45733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45733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45733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45733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45733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45733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45733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45733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45733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45733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45733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45733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45733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45733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45733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45733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45733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45733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45733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45733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45733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45733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45733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45733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45733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45733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45733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45733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45733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45733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45733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45733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45733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45733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45733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45733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45733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45733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45733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45733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45733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45733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45733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45733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45733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45733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45733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45733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45733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45733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45733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45733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45733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45733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45733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45733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45733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45733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45733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45733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45733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45733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45733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45733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45733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45733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45733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45733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45733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45733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45733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45733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45733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45733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45733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45733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45733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45733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45733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45733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45733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45733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45733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45733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45733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45733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45733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45733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45733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45733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45733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45733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45733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45733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45733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45733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45733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45733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45733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45733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45733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45733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45733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45733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45733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45733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45733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45733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45733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45733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45733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45733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45733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45733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45733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45733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45733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45733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45733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45733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45733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45733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45733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45733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45733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45733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45733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45733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45733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45733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45733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45733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45733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45733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45733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45733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45733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45733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45733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45733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45733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45733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45733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45733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45733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45733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45733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45733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45733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45733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45733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45733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45733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45733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45733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45733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45733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45733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45733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45733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45733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45733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45733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45733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45733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45733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45733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45733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45733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45733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45733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45733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45733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45733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45733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45733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45733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45733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45733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45733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45733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45733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45733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45733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45733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45733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45733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45733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45733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45733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45733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45733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45733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45733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45733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45733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45733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45733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45733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45733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45733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45733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45733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45733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45733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45733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45733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45733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45733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45733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45733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45733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45733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45733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45733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45733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45733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45733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45733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45733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45733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45733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45733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45733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45733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45733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45733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45733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45733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45733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45733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45733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45733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45733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45733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45733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45733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45733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45733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45733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45733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45733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45733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45733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45733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45733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45733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45733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45733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45733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45733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45733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45733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45733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45733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45733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45733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45733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45733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45733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45733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45733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45733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45733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45733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45733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45733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45733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45733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45733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45733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45733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45733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45733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45733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45733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45733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45733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45733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45733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45733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45733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45733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45733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45733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45733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45733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45733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45733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45733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45733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45733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45733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45733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45733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45733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45733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45733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45733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45733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45733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45733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45733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45733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45733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45733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45733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45733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45733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45733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45733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45733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45733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45733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45733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45733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45733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45733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45733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45733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45733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45733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45733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45733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45733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45733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45733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45733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45733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45733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45733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45733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45733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45733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45733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45733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45733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45733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45733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45733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45733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45733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45733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45733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45733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45733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45733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45733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45733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45733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45733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45733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45733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45733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45733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45733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45733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45733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45733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45733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45733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45733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45733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45733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45733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45733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45733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45733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45733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45733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45733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45733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45733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45733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45733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45733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45733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45733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45733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45733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45733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45733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45733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45733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45733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45733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45733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45733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45733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45733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45733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45733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45733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45733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45733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45733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45733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45733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45733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45733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45733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45733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45733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45733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45733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45733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45733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45733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45733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45733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45733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45733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45733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45733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45733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45733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45733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45733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45733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45733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45733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45733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45733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45733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45733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45733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45733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45733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45733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45733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45733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45733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45733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45733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45733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45733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45733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45733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45733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45733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45733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45733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45733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45733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45733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45733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45733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45733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45733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45733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45733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45733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45733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45733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45733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45733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45733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45733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45733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45733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45733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45733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45733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45733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45733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45733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45733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45733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45733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45733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45733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45733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45733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45733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45733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45733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45733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45733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45733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45733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45733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45733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45733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45733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45733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45733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45733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45733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45733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45733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45733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45733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45733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45733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45733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45733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45733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45733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45733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45733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45733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45733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45733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45733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45733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45733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45733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45733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45733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45733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45733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45733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45733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45733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45733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45733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45733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45733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45733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45733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45733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45733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45733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45733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45733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45733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45733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45733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45733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45733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45733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45733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45733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45733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45733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45733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45733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45733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45733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45733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45733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45733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45733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45733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45733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45733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45733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45733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45733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45733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45733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45733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45733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45733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45733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45733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45733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45733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45733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45733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45733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45733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45733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45733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45733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45733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45733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45733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45733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45733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45733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45733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45733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45733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45733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45733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45733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45733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45733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45733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45733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45733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45733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45733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45733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45733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45733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45733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45733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45733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45733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45733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45733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45733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45733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45733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45733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45733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45733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45733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45733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45733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45733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45733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45733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45733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45733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45733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45733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45733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45733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45733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45733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45733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45733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45733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45733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45733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45733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45733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45733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45733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45733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45733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45733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45733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45733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45733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45733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45733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45733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45733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45733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45733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45733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45733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45733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45733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45733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45733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45733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45733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45733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45733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45733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45733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45733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45733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45733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45733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45733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45733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45733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45733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45733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45733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45733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45733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45733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45733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45733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45733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45733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45733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45733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45733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45733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45733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45733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45733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45733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45733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45733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45733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45733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45733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45733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45733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45733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45733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45733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45733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45733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45733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45733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45733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45733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45733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45733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45733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45733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45733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45733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45733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45733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45733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45733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45733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45733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45733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45733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45733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45733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45733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45733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45733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45733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45733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45733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45733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45733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45733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45733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45733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45733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45733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45733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45733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45733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45733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45733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45733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45733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45733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45733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45733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45733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45733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45733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45733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45733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45733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45733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45733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45733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45733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45733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45733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45733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45733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45733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45733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45733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45733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45733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45733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45733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45733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45733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45733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45733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45733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45733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45733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45733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45733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11014-2025</t>
        </is>
      </c>
      <c r="B1137" s="1" t="n">
        <v>45723</v>
      </c>
      <c r="C1137" s="1" t="n">
        <v>45733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11114-2025</t>
        </is>
      </c>
      <c r="B1138" s="1" t="n">
        <v>45723</v>
      </c>
      <c r="C1138" s="1" t="n">
        <v>45733</v>
      </c>
      <c r="D1138" t="inlineStr">
        <is>
          <t>SÖDERMANLANDS LÄN</t>
        </is>
      </c>
      <c r="E1138" t="inlineStr">
        <is>
          <t>ESKILSTUNA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45733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11117-2025</t>
        </is>
      </c>
      <c r="B1140" s="1" t="n">
        <v>45723</v>
      </c>
      <c r="C1140" s="1" t="n">
        <v>45733</v>
      </c>
      <c r="D1140" t="inlineStr">
        <is>
          <t>SÖDERMANLANDS LÄN</t>
        </is>
      </c>
      <c r="E1140" t="inlineStr">
        <is>
          <t>ESKILSTUNA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11125-2025</t>
        </is>
      </c>
      <c r="B1141" s="1" t="n">
        <v>45723</v>
      </c>
      <c r="C1141" s="1" t="n">
        <v>45733</v>
      </c>
      <c r="D1141" t="inlineStr">
        <is>
          <t>SÖDERMANLANDS LÄN</t>
        </is>
      </c>
      <c r="E1141" t="inlineStr">
        <is>
          <t>ESKILSTUNA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2025-03-17T17:04:38Z</dcterms:created>
  <dcterms:modified xmlns:dcterms="http://purl.org/dc/terms/" xmlns:xsi="http://www.w3.org/2001/XMLSchema-instance" xsi:type="dcterms:W3CDTF">2025-03-17T17:04:39Z</dcterms:modified>
</cp:coreProperties>
</file>