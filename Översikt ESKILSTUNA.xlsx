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45505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45505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45505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45505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45505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45505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45505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45505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45505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45505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45505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45505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45505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45505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45505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45505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45505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45505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45505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45505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45505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45505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45505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45505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45505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45505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45505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45505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45505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45505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45505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45505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45505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45505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45505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45505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45505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45505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45505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45505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45505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45505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45505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45505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30618-2024</t>
        </is>
      </c>
      <c r="B46" s="1" t="n">
        <v>45495</v>
      </c>
      <c r="C46" s="1" t="n">
        <v>45505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Svinrot
Svart trolldruva
Blåsippa</t>
        </is>
      </c>
      <c r="S46">
        <f>HYPERLINK("https://klasma.github.io/Logging_0484/artfynd/A 30618-2024 artfynd.xlsx", "A 30618-2024")</f>
        <v/>
      </c>
      <c r="T46">
        <f>HYPERLINK("https://klasma.github.io/Logging_0484/kartor/A 30618-2024 karta.png", "A 30618-2024")</f>
        <v/>
      </c>
      <c r="V46">
        <f>HYPERLINK("https://klasma.github.io/Logging_0484/klagomål/A 30618-2024 FSC-klagomål.docx", "A 30618-2024")</f>
        <v/>
      </c>
      <c r="W46">
        <f>HYPERLINK("https://klasma.github.io/Logging_0484/klagomålsmail/A 30618-2024 FSC-klagomål mail.docx", "A 30618-2024")</f>
        <v/>
      </c>
      <c r="X46">
        <f>HYPERLINK("https://klasma.github.io/Logging_0484/tillsyn/A 30618-2024 tillsynsbegäran.docx", "A 30618-2024")</f>
        <v/>
      </c>
      <c r="Y46">
        <f>HYPERLINK("https://klasma.github.io/Logging_0484/tillsynsmail/A 30618-2024 tillsynsbegäran mail.docx", "A 30618-2024")</f>
        <v/>
      </c>
    </row>
    <row r="47" ht="15" customHeight="1">
      <c r="A47" t="inlineStr">
        <is>
          <t>A 51654-2019</t>
        </is>
      </c>
      <c r="B47" s="1" t="n">
        <v>43740</v>
      </c>
      <c r="C47" s="1" t="n">
        <v>45505</v>
      </c>
      <c r="D47" t="inlineStr">
        <is>
          <t>SÖDERMANLANDS LÄN</t>
        </is>
      </c>
      <c r="E47" t="inlineStr">
        <is>
          <t>ESKILSTUNA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Svartvit flugsnappare</t>
        </is>
      </c>
      <c r="S47">
        <f>HYPERLINK("https://klasma.github.io/Logging_0484/artfynd/A 51654-2019 artfynd.xlsx", "A 51654-2019")</f>
        <v/>
      </c>
      <c r="T47">
        <f>HYPERLINK("https://klasma.github.io/Logging_0484/kartor/A 51654-2019 karta.png", "A 51654-2019")</f>
        <v/>
      </c>
      <c r="V47">
        <f>HYPERLINK("https://klasma.github.io/Logging_0484/klagomål/A 51654-2019 FSC-klagomål.docx", "A 51654-2019")</f>
        <v/>
      </c>
      <c r="W47">
        <f>HYPERLINK("https://klasma.github.io/Logging_0484/klagomålsmail/A 51654-2019 FSC-klagomål mail.docx", "A 51654-2019")</f>
        <v/>
      </c>
      <c r="X47">
        <f>HYPERLINK("https://klasma.github.io/Logging_0484/tillsyn/A 51654-2019 tillsynsbegäran.docx", "A 51654-2019")</f>
        <v/>
      </c>
      <c r="Y47">
        <f>HYPERLINK("https://klasma.github.io/Logging_0484/tillsynsmail/A 51654-2019 tillsynsbegäran mail.docx", "A 51654-2019")</f>
        <v/>
      </c>
      <c r="Z47">
        <f>HYPERLINK("https://klasma.github.io/Logging_0484/fåglar/A 51654-2019 prioriterade fågelarter.docx", "A 51654-2019")</f>
        <v/>
      </c>
    </row>
    <row r="48" ht="15" customHeight="1">
      <c r="A48" t="inlineStr">
        <is>
          <t>A 69146-2019</t>
        </is>
      </c>
      <c r="B48" s="1" t="n">
        <v>43815</v>
      </c>
      <c r="C48" s="1" t="n">
        <v>45505</v>
      </c>
      <c r="D48" t="inlineStr">
        <is>
          <t>SÖDERMANLANDS LÄN</t>
        </is>
      </c>
      <c r="E48" t="inlineStr">
        <is>
          <t>ESKILSTUNA</t>
        </is>
      </c>
      <c r="G48" t="n">
        <v>19.3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Kungsörn</t>
        </is>
      </c>
      <c r="S48">
        <f>HYPERLINK("https://klasma.github.io/Logging_0484/artfynd/A 69146-2019 artfynd.xlsx", "A 69146-2019")</f>
        <v/>
      </c>
      <c r="T48">
        <f>HYPERLINK("https://klasma.github.io/Logging_0484/kartor/A 69146-2019 karta.png", "A 69146-2019")</f>
        <v/>
      </c>
      <c r="V48">
        <f>HYPERLINK("https://klasma.github.io/Logging_0484/klagomål/A 69146-2019 FSC-klagomål.docx", "A 69146-2019")</f>
        <v/>
      </c>
      <c r="W48">
        <f>HYPERLINK("https://klasma.github.io/Logging_0484/klagomålsmail/A 69146-2019 FSC-klagomål mail.docx", "A 69146-2019")</f>
        <v/>
      </c>
      <c r="X48">
        <f>HYPERLINK("https://klasma.github.io/Logging_0484/tillsyn/A 69146-2019 tillsynsbegäran.docx", "A 69146-2019")</f>
        <v/>
      </c>
      <c r="Y48">
        <f>HYPERLINK("https://klasma.github.io/Logging_0484/tillsynsmail/A 69146-2019 tillsynsbegäran mail.docx", "A 69146-2019")</f>
        <v/>
      </c>
      <c r="Z48">
        <f>HYPERLINK("https://klasma.github.io/Logging_0484/fåglar/A 69146-2019 prioriterade fågelarter.docx", "A 69146-2019")</f>
        <v/>
      </c>
    </row>
    <row r="49" ht="15" customHeight="1">
      <c r="A49" t="inlineStr">
        <is>
          <t>A 3683-2020</t>
        </is>
      </c>
      <c r="B49" s="1" t="n">
        <v>43845</v>
      </c>
      <c r="C49" s="1" t="n">
        <v>45505</v>
      </c>
      <c r="D49" t="inlineStr">
        <is>
          <t>SÖDERMANLANDS LÄN</t>
        </is>
      </c>
      <c r="E49" t="inlineStr">
        <is>
          <t>ESKILSTUNA</t>
        </is>
      </c>
      <c r="G49" t="n">
        <v>10.3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HYPERLINK("https://klasma.github.io/Logging_0484/artfynd/A 3683-2020 artfynd.xlsx", "A 3683-2020")</f>
        <v/>
      </c>
      <c r="T49">
        <f>HYPERLINK("https://klasma.github.io/Logging_0484/kartor/A 3683-2020 karta.png", "A 3683-2020")</f>
        <v/>
      </c>
      <c r="U49">
        <f>HYPERLINK("https://klasma.github.io/Logging_0484/knärot/A 3683-2020 karta knärot.png", "A 3683-2020")</f>
        <v/>
      </c>
      <c r="V49">
        <f>HYPERLINK("https://klasma.github.io/Logging_0484/klagomål/A 3683-2020 FSC-klagomål.docx", "A 3683-2020")</f>
        <v/>
      </c>
      <c r="W49">
        <f>HYPERLINK("https://klasma.github.io/Logging_0484/klagomålsmail/A 3683-2020 FSC-klagomål mail.docx", "A 3683-2020")</f>
        <v/>
      </c>
      <c r="X49">
        <f>HYPERLINK("https://klasma.github.io/Logging_0484/tillsyn/A 3683-2020 tillsynsbegäran.docx", "A 3683-2020")</f>
        <v/>
      </c>
      <c r="Y49">
        <f>HYPERLINK("https://klasma.github.io/Logging_0484/tillsynsmail/A 3683-2020 tillsynsbegäran mail.docx", "A 3683-2020")</f>
        <v/>
      </c>
    </row>
    <row r="50" ht="15" customHeight="1">
      <c r="A50" t="inlineStr">
        <is>
          <t>A 5068-2020</t>
        </is>
      </c>
      <c r="B50" s="1" t="n">
        <v>43859</v>
      </c>
      <c r="C50" s="1" t="n">
        <v>45505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Svart trolldruva</t>
        </is>
      </c>
      <c r="S50">
        <f>HYPERLINK("https://klasma.github.io/Logging_0484/artfynd/A 5068-2020 artfynd.xlsx", "A 5068-2020")</f>
        <v/>
      </c>
      <c r="T50">
        <f>HYPERLINK("https://klasma.github.io/Logging_0484/kartor/A 5068-2020 karta.png", "A 5068-2020")</f>
        <v/>
      </c>
      <c r="U50">
        <f>HYPERLINK("https://klasma.github.io/Logging_0484/knärot/A 5068-2020 karta knärot.png", "A 5068-2020")</f>
        <v/>
      </c>
      <c r="V50">
        <f>HYPERLINK("https://klasma.github.io/Logging_0484/klagomål/A 5068-2020 FSC-klagomål.docx", "A 5068-2020")</f>
        <v/>
      </c>
      <c r="W50">
        <f>HYPERLINK("https://klasma.github.io/Logging_0484/klagomålsmail/A 5068-2020 FSC-klagomål mail.docx", "A 5068-2020")</f>
        <v/>
      </c>
      <c r="X50">
        <f>HYPERLINK("https://klasma.github.io/Logging_0484/tillsyn/A 5068-2020 tillsynsbegäran.docx", "A 5068-2020")</f>
        <v/>
      </c>
      <c r="Y50">
        <f>HYPERLINK("https://klasma.github.io/Logging_0484/tillsynsmail/A 5068-2020 tillsynsbegäran mail.docx", "A 5068-2020")</f>
        <v/>
      </c>
    </row>
    <row r="51" ht="15" customHeight="1">
      <c r="A51" t="inlineStr">
        <is>
          <t>A 5581-2020</t>
        </is>
      </c>
      <c r="B51" s="1" t="n">
        <v>43861</v>
      </c>
      <c r="C51" s="1" t="n">
        <v>45505</v>
      </c>
      <c r="D51" t="inlineStr">
        <is>
          <t>SÖDERMANLANDS LÄN</t>
        </is>
      </c>
      <c r="E51" t="inlineStr">
        <is>
          <t>ESKILSTUNA</t>
        </is>
      </c>
      <c r="G51" t="n">
        <v>7.1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Rävticka
Vedticka</t>
        </is>
      </c>
      <c r="S51">
        <f>HYPERLINK("https://klasma.github.io/Logging_0484/artfynd/A 5581-2020 artfynd.xlsx", "A 5581-2020")</f>
        <v/>
      </c>
      <c r="T51">
        <f>HYPERLINK("https://klasma.github.io/Logging_0484/kartor/A 5581-2020 karta.png", "A 5581-2020")</f>
        <v/>
      </c>
      <c r="V51">
        <f>HYPERLINK("https://klasma.github.io/Logging_0484/klagomål/A 5581-2020 FSC-klagomål.docx", "A 5581-2020")</f>
        <v/>
      </c>
      <c r="W51">
        <f>HYPERLINK("https://klasma.github.io/Logging_0484/klagomålsmail/A 5581-2020 FSC-klagomål mail.docx", "A 5581-2020")</f>
        <v/>
      </c>
      <c r="X51">
        <f>HYPERLINK("https://klasma.github.io/Logging_0484/tillsyn/A 5581-2020 tillsynsbegäran.docx", "A 5581-2020")</f>
        <v/>
      </c>
      <c r="Y51">
        <f>HYPERLINK("https://klasma.github.io/Logging_0484/tillsynsmail/A 5581-2020 tillsynsbegäran mail.docx", "A 5581-2020")</f>
        <v/>
      </c>
    </row>
    <row r="52" ht="15" customHeight="1">
      <c r="A52" t="inlineStr">
        <is>
          <t>A 46353-2020</t>
        </is>
      </c>
      <c r="B52" s="1" t="n">
        <v>44092</v>
      </c>
      <c r="C52" s="1" t="n">
        <v>45505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Sandviol
Revlummer</t>
        </is>
      </c>
      <c r="S52">
        <f>HYPERLINK("https://klasma.github.io/Logging_0484/artfynd/A 46353-2020 artfynd.xlsx", "A 46353-2020")</f>
        <v/>
      </c>
      <c r="T52">
        <f>HYPERLINK("https://klasma.github.io/Logging_0484/kartor/A 46353-2020 karta.png", "A 46353-2020")</f>
        <v/>
      </c>
      <c r="V52">
        <f>HYPERLINK("https://klasma.github.io/Logging_0484/klagomål/A 46353-2020 FSC-klagomål.docx", "A 46353-2020")</f>
        <v/>
      </c>
      <c r="W52">
        <f>HYPERLINK("https://klasma.github.io/Logging_0484/klagomålsmail/A 46353-2020 FSC-klagomål mail.docx", "A 46353-2020")</f>
        <v/>
      </c>
      <c r="X52">
        <f>HYPERLINK("https://klasma.github.io/Logging_0484/tillsyn/A 46353-2020 tillsynsbegäran.docx", "A 46353-2020")</f>
        <v/>
      </c>
      <c r="Y52">
        <f>HYPERLINK("https://klasma.github.io/Logging_0484/tillsynsmail/A 46353-2020 tillsynsbegäran mail.docx", "A 46353-2020")</f>
        <v/>
      </c>
    </row>
    <row r="53" ht="15" customHeight="1">
      <c r="A53" t="inlineStr">
        <is>
          <t>A 56191-2020</t>
        </is>
      </c>
      <c r="B53" s="1" t="n">
        <v>44133</v>
      </c>
      <c r="C53" s="1" t="n">
        <v>45505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4.9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Blåsippa</t>
        </is>
      </c>
      <c r="S53">
        <f>HYPERLINK("https://klasma.github.io/Logging_0484/artfynd/A 56191-2020 artfynd.xlsx", "A 56191-2020")</f>
        <v/>
      </c>
      <c r="T53">
        <f>HYPERLINK("https://klasma.github.io/Logging_0484/kartor/A 56191-2020 karta.png", "A 56191-2020")</f>
        <v/>
      </c>
      <c r="V53">
        <f>HYPERLINK("https://klasma.github.io/Logging_0484/klagomål/A 56191-2020 FSC-klagomål.docx", "A 56191-2020")</f>
        <v/>
      </c>
      <c r="W53">
        <f>HYPERLINK("https://klasma.github.io/Logging_0484/klagomålsmail/A 56191-2020 FSC-klagomål mail.docx", "A 56191-2020")</f>
        <v/>
      </c>
      <c r="X53">
        <f>HYPERLINK("https://klasma.github.io/Logging_0484/tillsyn/A 56191-2020 tillsynsbegäran.docx", "A 56191-2020")</f>
        <v/>
      </c>
      <c r="Y53">
        <f>HYPERLINK("https://klasma.github.io/Logging_0484/tillsynsmail/A 56191-2020 tillsynsbegäran mail.docx", "A 56191-2020")</f>
        <v/>
      </c>
    </row>
    <row r="54" ht="15" customHeight="1">
      <c r="A54" t="inlineStr">
        <is>
          <t>A 69068-2021</t>
        </is>
      </c>
      <c r="B54" s="1" t="n">
        <v>44530</v>
      </c>
      <c r="C54" s="1" t="n">
        <v>45505</v>
      </c>
      <c r="D54" t="inlineStr">
        <is>
          <t>SÖDERMANLANDS LÄN</t>
        </is>
      </c>
      <c r="E54" t="inlineStr">
        <is>
          <t>ESKILSTUNA</t>
        </is>
      </c>
      <c r="G54" t="n">
        <v>3.9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Mindre märgborre</t>
        </is>
      </c>
      <c r="S54">
        <f>HYPERLINK("https://klasma.github.io/Logging_0484/artfynd/A 69068-2021 artfynd.xlsx", "A 69068-2021")</f>
        <v/>
      </c>
      <c r="T54">
        <f>HYPERLINK("https://klasma.github.io/Logging_0484/kartor/A 69068-2021 karta.png", "A 69068-2021")</f>
        <v/>
      </c>
      <c r="V54">
        <f>HYPERLINK("https://klasma.github.io/Logging_0484/klagomål/A 69068-2021 FSC-klagomål.docx", "A 69068-2021")</f>
        <v/>
      </c>
      <c r="W54">
        <f>HYPERLINK("https://klasma.github.io/Logging_0484/klagomålsmail/A 69068-2021 FSC-klagomål mail.docx", "A 69068-2021")</f>
        <v/>
      </c>
      <c r="X54">
        <f>HYPERLINK("https://klasma.github.io/Logging_0484/tillsyn/A 69068-2021 tillsynsbegäran.docx", "A 69068-2021")</f>
        <v/>
      </c>
      <c r="Y54">
        <f>HYPERLINK("https://klasma.github.io/Logging_0484/tillsynsmail/A 69068-2021 tillsynsbegäran mail.docx", "A 69068-2021")</f>
        <v/>
      </c>
    </row>
    <row r="55" ht="15" customHeight="1">
      <c r="A55" t="inlineStr">
        <is>
          <t>A 71969-2021</t>
        </is>
      </c>
      <c r="B55" s="1" t="n">
        <v>44544</v>
      </c>
      <c r="C55" s="1" t="n">
        <v>45505</v>
      </c>
      <c r="D55" t="inlineStr">
        <is>
          <t>SÖDERMANLANDS LÄN</t>
        </is>
      </c>
      <c r="E55" t="inlineStr">
        <is>
          <t>ESKILSTUNA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Blåsippa</t>
        </is>
      </c>
      <c r="S55">
        <f>HYPERLINK("https://klasma.github.io/Logging_0484/artfynd/A 71969-2021 artfynd.xlsx", "A 71969-2021")</f>
        <v/>
      </c>
      <c r="T55">
        <f>HYPERLINK("https://klasma.github.io/Logging_0484/kartor/A 71969-2021 karta.png", "A 71969-2021")</f>
        <v/>
      </c>
      <c r="V55">
        <f>HYPERLINK("https://klasma.github.io/Logging_0484/klagomål/A 71969-2021 FSC-klagomål.docx", "A 71969-2021")</f>
        <v/>
      </c>
      <c r="W55">
        <f>HYPERLINK("https://klasma.github.io/Logging_0484/klagomålsmail/A 71969-2021 FSC-klagomål mail.docx", "A 71969-2021")</f>
        <v/>
      </c>
      <c r="X55">
        <f>HYPERLINK("https://klasma.github.io/Logging_0484/tillsyn/A 71969-2021 tillsynsbegäran.docx", "A 71969-2021")</f>
        <v/>
      </c>
      <c r="Y55">
        <f>HYPERLINK("https://klasma.github.io/Logging_0484/tillsynsmail/A 71969-2021 tillsynsbegäran mail.docx", "A 71969-2021")</f>
        <v/>
      </c>
    </row>
    <row r="56" ht="15" customHeight="1">
      <c r="A56" t="inlineStr">
        <is>
          <t>A 22267-2022</t>
        </is>
      </c>
      <c r="B56" s="1" t="n">
        <v>44712</v>
      </c>
      <c r="C56" s="1" t="n">
        <v>45505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6.4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Lopplummer
Revlummer</t>
        </is>
      </c>
      <c r="S56">
        <f>HYPERLINK("https://klasma.github.io/Logging_0484/artfynd/A 22267-2022 artfynd.xlsx", "A 22267-2022")</f>
        <v/>
      </c>
      <c r="T56">
        <f>HYPERLINK("https://klasma.github.io/Logging_0484/kartor/A 22267-2022 karta.png", "A 22267-2022")</f>
        <v/>
      </c>
      <c r="V56">
        <f>HYPERLINK("https://klasma.github.io/Logging_0484/klagomål/A 22267-2022 FSC-klagomål.docx", "A 22267-2022")</f>
        <v/>
      </c>
      <c r="W56">
        <f>HYPERLINK("https://klasma.github.io/Logging_0484/klagomålsmail/A 22267-2022 FSC-klagomål mail.docx", "A 22267-2022")</f>
        <v/>
      </c>
      <c r="X56">
        <f>HYPERLINK("https://klasma.github.io/Logging_0484/tillsyn/A 22267-2022 tillsynsbegäran.docx", "A 22267-2022")</f>
        <v/>
      </c>
      <c r="Y56">
        <f>HYPERLINK("https://klasma.github.io/Logging_0484/tillsynsmail/A 22267-2022 tillsynsbegäran mail.docx", "A 22267-2022")</f>
        <v/>
      </c>
    </row>
    <row r="57" ht="15" customHeight="1">
      <c r="A57" t="inlineStr">
        <is>
          <t>A 571-2023</t>
        </is>
      </c>
      <c r="B57" s="1" t="n">
        <v>44930</v>
      </c>
      <c r="C57" s="1" t="n">
        <v>45505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Kyrkan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Revlummer</t>
        </is>
      </c>
      <c r="S57">
        <f>HYPERLINK("https://klasma.github.io/Logging_0484/artfynd/A 571-2023 artfynd.xlsx", "A 571-2023")</f>
        <v/>
      </c>
      <c r="T57">
        <f>HYPERLINK("https://klasma.github.io/Logging_0484/kartor/A 571-2023 karta.png", "A 571-2023")</f>
        <v/>
      </c>
      <c r="V57">
        <f>HYPERLINK("https://klasma.github.io/Logging_0484/klagomål/A 571-2023 FSC-klagomål.docx", "A 571-2023")</f>
        <v/>
      </c>
      <c r="W57">
        <f>HYPERLINK("https://klasma.github.io/Logging_0484/klagomålsmail/A 571-2023 FSC-klagomål mail.docx", "A 571-2023")</f>
        <v/>
      </c>
      <c r="X57">
        <f>HYPERLINK("https://klasma.github.io/Logging_0484/tillsyn/A 571-2023 tillsynsbegäran.docx", "A 571-2023")</f>
        <v/>
      </c>
      <c r="Y57">
        <f>HYPERLINK("https://klasma.github.io/Logging_0484/tillsynsmail/A 571-2023 tillsynsbegäran mail.docx", "A 571-2023")</f>
        <v/>
      </c>
      <c r="Z57">
        <f>HYPERLINK("https://klasma.github.io/Logging_0484/fåglar/A 571-2023 prioriterade fågelarter.docx", "A 571-2023")</f>
        <v/>
      </c>
    </row>
    <row r="58" ht="15" customHeight="1">
      <c r="A58" t="inlineStr">
        <is>
          <t>A 25122-2023</t>
        </is>
      </c>
      <c r="B58" s="1" t="n">
        <v>45086</v>
      </c>
      <c r="C58" s="1" t="n">
        <v>45505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7.5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Mattlummer
Revlummer</t>
        </is>
      </c>
      <c r="S58">
        <f>HYPERLINK("https://klasma.github.io/Logging_0484/artfynd/A 25122-2023 artfynd.xlsx", "A 25122-2023")</f>
        <v/>
      </c>
      <c r="T58">
        <f>HYPERLINK("https://klasma.github.io/Logging_0484/kartor/A 25122-2023 karta.png", "A 25122-2023")</f>
        <v/>
      </c>
      <c r="V58">
        <f>HYPERLINK("https://klasma.github.io/Logging_0484/klagomål/A 25122-2023 FSC-klagomål.docx", "A 25122-2023")</f>
        <v/>
      </c>
      <c r="W58">
        <f>HYPERLINK("https://klasma.github.io/Logging_0484/klagomålsmail/A 25122-2023 FSC-klagomål mail.docx", "A 25122-2023")</f>
        <v/>
      </c>
      <c r="X58">
        <f>HYPERLINK("https://klasma.github.io/Logging_0484/tillsyn/A 25122-2023 tillsynsbegäran.docx", "A 25122-2023")</f>
        <v/>
      </c>
      <c r="Y58">
        <f>HYPERLINK("https://klasma.github.io/Logging_0484/tillsynsmail/A 25122-2023 tillsynsbegäran mail.docx", "A 25122-2023")</f>
        <v/>
      </c>
    </row>
    <row r="59" ht="15" customHeight="1">
      <c r="A59" t="inlineStr">
        <is>
          <t>A 43237-2023</t>
        </is>
      </c>
      <c r="B59" s="1" t="n">
        <v>45183</v>
      </c>
      <c r="C59" s="1" t="n">
        <v>45505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4.2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Talltita</t>
        </is>
      </c>
      <c r="S59">
        <f>HYPERLINK("https://klasma.github.io/Logging_0484/artfynd/A 43237-2023 artfynd.xlsx", "A 43237-2023")</f>
        <v/>
      </c>
      <c r="T59">
        <f>HYPERLINK("https://klasma.github.io/Logging_0484/kartor/A 43237-2023 karta.png", "A 43237-2023")</f>
        <v/>
      </c>
      <c r="V59">
        <f>HYPERLINK("https://klasma.github.io/Logging_0484/klagomål/A 43237-2023 FSC-klagomål.docx", "A 43237-2023")</f>
        <v/>
      </c>
      <c r="W59">
        <f>HYPERLINK("https://klasma.github.io/Logging_0484/klagomålsmail/A 43237-2023 FSC-klagomål mail.docx", "A 43237-2023")</f>
        <v/>
      </c>
      <c r="X59">
        <f>HYPERLINK("https://klasma.github.io/Logging_0484/tillsyn/A 43237-2023 tillsynsbegäran.docx", "A 43237-2023")</f>
        <v/>
      </c>
      <c r="Y59">
        <f>HYPERLINK("https://klasma.github.io/Logging_0484/tillsynsmail/A 43237-2023 tillsynsbegäran mail.docx", "A 43237-2023")</f>
        <v/>
      </c>
      <c r="Z59">
        <f>HYPERLINK("https://klasma.github.io/Logging_0484/fåglar/A 43237-2023 prioriterade fågelarter.docx", "A 43237-2023")</f>
        <v/>
      </c>
    </row>
    <row r="60" ht="15" customHeight="1">
      <c r="A60" t="inlineStr">
        <is>
          <t>A 30655-2024</t>
        </is>
      </c>
      <c r="B60" s="1" t="n">
        <v>45495</v>
      </c>
      <c r="C60" s="1" t="n">
        <v>45505</v>
      </c>
      <c r="D60" t="inlineStr">
        <is>
          <t>SÖDERMANLANDS LÄN</t>
        </is>
      </c>
      <c r="E60" t="inlineStr">
        <is>
          <t>ESKILSTUNA</t>
        </is>
      </c>
      <c r="G60" t="n">
        <v>3.7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Ullticka</t>
        </is>
      </c>
      <c r="S60">
        <f>HYPERLINK("https://klasma.github.io/Logging_0484/artfynd/A 30655-2024 artfynd.xlsx", "A 30655-2024")</f>
        <v/>
      </c>
      <c r="T60">
        <f>HYPERLINK("https://klasma.github.io/Logging_0484/kartor/A 30655-2024 karta.png", "A 30655-2024")</f>
        <v/>
      </c>
      <c r="U60">
        <f>HYPERLINK("https://klasma.github.io/Logging_0484/knärot/A 30655-2024 karta knärot.png", "A 30655-2024")</f>
        <v/>
      </c>
      <c r="V60">
        <f>HYPERLINK("https://klasma.github.io/Logging_0484/klagomål/A 30655-2024 FSC-klagomål.docx", "A 30655-2024")</f>
        <v/>
      </c>
      <c r="W60">
        <f>HYPERLINK("https://klasma.github.io/Logging_0484/klagomålsmail/A 30655-2024 FSC-klagomål mail.docx", "A 30655-2024")</f>
        <v/>
      </c>
      <c r="X60">
        <f>HYPERLINK("https://klasma.github.io/Logging_0484/tillsyn/A 30655-2024 tillsynsbegäran.docx", "A 30655-2024")</f>
        <v/>
      </c>
      <c r="Y60">
        <f>HYPERLINK("https://klasma.github.io/Logging_0484/tillsynsmail/A 30655-2024 tillsynsbegäran mail.docx", "A 30655-2024")</f>
        <v/>
      </c>
    </row>
    <row r="61" ht="15" customHeight="1">
      <c r="A61" t="inlineStr">
        <is>
          <t>A 30617-2024</t>
        </is>
      </c>
      <c r="B61" s="1" t="n">
        <v>45495</v>
      </c>
      <c r="C61" s="1" t="n">
        <v>45505</v>
      </c>
      <c r="D61" t="inlineStr">
        <is>
          <t>SÖDERMANLANDS LÄN</t>
        </is>
      </c>
      <c r="E61" t="inlineStr">
        <is>
          <t>ESKILSTUNA</t>
        </is>
      </c>
      <c r="G61" t="n">
        <v>2.1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Hasselticka
Blåsippa</t>
        </is>
      </c>
      <c r="S61">
        <f>HYPERLINK("https://klasma.github.io/Logging_0484/artfynd/A 30617-2024 artfynd.xlsx", "A 30617-2024")</f>
        <v/>
      </c>
      <c r="T61">
        <f>HYPERLINK("https://klasma.github.io/Logging_0484/kartor/A 30617-2024 karta.png", "A 30617-2024")</f>
        <v/>
      </c>
      <c r="V61">
        <f>HYPERLINK("https://klasma.github.io/Logging_0484/klagomål/A 30617-2024 FSC-klagomål.docx", "A 30617-2024")</f>
        <v/>
      </c>
      <c r="W61">
        <f>HYPERLINK("https://klasma.github.io/Logging_0484/klagomålsmail/A 30617-2024 FSC-klagomål mail.docx", "A 30617-2024")</f>
        <v/>
      </c>
      <c r="X61">
        <f>HYPERLINK("https://klasma.github.io/Logging_0484/tillsyn/A 30617-2024 tillsynsbegäran.docx", "A 30617-2024")</f>
        <v/>
      </c>
      <c r="Y61">
        <f>HYPERLINK("https://klasma.github.io/Logging_0484/tillsynsmail/A 30617-2024 tillsynsbegäran mail.docx", "A 30617-2024")</f>
        <v/>
      </c>
    </row>
    <row r="62" ht="15" customHeight="1">
      <c r="A62" t="inlineStr">
        <is>
          <t>A 23204-2019</t>
        </is>
      </c>
      <c r="B62" s="1" t="n">
        <v>43592</v>
      </c>
      <c r="C62" s="1" t="n">
        <v>45505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Ängsskära</t>
        </is>
      </c>
      <c r="S62">
        <f>HYPERLINK("https://klasma.github.io/Logging_0484/artfynd/A 23204-2019 artfynd.xlsx", "A 23204-2019")</f>
        <v/>
      </c>
      <c r="T62">
        <f>HYPERLINK("https://klasma.github.io/Logging_0484/kartor/A 23204-2019 karta.png", "A 23204-2019")</f>
        <v/>
      </c>
      <c r="V62">
        <f>HYPERLINK("https://klasma.github.io/Logging_0484/klagomål/A 23204-2019 FSC-klagomål.docx", "A 23204-2019")</f>
        <v/>
      </c>
      <c r="W62">
        <f>HYPERLINK("https://klasma.github.io/Logging_0484/klagomålsmail/A 23204-2019 FSC-klagomål mail.docx", "A 23204-2019")</f>
        <v/>
      </c>
      <c r="X62">
        <f>HYPERLINK("https://klasma.github.io/Logging_0484/tillsyn/A 23204-2019 tillsynsbegäran.docx", "A 23204-2019")</f>
        <v/>
      </c>
      <c r="Y62">
        <f>HYPERLINK("https://klasma.github.io/Logging_0484/tillsynsmail/A 23204-2019 tillsynsbegäran mail.docx", "A 23204-2019")</f>
        <v/>
      </c>
    </row>
    <row r="63" ht="15" customHeight="1">
      <c r="A63" t="inlineStr">
        <is>
          <t>A 29459-2019</t>
        </is>
      </c>
      <c r="B63" s="1" t="n">
        <v>43629</v>
      </c>
      <c r="C63" s="1" t="n">
        <v>45505</v>
      </c>
      <c r="D63" t="inlineStr">
        <is>
          <t>SÖDERMANLANDS LÄN</t>
        </is>
      </c>
      <c r="E63" t="inlineStr">
        <is>
          <t>ESKILSTUNA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29459-2019 artfynd.xlsx", "A 29459-2019")</f>
        <v/>
      </c>
      <c r="T63">
        <f>HYPERLINK("https://klasma.github.io/Logging_0484/kartor/A 29459-2019 karta.png", "A 29459-2019")</f>
        <v/>
      </c>
      <c r="U63">
        <f>HYPERLINK("https://klasma.github.io/Logging_0484/knärot/A 29459-2019 karta knärot.png", "A 29459-2019")</f>
        <v/>
      </c>
      <c r="V63">
        <f>HYPERLINK("https://klasma.github.io/Logging_0484/klagomål/A 29459-2019 FSC-klagomål.docx", "A 29459-2019")</f>
        <v/>
      </c>
      <c r="W63">
        <f>HYPERLINK("https://klasma.github.io/Logging_0484/klagomålsmail/A 29459-2019 FSC-klagomål mail.docx", "A 29459-2019")</f>
        <v/>
      </c>
      <c r="X63">
        <f>HYPERLINK("https://klasma.github.io/Logging_0484/tillsyn/A 29459-2019 tillsynsbegäran.docx", "A 29459-2019")</f>
        <v/>
      </c>
      <c r="Y63">
        <f>HYPERLINK("https://klasma.github.io/Logging_0484/tillsynsmail/A 29459-2019 tillsynsbegäran mail.docx", "A 29459-2019")</f>
        <v/>
      </c>
    </row>
    <row r="64" ht="15" customHeight="1">
      <c r="A64" t="inlineStr">
        <is>
          <t>A 50952-2019</t>
        </is>
      </c>
      <c r="B64" s="1" t="n">
        <v>43738</v>
      </c>
      <c r="C64" s="1" t="n">
        <v>45505</v>
      </c>
      <c r="D64" t="inlineStr">
        <is>
          <t>SÖDERMANLANDS LÄN</t>
        </is>
      </c>
      <c r="E64" t="inlineStr">
        <is>
          <t>ESKILSTUNA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HYPERLINK("https://klasma.github.io/Logging_0484/artfynd/A 50952-2019 artfynd.xlsx", "A 50952-2019")</f>
        <v/>
      </c>
      <c r="T64">
        <f>HYPERLINK("https://klasma.github.io/Logging_0484/kartor/A 50952-2019 karta.png", "A 50952-2019")</f>
        <v/>
      </c>
      <c r="V64">
        <f>HYPERLINK("https://klasma.github.io/Logging_0484/klagomål/A 50952-2019 FSC-klagomål.docx", "A 50952-2019")</f>
        <v/>
      </c>
      <c r="W64">
        <f>HYPERLINK("https://klasma.github.io/Logging_0484/klagomålsmail/A 50952-2019 FSC-klagomål mail.docx", "A 50952-2019")</f>
        <v/>
      </c>
      <c r="X64">
        <f>HYPERLINK("https://klasma.github.io/Logging_0484/tillsyn/A 50952-2019 tillsynsbegäran.docx", "A 50952-2019")</f>
        <v/>
      </c>
      <c r="Y64">
        <f>HYPERLINK("https://klasma.github.io/Logging_0484/tillsynsmail/A 50952-2019 tillsynsbegäran mail.docx", "A 50952-2019")</f>
        <v/>
      </c>
    </row>
    <row r="65" ht="15" customHeight="1">
      <c r="A65" t="inlineStr">
        <is>
          <t>A 51651-2019</t>
        </is>
      </c>
      <c r="B65" s="1" t="n">
        <v>43740</v>
      </c>
      <c r="C65" s="1" t="n">
        <v>45505</v>
      </c>
      <c r="D65" t="inlineStr">
        <is>
          <t>SÖDERMANLANDS LÄN</t>
        </is>
      </c>
      <c r="E65" t="inlineStr">
        <is>
          <t>ESKILSTUNA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HYPERLINK("https://klasma.github.io/Logging_0484/artfynd/A 51651-2019 artfynd.xlsx", "A 51651-2019")</f>
        <v/>
      </c>
      <c r="T65">
        <f>HYPERLINK("https://klasma.github.io/Logging_0484/kartor/A 51651-2019 karta.png", "A 51651-2019")</f>
        <v/>
      </c>
      <c r="V65">
        <f>HYPERLINK("https://klasma.github.io/Logging_0484/klagomål/A 51651-2019 FSC-klagomål.docx", "A 51651-2019")</f>
        <v/>
      </c>
      <c r="W65">
        <f>HYPERLINK("https://klasma.github.io/Logging_0484/klagomålsmail/A 51651-2019 FSC-klagomål mail.docx", "A 51651-2019")</f>
        <v/>
      </c>
      <c r="X65">
        <f>HYPERLINK("https://klasma.github.io/Logging_0484/tillsyn/A 51651-2019 tillsynsbegäran.docx", "A 51651-2019")</f>
        <v/>
      </c>
      <c r="Y65">
        <f>HYPERLINK("https://klasma.github.io/Logging_0484/tillsynsmail/A 51651-2019 tillsynsbegäran mail.docx", "A 51651-2019")</f>
        <v/>
      </c>
    </row>
    <row r="66" ht="15" customHeight="1">
      <c r="A66" t="inlineStr">
        <is>
          <t>A 54326-2019</t>
        </is>
      </c>
      <c r="B66" s="1" t="n">
        <v>43745</v>
      </c>
      <c r="C66" s="1" t="n">
        <v>45505</v>
      </c>
      <c r="D66" t="inlineStr">
        <is>
          <t>SÖDERMANLANDS LÄN</t>
        </is>
      </c>
      <c r="E66" t="inlineStr">
        <is>
          <t>ESKILSTUNA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HYPERLINK("https://klasma.github.io/Logging_0484/artfynd/A 54326-2019 artfynd.xlsx", "A 54326-2019")</f>
        <v/>
      </c>
      <c r="T66">
        <f>HYPERLINK("https://klasma.github.io/Logging_0484/kartor/A 54326-2019 karta.png", "A 54326-2019")</f>
        <v/>
      </c>
      <c r="V66">
        <f>HYPERLINK("https://klasma.github.io/Logging_0484/klagomål/A 54326-2019 FSC-klagomål.docx", "A 54326-2019")</f>
        <v/>
      </c>
      <c r="W66">
        <f>HYPERLINK("https://klasma.github.io/Logging_0484/klagomålsmail/A 54326-2019 FSC-klagomål mail.docx", "A 54326-2019")</f>
        <v/>
      </c>
      <c r="X66">
        <f>HYPERLINK("https://klasma.github.io/Logging_0484/tillsyn/A 54326-2019 tillsynsbegäran.docx", "A 54326-2019")</f>
        <v/>
      </c>
      <c r="Y66">
        <f>HYPERLINK("https://klasma.github.io/Logging_0484/tillsynsmail/A 54326-2019 tillsynsbegäran mail.docx", "A 54326-2019")</f>
        <v/>
      </c>
    </row>
    <row r="67" ht="15" customHeight="1">
      <c r="A67" t="inlineStr">
        <is>
          <t>A 16877-2020</t>
        </is>
      </c>
      <c r="B67" s="1" t="n">
        <v>43921</v>
      </c>
      <c r="C67" s="1" t="n">
        <v>45505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16877-2020 artfynd.xlsx", "A 16877-2020")</f>
        <v/>
      </c>
      <c r="T67">
        <f>HYPERLINK("https://klasma.github.io/Logging_0484/kartor/A 16877-2020 karta.png", "A 16877-2020")</f>
        <v/>
      </c>
      <c r="V67">
        <f>HYPERLINK("https://klasma.github.io/Logging_0484/klagomål/A 16877-2020 FSC-klagomål.docx", "A 16877-2020")</f>
        <v/>
      </c>
      <c r="W67">
        <f>HYPERLINK("https://klasma.github.io/Logging_0484/klagomålsmail/A 16877-2020 FSC-klagomål mail.docx", "A 16877-2020")</f>
        <v/>
      </c>
      <c r="X67">
        <f>HYPERLINK("https://klasma.github.io/Logging_0484/tillsyn/A 16877-2020 tillsynsbegäran.docx", "A 16877-2020")</f>
        <v/>
      </c>
      <c r="Y67">
        <f>HYPERLINK("https://klasma.github.io/Logging_0484/tillsynsmail/A 16877-2020 tillsynsbegäran mail.docx", "A 16877-2020")</f>
        <v/>
      </c>
    </row>
    <row r="68" ht="15" customHeight="1">
      <c r="A68" t="inlineStr">
        <is>
          <t>A 23201-2020</t>
        </is>
      </c>
      <c r="B68" s="1" t="n">
        <v>43964</v>
      </c>
      <c r="C68" s="1" t="n">
        <v>45505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Krusfrö</t>
        </is>
      </c>
      <c r="S68">
        <f>HYPERLINK("https://klasma.github.io/Logging_0484/artfynd/A 23201-2020 artfynd.xlsx", "A 23201-2020")</f>
        <v/>
      </c>
      <c r="T68">
        <f>HYPERLINK("https://klasma.github.io/Logging_0484/kartor/A 23201-2020 karta.png", "A 23201-2020")</f>
        <v/>
      </c>
      <c r="V68">
        <f>HYPERLINK("https://klasma.github.io/Logging_0484/klagomål/A 23201-2020 FSC-klagomål.docx", "A 23201-2020")</f>
        <v/>
      </c>
      <c r="W68">
        <f>HYPERLINK("https://klasma.github.io/Logging_0484/klagomålsmail/A 23201-2020 FSC-klagomål mail.docx", "A 23201-2020")</f>
        <v/>
      </c>
      <c r="X68">
        <f>HYPERLINK("https://klasma.github.io/Logging_0484/tillsyn/A 23201-2020 tillsynsbegäran.docx", "A 23201-2020")</f>
        <v/>
      </c>
      <c r="Y68">
        <f>HYPERLINK("https://klasma.github.io/Logging_0484/tillsynsmail/A 23201-2020 tillsynsbegäran mail.docx", "A 23201-2020")</f>
        <v/>
      </c>
    </row>
    <row r="69" ht="15" customHeight="1">
      <c r="A69" t="inlineStr">
        <is>
          <t>A 23468-2020</t>
        </is>
      </c>
      <c r="B69" s="1" t="n">
        <v>43966</v>
      </c>
      <c r="C69" s="1" t="n">
        <v>45505</v>
      </c>
      <c r="D69" t="inlineStr">
        <is>
          <t>SÖDERMANLANDS LÄN</t>
        </is>
      </c>
      <c r="E69" t="inlineStr">
        <is>
          <t>ESKILSTUNA</t>
        </is>
      </c>
      <c r="G69" t="n">
        <v>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HYPERLINK("https://klasma.github.io/Logging_0484/artfynd/A 23468-2020 artfynd.xlsx", "A 23468-2020")</f>
        <v/>
      </c>
      <c r="T69">
        <f>HYPERLINK("https://klasma.github.io/Logging_0484/kartor/A 23468-2020 karta.png", "A 23468-2020")</f>
        <v/>
      </c>
      <c r="V69">
        <f>HYPERLINK("https://klasma.github.io/Logging_0484/klagomål/A 23468-2020 FSC-klagomål.docx", "A 23468-2020")</f>
        <v/>
      </c>
      <c r="W69">
        <f>HYPERLINK("https://klasma.github.io/Logging_0484/klagomålsmail/A 23468-2020 FSC-klagomål mail.docx", "A 23468-2020")</f>
        <v/>
      </c>
      <c r="X69">
        <f>HYPERLINK("https://klasma.github.io/Logging_0484/tillsyn/A 23468-2020 tillsynsbegäran.docx", "A 23468-2020")</f>
        <v/>
      </c>
      <c r="Y69">
        <f>HYPERLINK("https://klasma.github.io/Logging_0484/tillsynsmail/A 23468-2020 tillsynsbegäran mail.docx", "A 23468-2020")</f>
        <v/>
      </c>
      <c r="Z69">
        <f>HYPERLINK("https://klasma.github.io/Logging_0484/fåglar/A 23468-2020 prioriterade fågelarter.docx", "A 23468-2020")</f>
        <v/>
      </c>
    </row>
    <row r="70" ht="15" customHeight="1">
      <c r="A70" t="inlineStr">
        <is>
          <t>A 38423-2020</t>
        </is>
      </c>
      <c r="B70" s="1" t="n">
        <v>44060</v>
      </c>
      <c r="C70" s="1" t="n">
        <v>45505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HYPERLINK("https://klasma.github.io/Logging_0484/artfynd/A 38423-2020 artfynd.xlsx", "A 38423-2020")</f>
        <v/>
      </c>
      <c r="T70">
        <f>HYPERLINK("https://klasma.github.io/Logging_0484/kartor/A 38423-2020 karta.png", "A 38423-2020")</f>
        <v/>
      </c>
      <c r="V70">
        <f>HYPERLINK("https://klasma.github.io/Logging_0484/klagomål/A 38423-2020 FSC-klagomål.docx", "A 38423-2020")</f>
        <v/>
      </c>
      <c r="W70">
        <f>HYPERLINK("https://klasma.github.io/Logging_0484/klagomålsmail/A 38423-2020 FSC-klagomål mail.docx", "A 38423-2020")</f>
        <v/>
      </c>
      <c r="X70">
        <f>HYPERLINK("https://klasma.github.io/Logging_0484/tillsyn/A 38423-2020 tillsynsbegäran.docx", "A 38423-2020")</f>
        <v/>
      </c>
      <c r="Y70">
        <f>HYPERLINK("https://klasma.github.io/Logging_0484/tillsynsmail/A 38423-2020 tillsynsbegäran mail.docx", "A 38423-2020")</f>
        <v/>
      </c>
    </row>
    <row r="71" ht="15" customHeight="1">
      <c r="A71" t="inlineStr">
        <is>
          <t>A 56228-2020</t>
        </is>
      </c>
      <c r="B71" s="1" t="n">
        <v>44134</v>
      </c>
      <c r="C71" s="1" t="n">
        <v>45505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56228-2020 artfynd.xlsx", "A 56228-2020")</f>
        <v/>
      </c>
      <c r="T71">
        <f>HYPERLINK("https://klasma.github.io/Logging_0484/kartor/A 56228-2020 karta.png", "A 56228-2020")</f>
        <v/>
      </c>
      <c r="V71">
        <f>HYPERLINK("https://klasma.github.io/Logging_0484/klagomål/A 56228-2020 FSC-klagomål.docx", "A 56228-2020")</f>
        <v/>
      </c>
      <c r="W71">
        <f>HYPERLINK("https://klasma.github.io/Logging_0484/klagomålsmail/A 56228-2020 FSC-klagomål mail.docx", "A 56228-2020")</f>
        <v/>
      </c>
      <c r="X71">
        <f>HYPERLINK("https://klasma.github.io/Logging_0484/tillsyn/A 56228-2020 tillsynsbegäran.docx", "A 56228-2020")</f>
        <v/>
      </c>
      <c r="Y71">
        <f>HYPERLINK("https://klasma.github.io/Logging_0484/tillsynsmail/A 56228-2020 tillsynsbegäran mail.docx", "A 56228-2020")</f>
        <v/>
      </c>
    </row>
    <row r="72" ht="15" customHeight="1">
      <c r="A72" t="inlineStr">
        <is>
          <t>A 33759-2021</t>
        </is>
      </c>
      <c r="B72" s="1" t="n">
        <v>44378</v>
      </c>
      <c r="C72" s="1" t="n">
        <v>45505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HYPERLINK("https://klasma.github.io/Logging_0484/artfynd/A 33759-2021 artfynd.xlsx", "A 33759-2021")</f>
        <v/>
      </c>
      <c r="T72">
        <f>HYPERLINK("https://klasma.github.io/Logging_0484/kartor/A 33759-2021 karta.png", "A 33759-2021")</f>
        <v/>
      </c>
      <c r="V72">
        <f>HYPERLINK("https://klasma.github.io/Logging_0484/klagomål/A 33759-2021 FSC-klagomål.docx", "A 33759-2021")</f>
        <v/>
      </c>
      <c r="W72">
        <f>HYPERLINK("https://klasma.github.io/Logging_0484/klagomålsmail/A 33759-2021 FSC-klagomål mail.docx", "A 33759-2021")</f>
        <v/>
      </c>
      <c r="X72">
        <f>HYPERLINK("https://klasma.github.io/Logging_0484/tillsyn/A 33759-2021 tillsynsbegäran.docx", "A 33759-2021")</f>
        <v/>
      </c>
      <c r="Y72">
        <f>HYPERLINK("https://klasma.github.io/Logging_0484/tillsynsmail/A 33759-2021 tillsynsbegäran mail.docx", "A 33759-2021")</f>
        <v/>
      </c>
    </row>
    <row r="73" ht="15" customHeight="1">
      <c r="A73" t="inlineStr">
        <is>
          <t>A 53206-2021</t>
        </is>
      </c>
      <c r="B73" s="1" t="n">
        <v>44468</v>
      </c>
      <c r="C73" s="1" t="n">
        <v>45505</v>
      </c>
      <c r="D73" t="inlineStr">
        <is>
          <t>SÖDERMANLANDS LÄN</t>
        </is>
      </c>
      <c r="E73" t="inlineStr">
        <is>
          <t>ESKILSTUNA</t>
        </is>
      </c>
      <c r="G73" t="n">
        <v>12.8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Zontaggsvamp</t>
        </is>
      </c>
      <c r="S73">
        <f>HYPERLINK("https://klasma.github.io/Logging_0484/artfynd/A 53206-2021 artfynd.xlsx", "A 53206-2021")</f>
        <v/>
      </c>
      <c r="T73">
        <f>HYPERLINK("https://klasma.github.io/Logging_0484/kartor/A 53206-2021 karta.png", "A 53206-2021")</f>
        <v/>
      </c>
      <c r="V73">
        <f>HYPERLINK("https://klasma.github.io/Logging_0484/klagomål/A 53206-2021 FSC-klagomål.docx", "A 53206-2021")</f>
        <v/>
      </c>
      <c r="W73">
        <f>HYPERLINK("https://klasma.github.io/Logging_0484/klagomålsmail/A 53206-2021 FSC-klagomål mail.docx", "A 53206-2021")</f>
        <v/>
      </c>
      <c r="X73">
        <f>HYPERLINK("https://klasma.github.io/Logging_0484/tillsyn/A 53206-2021 tillsynsbegäran.docx", "A 53206-2021")</f>
        <v/>
      </c>
      <c r="Y73">
        <f>HYPERLINK("https://klasma.github.io/Logging_0484/tillsynsmail/A 53206-2021 tillsynsbegäran mail.docx", "A 53206-2021")</f>
        <v/>
      </c>
    </row>
    <row r="74" ht="15" customHeight="1">
      <c r="A74" t="inlineStr">
        <is>
          <t>A 62141-2021</t>
        </is>
      </c>
      <c r="B74" s="1" t="n">
        <v>44502</v>
      </c>
      <c r="C74" s="1" t="n">
        <v>45505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13.7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62141-2021 artfynd.xlsx", "A 62141-2021")</f>
        <v/>
      </c>
      <c r="T74">
        <f>HYPERLINK("https://klasma.github.io/Logging_0484/kartor/A 62141-2021 karta.png", "A 62141-2021")</f>
        <v/>
      </c>
      <c r="V74">
        <f>HYPERLINK("https://klasma.github.io/Logging_0484/klagomål/A 62141-2021 FSC-klagomål.docx", "A 62141-2021")</f>
        <v/>
      </c>
      <c r="W74">
        <f>HYPERLINK("https://klasma.github.io/Logging_0484/klagomålsmail/A 62141-2021 FSC-klagomål mail.docx", "A 62141-2021")</f>
        <v/>
      </c>
      <c r="X74">
        <f>HYPERLINK("https://klasma.github.io/Logging_0484/tillsyn/A 62141-2021 tillsynsbegäran.docx", "A 62141-2021")</f>
        <v/>
      </c>
      <c r="Y74">
        <f>HYPERLINK("https://klasma.github.io/Logging_0484/tillsynsmail/A 62141-2021 tillsynsbegäran mail.docx", "A 62141-2021")</f>
        <v/>
      </c>
    </row>
    <row r="75" ht="15" customHeight="1">
      <c r="A75" t="inlineStr">
        <is>
          <t>A 65380-2021</t>
        </is>
      </c>
      <c r="B75" s="1" t="n">
        <v>44515</v>
      </c>
      <c r="C75" s="1" t="n">
        <v>45505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65380-2021 artfynd.xlsx", "A 65380-2021")</f>
        <v/>
      </c>
      <c r="T75">
        <f>HYPERLINK("https://klasma.github.io/Logging_0484/kartor/A 65380-2021 karta.png", "A 65380-2021")</f>
        <v/>
      </c>
      <c r="V75">
        <f>HYPERLINK("https://klasma.github.io/Logging_0484/klagomål/A 65380-2021 FSC-klagomål.docx", "A 65380-2021")</f>
        <v/>
      </c>
      <c r="W75">
        <f>HYPERLINK("https://klasma.github.io/Logging_0484/klagomålsmail/A 65380-2021 FSC-klagomål mail.docx", "A 65380-2021")</f>
        <v/>
      </c>
      <c r="X75">
        <f>HYPERLINK("https://klasma.github.io/Logging_0484/tillsyn/A 65380-2021 tillsynsbegäran.docx", "A 65380-2021")</f>
        <v/>
      </c>
      <c r="Y75">
        <f>HYPERLINK("https://klasma.github.io/Logging_0484/tillsynsmail/A 65380-2021 tillsynsbegäran mail.docx", "A 65380-2021")</f>
        <v/>
      </c>
    </row>
    <row r="76" ht="15" customHeight="1">
      <c r="A76" t="inlineStr">
        <is>
          <t>A 3162-2022</t>
        </is>
      </c>
      <c r="B76" s="1" t="n">
        <v>44582</v>
      </c>
      <c r="C76" s="1" t="n">
        <v>45505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HYPERLINK("https://klasma.github.io/Logging_0484/artfynd/A 3162-2022 artfynd.xlsx", "A 3162-2022")</f>
        <v/>
      </c>
      <c r="T76">
        <f>HYPERLINK("https://klasma.github.io/Logging_0484/kartor/A 3162-2022 karta.png", "A 3162-2022")</f>
        <v/>
      </c>
      <c r="V76">
        <f>HYPERLINK("https://klasma.github.io/Logging_0484/klagomål/A 3162-2022 FSC-klagomål.docx", "A 3162-2022")</f>
        <v/>
      </c>
      <c r="W76">
        <f>HYPERLINK("https://klasma.github.io/Logging_0484/klagomålsmail/A 3162-2022 FSC-klagomål mail.docx", "A 3162-2022")</f>
        <v/>
      </c>
      <c r="X76">
        <f>HYPERLINK("https://klasma.github.io/Logging_0484/tillsyn/A 3162-2022 tillsynsbegäran.docx", "A 3162-2022")</f>
        <v/>
      </c>
      <c r="Y76">
        <f>HYPERLINK("https://klasma.github.io/Logging_0484/tillsynsmail/A 3162-2022 tillsynsbegäran mail.docx", "A 3162-2022")</f>
        <v/>
      </c>
    </row>
    <row r="77" ht="15" customHeight="1">
      <c r="A77" t="inlineStr">
        <is>
          <t>A 15960-2022</t>
        </is>
      </c>
      <c r="B77" s="1" t="n">
        <v>44664</v>
      </c>
      <c r="C77" s="1" t="n">
        <v>45505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Scharlakansvårskål agg.</t>
        </is>
      </c>
      <c r="S77">
        <f>HYPERLINK("https://klasma.github.io/Logging_0484/artfynd/A 15960-2022 artfynd.xlsx", "A 15960-2022")</f>
        <v/>
      </c>
      <c r="T77">
        <f>HYPERLINK("https://klasma.github.io/Logging_0484/kartor/A 15960-2022 karta.png", "A 15960-2022")</f>
        <v/>
      </c>
      <c r="V77">
        <f>HYPERLINK("https://klasma.github.io/Logging_0484/klagomål/A 15960-2022 FSC-klagomål.docx", "A 15960-2022")</f>
        <v/>
      </c>
      <c r="W77">
        <f>HYPERLINK("https://klasma.github.io/Logging_0484/klagomålsmail/A 15960-2022 FSC-klagomål mail.docx", "A 15960-2022")</f>
        <v/>
      </c>
      <c r="X77">
        <f>HYPERLINK("https://klasma.github.io/Logging_0484/tillsyn/A 15960-2022 tillsynsbegäran.docx", "A 15960-2022")</f>
        <v/>
      </c>
      <c r="Y77">
        <f>HYPERLINK("https://klasma.github.io/Logging_0484/tillsynsmail/A 15960-2022 tillsynsbegäran mail.docx", "A 15960-2022")</f>
        <v/>
      </c>
    </row>
    <row r="78" ht="15" customHeight="1">
      <c r="A78" t="inlineStr">
        <is>
          <t>A 36140-2022</t>
        </is>
      </c>
      <c r="B78" s="1" t="n">
        <v>44803</v>
      </c>
      <c r="C78" s="1" t="n">
        <v>45505</v>
      </c>
      <c r="D78" t="inlineStr">
        <is>
          <t>SÖDERMANLANDS LÄN</t>
        </is>
      </c>
      <c r="E78" t="inlineStr">
        <is>
          <t>ESKILSTUNA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36140-2022 artfynd.xlsx", "A 36140-2022")</f>
        <v/>
      </c>
      <c r="T78">
        <f>HYPERLINK("https://klasma.github.io/Logging_0484/kartor/A 36140-2022 karta.png", "A 36140-2022")</f>
        <v/>
      </c>
      <c r="V78">
        <f>HYPERLINK("https://klasma.github.io/Logging_0484/klagomål/A 36140-2022 FSC-klagomål.docx", "A 36140-2022")</f>
        <v/>
      </c>
      <c r="W78">
        <f>HYPERLINK("https://klasma.github.io/Logging_0484/klagomålsmail/A 36140-2022 FSC-klagomål mail.docx", "A 36140-2022")</f>
        <v/>
      </c>
      <c r="X78">
        <f>HYPERLINK("https://klasma.github.io/Logging_0484/tillsyn/A 36140-2022 tillsynsbegäran.docx", "A 36140-2022")</f>
        <v/>
      </c>
      <c r="Y78">
        <f>HYPERLINK("https://klasma.github.io/Logging_0484/tillsynsmail/A 36140-2022 tillsynsbegäran mail.docx", "A 36140-2022")</f>
        <v/>
      </c>
    </row>
    <row r="79" ht="15" customHeight="1">
      <c r="A79" t="inlineStr">
        <is>
          <t>A 36155-2022</t>
        </is>
      </c>
      <c r="B79" s="1" t="n">
        <v>44803</v>
      </c>
      <c r="C79" s="1" t="n">
        <v>45505</v>
      </c>
      <c r="D79" t="inlineStr">
        <is>
          <t>SÖDERMANLANDS LÄN</t>
        </is>
      </c>
      <c r="E79" t="inlineStr">
        <is>
          <t>ESKILSTUNA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36155-2022 artfynd.xlsx", "A 36155-2022")</f>
        <v/>
      </c>
      <c r="T79">
        <f>HYPERLINK("https://klasma.github.io/Logging_0484/kartor/A 36155-2022 karta.png", "A 36155-2022")</f>
        <v/>
      </c>
      <c r="V79">
        <f>HYPERLINK("https://klasma.github.io/Logging_0484/klagomål/A 36155-2022 FSC-klagomål.docx", "A 36155-2022")</f>
        <v/>
      </c>
      <c r="W79">
        <f>HYPERLINK("https://klasma.github.io/Logging_0484/klagomålsmail/A 36155-2022 FSC-klagomål mail.docx", "A 36155-2022")</f>
        <v/>
      </c>
      <c r="X79">
        <f>HYPERLINK("https://klasma.github.io/Logging_0484/tillsyn/A 36155-2022 tillsynsbegäran.docx", "A 36155-2022")</f>
        <v/>
      </c>
      <c r="Y79">
        <f>HYPERLINK("https://klasma.github.io/Logging_0484/tillsynsmail/A 36155-2022 tillsynsbegäran mail.docx", "A 36155-2022")</f>
        <v/>
      </c>
    </row>
    <row r="80" ht="15" customHeight="1">
      <c r="A80" t="inlineStr">
        <is>
          <t>A 43547-2022</t>
        </is>
      </c>
      <c r="B80" s="1" t="n">
        <v>44834</v>
      </c>
      <c r="C80" s="1" t="n">
        <v>45505</v>
      </c>
      <c r="D80" t="inlineStr">
        <is>
          <t>SÖDERMANLANDS LÄN</t>
        </is>
      </c>
      <c r="E80" t="inlineStr">
        <is>
          <t>ESKILSTUNA</t>
        </is>
      </c>
      <c r="G80" t="n">
        <v>3.2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HYPERLINK("https://klasma.github.io/Logging_0484/artfynd/A 43547-2022 artfynd.xlsx", "A 43547-2022")</f>
        <v/>
      </c>
      <c r="T80">
        <f>HYPERLINK("https://klasma.github.io/Logging_0484/kartor/A 43547-2022 karta.png", "A 43547-2022")</f>
        <v/>
      </c>
      <c r="U80">
        <f>HYPERLINK("https://klasma.github.io/Logging_0484/knärot/A 43547-2022 karta knärot.png", "A 43547-2022")</f>
        <v/>
      </c>
      <c r="V80">
        <f>HYPERLINK("https://klasma.github.io/Logging_0484/klagomål/A 43547-2022 FSC-klagomål.docx", "A 43547-2022")</f>
        <v/>
      </c>
      <c r="W80">
        <f>HYPERLINK("https://klasma.github.io/Logging_0484/klagomålsmail/A 43547-2022 FSC-klagomål mail.docx", "A 43547-2022")</f>
        <v/>
      </c>
      <c r="X80">
        <f>HYPERLINK("https://klasma.github.io/Logging_0484/tillsyn/A 43547-2022 tillsynsbegäran.docx", "A 43547-2022")</f>
        <v/>
      </c>
      <c r="Y80">
        <f>HYPERLINK("https://klasma.github.io/Logging_0484/tillsynsmail/A 43547-2022 tillsynsbegäran mail.docx", "A 43547-2022")</f>
        <v/>
      </c>
    </row>
    <row r="81" ht="15" customHeight="1">
      <c r="A81" t="inlineStr">
        <is>
          <t>A 44664-2022</t>
        </is>
      </c>
      <c r="B81" s="1" t="n">
        <v>44840</v>
      </c>
      <c r="C81" s="1" t="n">
        <v>45505</v>
      </c>
      <c r="D81" t="inlineStr">
        <is>
          <t>SÖDERMANLANDS LÄN</t>
        </is>
      </c>
      <c r="E81" t="inlineStr">
        <is>
          <t>ESKILSTUNA</t>
        </is>
      </c>
      <c r="G81" t="n">
        <v>20.8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44664-2022 artfynd.xlsx", "A 44664-2022")</f>
        <v/>
      </c>
      <c r="T81">
        <f>HYPERLINK("https://klasma.github.io/Logging_0484/kartor/A 44664-2022 karta.png", "A 44664-2022")</f>
        <v/>
      </c>
      <c r="U81">
        <f>HYPERLINK("https://klasma.github.io/Logging_0484/knärot/A 44664-2022 karta knärot.png", "A 44664-2022")</f>
        <v/>
      </c>
      <c r="V81">
        <f>HYPERLINK("https://klasma.github.io/Logging_0484/klagomål/A 44664-2022 FSC-klagomål.docx", "A 44664-2022")</f>
        <v/>
      </c>
      <c r="W81">
        <f>HYPERLINK("https://klasma.github.io/Logging_0484/klagomålsmail/A 44664-2022 FSC-klagomål mail.docx", "A 44664-2022")</f>
        <v/>
      </c>
      <c r="X81">
        <f>HYPERLINK("https://klasma.github.io/Logging_0484/tillsyn/A 44664-2022 tillsynsbegäran.docx", "A 44664-2022")</f>
        <v/>
      </c>
      <c r="Y81">
        <f>HYPERLINK("https://klasma.github.io/Logging_0484/tillsynsmail/A 44664-2022 tillsynsbegäran mail.docx", "A 44664-2022")</f>
        <v/>
      </c>
    </row>
    <row r="82" ht="15" customHeight="1">
      <c r="A82" t="inlineStr">
        <is>
          <t>A 47648-2022</t>
        </is>
      </c>
      <c r="B82" s="1" t="n">
        <v>44854</v>
      </c>
      <c r="C82" s="1" t="n">
        <v>45505</v>
      </c>
      <c r="D82" t="inlineStr">
        <is>
          <t>SÖDERMANLANDS LÄN</t>
        </is>
      </c>
      <c r="E82" t="inlineStr">
        <is>
          <t>ESKILSTUNA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HYPERLINK("https://klasma.github.io/Logging_0484/artfynd/A 47648-2022 artfynd.xlsx", "A 47648-2022")</f>
        <v/>
      </c>
      <c r="T82">
        <f>HYPERLINK("https://klasma.github.io/Logging_0484/kartor/A 47648-2022 karta.png", "A 47648-2022")</f>
        <v/>
      </c>
      <c r="V82">
        <f>HYPERLINK("https://klasma.github.io/Logging_0484/klagomål/A 47648-2022 FSC-klagomål.docx", "A 47648-2022")</f>
        <v/>
      </c>
      <c r="W82">
        <f>HYPERLINK("https://klasma.github.io/Logging_0484/klagomålsmail/A 47648-2022 FSC-klagomål mail.docx", "A 47648-2022")</f>
        <v/>
      </c>
      <c r="X82">
        <f>HYPERLINK("https://klasma.github.io/Logging_0484/tillsyn/A 47648-2022 tillsynsbegäran.docx", "A 47648-2022")</f>
        <v/>
      </c>
      <c r="Y82">
        <f>HYPERLINK("https://klasma.github.io/Logging_0484/tillsynsmail/A 47648-2022 tillsynsbegäran mail.docx", "A 47648-2022")</f>
        <v/>
      </c>
      <c r="Z82">
        <f>HYPERLINK("https://klasma.github.io/Logging_0484/fåglar/A 47648-2022 prioriterade fågelarter.docx", "A 47648-2022")</f>
        <v/>
      </c>
    </row>
    <row r="83" ht="15" customHeight="1">
      <c r="A83" t="inlineStr">
        <is>
          <t>A 61987-2022</t>
        </is>
      </c>
      <c r="B83" s="1" t="n">
        <v>44918</v>
      </c>
      <c r="C83" s="1" t="n">
        <v>45505</v>
      </c>
      <c r="D83" t="inlineStr">
        <is>
          <t>SÖDERMANLANDS LÄN</t>
        </is>
      </c>
      <c r="E83" t="inlineStr">
        <is>
          <t>ESKILSTUNA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HYPERLINK("https://klasma.github.io/Logging_0484/artfynd/A 61987-2022 artfynd.xlsx", "A 61987-2022")</f>
        <v/>
      </c>
      <c r="T83">
        <f>HYPERLINK("https://klasma.github.io/Logging_0484/kartor/A 61987-2022 karta.png", "A 61987-2022")</f>
        <v/>
      </c>
      <c r="V83">
        <f>HYPERLINK("https://klasma.github.io/Logging_0484/klagomål/A 61987-2022 FSC-klagomål.docx", "A 61987-2022")</f>
        <v/>
      </c>
      <c r="W83">
        <f>HYPERLINK("https://klasma.github.io/Logging_0484/klagomålsmail/A 61987-2022 FSC-klagomål mail.docx", "A 61987-2022")</f>
        <v/>
      </c>
      <c r="X83">
        <f>HYPERLINK("https://klasma.github.io/Logging_0484/tillsyn/A 61987-2022 tillsynsbegäran.docx", "A 61987-2022")</f>
        <v/>
      </c>
      <c r="Y83">
        <f>HYPERLINK("https://klasma.github.io/Logging_0484/tillsynsmail/A 61987-2022 tillsynsbegäran mail.docx", "A 61987-2022")</f>
        <v/>
      </c>
    </row>
    <row r="84" ht="15" customHeight="1">
      <c r="A84" t="inlineStr">
        <is>
          <t>A 9645-2023</t>
        </is>
      </c>
      <c r="B84" s="1" t="n">
        <v>44984</v>
      </c>
      <c r="C84" s="1" t="n">
        <v>45505</v>
      </c>
      <c r="D84" t="inlineStr">
        <is>
          <t>SÖDERMANLANDS LÄN</t>
        </is>
      </c>
      <c r="E84" t="inlineStr">
        <is>
          <t>ESKILSTUNA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HYPERLINK("https://klasma.github.io/Logging_0484/artfynd/A 9645-2023 artfynd.xlsx", "A 9645-2023")</f>
        <v/>
      </c>
      <c r="T84">
        <f>HYPERLINK("https://klasma.github.io/Logging_0484/kartor/A 9645-2023 karta.png", "A 9645-2023")</f>
        <v/>
      </c>
      <c r="V84">
        <f>HYPERLINK("https://klasma.github.io/Logging_0484/klagomål/A 9645-2023 FSC-klagomål.docx", "A 9645-2023")</f>
        <v/>
      </c>
      <c r="W84">
        <f>HYPERLINK("https://klasma.github.io/Logging_0484/klagomålsmail/A 9645-2023 FSC-klagomål mail.docx", "A 9645-2023")</f>
        <v/>
      </c>
      <c r="X84">
        <f>HYPERLINK("https://klasma.github.io/Logging_0484/tillsyn/A 9645-2023 tillsynsbegäran.docx", "A 9645-2023")</f>
        <v/>
      </c>
      <c r="Y84">
        <f>HYPERLINK("https://klasma.github.io/Logging_0484/tillsynsmail/A 9645-2023 tillsynsbegäran mail.docx", "A 9645-2023")</f>
        <v/>
      </c>
      <c r="Z84">
        <f>HYPERLINK("https://klasma.github.io/Logging_0484/fåglar/A 9645-2023 prioriterade fågelarter.docx", "A 9645-2023")</f>
        <v/>
      </c>
    </row>
    <row r="85" ht="15" customHeight="1">
      <c r="A85" t="inlineStr">
        <is>
          <t>A 14327-2023</t>
        </is>
      </c>
      <c r="B85" s="1" t="n">
        <v>45012</v>
      </c>
      <c r="C85" s="1" t="n">
        <v>45505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Kommuner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HYPERLINK("https://klasma.github.io/Logging_0484/artfynd/A 14327-2023 artfynd.xlsx", "A 14327-2023")</f>
        <v/>
      </c>
      <c r="T85">
        <f>HYPERLINK("https://klasma.github.io/Logging_0484/kartor/A 14327-2023 karta.png", "A 14327-2023")</f>
        <v/>
      </c>
      <c r="V85">
        <f>HYPERLINK("https://klasma.github.io/Logging_0484/klagomål/A 14327-2023 FSC-klagomål.docx", "A 14327-2023")</f>
        <v/>
      </c>
      <c r="W85">
        <f>HYPERLINK("https://klasma.github.io/Logging_0484/klagomålsmail/A 14327-2023 FSC-klagomål mail.docx", "A 14327-2023")</f>
        <v/>
      </c>
      <c r="X85">
        <f>HYPERLINK("https://klasma.github.io/Logging_0484/tillsyn/A 14327-2023 tillsynsbegäran.docx", "A 14327-2023")</f>
        <v/>
      </c>
      <c r="Y85">
        <f>HYPERLINK("https://klasma.github.io/Logging_0484/tillsynsmail/A 14327-2023 tillsynsbegäran mail.docx", "A 14327-2023")</f>
        <v/>
      </c>
    </row>
    <row r="86" ht="15" customHeight="1">
      <c r="A86" t="inlineStr">
        <is>
          <t>A 19627-2023</t>
        </is>
      </c>
      <c r="B86" s="1" t="n">
        <v>45050</v>
      </c>
      <c r="C86" s="1" t="n">
        <v>45505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19627-2023 artfynd.xlsx", "A 19627-2023")</f>
        <v/>
      </c>
      <c r="T86">
        <f>HYPERLINK("https://klasma.github.io/Logging_0484/kartor/A 19627-2023 karta.png", "A 19627-2023")</f>
        <v/>
      </c>
      <c r="V86">
        <f>HYPERLINK("https://klasma.github.io/Logging_0484/klagomål/A 19627-2023 FSC-klagomål.docx", "A 19627-2023")</f>
        <v/>
      </c>
      <c r="W86">
        <f>HYPERLINK("https://klasma.github.io/Logging_0484/klagomålsmail/A 19627-2023 FSC-klagomål mail.docx", "A 19627-2023")</f>
        <v/>
      </c>
      <c r="X86">
        <f>HYPERLINK("https://klasma.github.io/Logging_0484/tillsyn/A 19627-2023 tillsynsbegäran.docx", "A 19627-2023")</f>
        <v/>
      </c>
      <c r="Y86">
        <f>HYPERLINK("https://klasma.github.io/Logging_0484/tillsynsmail/A 19627-2023 tillsynsbegäran mail.docx", "A 19627-2023")</f>
        <v/>
      </c>
    </row>
    <row r="87" ht="15" customHeight="1">
      <c r="A87" t="inlineStr">
        <is>
          <t>A 23637-2023</t>
        </is>
      </c>
      <c r="B87" s="1" t="n">
        <v>45077</v>
      </c>
      <c r="C87" s="1" t="n">
        <v>45505</v>
      </c>
      <c r="D87" t="inlineStr">
        <is>
          <t>SÖDERMANLANDS LÄN</t>
        </is>
      </c>
      <c r="E87" t="inlineStr">
        <is>
          <t>ESKILSTUNA</t>
        </is>
      </c>
      <c r="G87" t="n">
        <v>15.8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Violett fingersvamp</t>
        </is>
      </c>
      <c r="S87">
        <f>HYPERLINK("https://klasma.github.io/Logging_0484/artfynd/A 23637-2023 artfynd.xlsx", "A 23637-2023")</f>
        <v/>
      </c>
      <c r="T87">
        <f>HYPERLINK("https://klasma.github.io/Logging_0484/kartor/A 23637-2023 karta.png", "A 23637-2023")</f>
        <v/>
      </c>
      <c r="V87">
        <f>HYPERLINK("https://klasma.github.io/Logging_0484/klagomål/A 23637-2023 FSC-klagomål.docx", "A 23637-2023")</f>
        <v/>
      </c>
      <c r="W87">
        <f>HYPERLINK("https://klasma.github.io/Logging_0484/klagomålsmail/A 23637-2023 FSC-klagomål mail.docx", "A 23637-2023")</f>
        <v/>
      </c>
      <c r="X87">
        <f>HYPERLINK("https://klasma.github.io/Logging_0484/tillsyn/A 23637-2023 tillsynsbegäran.docx", "A 23637-2023")</f>
        <v/>
      </c>
      <c r="Y87">
        <f>HYPERLINK("https://klasma.github.io/Logging_0484/tillsynsmail/A 23637-2023 tillsynsbegäran mail.docx", "A 23637-2023")</f>
        <v/>
      </c>
    </row>
    <row r="88" ht="15" customHeight="1">
      <c r="A88" t="inlineStr">
        <is>
          <t>A 26114-2023</t>
        </is>
      </c>
      <c r="B88" s="1" t="n">
        <v>45091</v>
      </c>
      <c r="C88" s="1" t="n">
        <v>45505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Ängsskära</t>
        </is>
      </c>
      <c r="S88">
        <f>HYPERLINK("https://klasma.github.io/Logging_0484/artfynd/A 26114-2023 artfynd.xlsx", "A 26114-2023")</f>
        <v/>
      </c>
      <c r="T88">
        <f>HYPERLINK("https://klasma.github.io/Logging_0484/kartor/A 26114-2023 karta.png", "A 26114-2023")</f>
        <v/>
      </c>
      <c r="V88">
        <f>HYPERLINK("https://klasma.github.io/Logging_0484/klagomål/A 26114-2023 FSC-klagomål.docx", "A 26114-2023")</f>
        <v/>
      </c>
      <c r="W88">
        <f>HYPERLINK("https://klasma.github.io/Logging_0484/klagomålsmail/A 26114-2023 FSC-klagomål mail.docx", "A 26114-2023")</f>
        <v/>
      </c>
      <c r="X88">
        <f>HYPERLINK("https://klasma.github.io/Logging_0484/tillsyn/A 26114-2023 tillsynsbegäran.docx", "A 26114-2023")</f>
        <v/>
      </c>
      <c r="Y88">
        <f>HYPERLINK("https://klasma.github.io/Logging_0484/tillsynsmail/A 26114-2023 tillsynsbegäran mail.docx", "A 26114-2023")</f>
        <v/>
      </c>
    </row>
    <row r="89" ht="15" customHeight="1">
      <c r="A89" t="inlineStr">
        <is>
          <t>A 26133-2023</t>
        </is>
      </c>
      <c r="B89" s="1" t="n">
        <v>45091</v>
      </c>
      <c r="C89" s="1" t="n">
        <v>45505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26133-2023 artfynd.xlsx", "A 26133-2023")</f>
        <v/>
      </c>
      <c r="T89">
        <f>HYPERLINK("https://klasma.github.io/Logging_0484/kartor/A 26133-2023 karta.png", "A 26133-2023")</f>
        <v/>
      </c>
      <c r="V89">
        <f>HYPERLINK("https://klasma.github.io/Logging_0484/klagomål/A 26133-2023 FSC-klagomål.docx", "A 26133-2023")</f>
        <v/>
      </c>
      <c r="W89">
        <f>HYPERLINK("https://klasma.github.io/Logging_0484/klagomålsmail/A 26133-2023 FSC-klagomål mail.docx", "A 26133-2023")</f>
        <v/>
      </c>
      <c r="X89">
        <f>HYPERLINK("https://klasma.github.io/Logging_0484/tillsyn/A 26133-2023 tillsynsbegäran.docx", "A 26133-2023")</f>
        <v/>
      </c>
      <c r="Y89">
        <f>HYPERLINK("https://klasma.github.io/Logging_0484/tillsynsmail/A 26133-2023 tillsynsbegäran mail.docx", "A 26133-2023")</f>
        <v/>
      </c>
    </row>
    <row r="90" ht="15" customHeight="1">
      <c r="A90" t="inlineStr">
        <is>
          <t>A 26099-2023</t>
        </is>
      </c>
      <c r="B90" s="1" t="n">
        <v>45091</v>
      </c>
      <c r="C90" s="1" t="n">
        <v>45505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Tornseglare</t>
        </is>
      </c>
      <c r="S90">
        <f>HYPERLINK("https://klasma.github.io/Logging_0484/artfynd/A 26099-2023 artfynd.xlsx", "A 26099-2023")</f>
        <v/>
      </c>
      <c r="T90">
        <f>HYPERLINK("https://klasma.github.io/Logging_0484/kartor/A 26099-2023 karta.png", "A 26099-2023")</f>
        <v/>
      </c>
      <c r="V90">
        <f>HYPERLINK("https://klasma.github.io/Logging_0484/klagomål/A 26099-2023 FSC-klagomål.docx", "A 26099-2023")</f>
        <v/>
      </c>
      <c r="W90">
        <f>HYPERLINK("https://klasma.github.io/Logging_0484/klagomålsmail/A 26099-2023 FSC-klagomål mail.docx", "A 26099-2023")</f>
        <v/>
      </c>
      <c r="X90">
        <f>HYPERLINK("https://klasma.github.io/Logging_0484/tillsyn/A 26099-2023 tillsynsbegäran.docx", "A 26099-2023")</f>
        <v/>
      </c>
      <c r="Y90">
        <f>HYPERLINK("https://klasma.github.io/Logging_0484/tillsynsmail/A 26099-2023 tillsynsbegäran mail.docx", "A 26099-2023")</f>
        <v/>
      </c>
      <c r="Z90">
        <f>HYPERLINK("https://klasma.github.io/Logging_0484/fåglar/A 26099-2023 prioriterade fågelarter.docx", "A 26099-2023")</f>
        <v/>
      </c>
    </row>
    <row r="91" ht="15" customHeight="1">
      <c r="A91" t="inlineStr">
        <is>
          <t>A 27580-2023</t>
        </is>
      </c>
      <c r="B91" s="1" t="n">
        <v>45097</v>
      </c>
      <c r="C91" s="1" t="n">
        <v>45505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HYPERLINK("https://klasma.github.io/Logging_0484/artfynd/A 27580-2023 artfynd.xlsx", "A 27580-2023")</f>
        <v/>
      </c>
      <c r="T91">
        <f>HYPERLINK("https://klasma.github.io/Logging_0484/kartor/A 27580-2023 karta.png", "A 27580-2023")</f>
        <v/>
      </c>
      <c r="V91">
        <f>HYPERLINK("https://klasma.github.io/Logging_0484/klagomål/A 27580-2023 FSC-klagomål.docx", "A 27580-2023")</f>
        <v/>
      </c>
      <c r="W91">
        <f>HYPERLINK("https://klasma.github.io/Logging_0484/klagomålsmail/A 27580-2023 FSC-klagomål mail.docx", "A 27580-2023")</f>
        <v/>
      </c>
      <c r="X91">
        <f>HYPERLINK("https://klasma.github.io/Logging_0484/tillsyn/A 27580-2023 tillsynsbegäran.docx", "A 27580-2023")</f>
        <v/>
      </c>
      <c r="Y91">
        <f>HYPERLINK("https://klasma.github.io/Logging_0484/tillsynsmail/A 27580-2023 tillsynsbegäran mail.docx", "A 27580-2023")</f>
        <v/>
      </c>
    </row>
    <row r="92" ht="15" customHeight="1">
      <c r="A92" t="inlineStr">
        <is>
          <t>A 30975-2023</t>
        </is>
      </c>
      <c r="B92" s="1" t="n">
        <v>45103</v>
      </c>
      <c r="C92" s="1" t="n">
        <v>45505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Bombmurkla</t>
        </is>
      </c>
      <c r="S92">
        <f>HYPERLINK("https://klasma.github.io/Logging_0484/artfynd/A 30975-2023 artfynd.xlsx", "A 30975-2023")</f>
        <v/>
      </c>
      <c r="T92">
        <f>HYPERLINK("https://klasma.github.io/Logging_0484/kartor/A 30975-2023 karta.png", "A 30975-2023")</f>
        <v/>
      </c>
      <c r="V92">
        <f>HYPERLINK("https://klasma.github.io/Logging_0484/klagomål/A 30975-2023 FSC-klagomål.docx", "A 30975-2023")</f>
        <v/>
      </c>
      <c r="W92">
        <f>HYPERLINK("https://klasma.github.io/Logging_0484/klagomålsmail/A 30975-2023 FSC-klagomål mail.docx", "A 30975-2023")</f>
        <v/>
      </c>
      <c r="X92">
        <f>HYPERLINK("https://klasma.github.io/Logging_0484/tillsyn/A 30975-2023 tillsynsbegäran.docx", "A 30975-2023")</f>
        <v/>
      </c>
      <c r="Y92">
        <f>HYPERLINK("https://klasma.github.io/Logging_0484/tillsynsmail/A 30975-2023 tillsynsbegäran mail.docx", "A 30975-2023")</f>
        <v/>
      </c>
    </row>
    <row r="93" ht="15" customHeight="1">
      <c r="A93" t="inlineStr">
        <is>
          <t>A 29647-2023</t>
        </is>
      </c>
      <c r="B93" s="1" t="n">
        <v>45107</v>
      </c>
      <c r="C93" s="1" t="n">
        <v>45505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HYPERLINK("https://klasma.github.io/Logging_0484/artfynd/A 29647-2023 artfynd.xlsx", "A 29647-2023")</f>
        <v/>
      </c>
      <c r="T93">
        <f>HYPERLINK("https://klasma.github.io/Logging_0484/kartor/A 29647-2023 karta.png", "A 29647-2023")</f>
        <v/>
      </c>
      <c r="V93">
        <f>HYPERLINK("https://klasma.github.io/Logging_0484/klagomål/A 29647-2023 FSC-klagomål.docx", "A 29647-2023")</f>
        <v/>
      </c>
      <c r="W93">
        <f>HYPERLINK("https://klasma.github.io/Logging_0484/klagomålsmail/A 29647-2023 FSC-klagomål mail.docx", "A 29647-2023")</f>
        <v/>
      </c>
      <c r="X93">
        <f>HYPERLINK("https://klasma.github.io/Logging_0484/tillsyn/A 29647-2023 tillsynsbegäran.docx", "A 29647-2023")</f>
        <v/>
      </c>
      <c r="Y93">
        <f>HYPERLINK("https://klasma.github.io/Logging_0484/tillsynsmail/A 29647-2023 tillsynsbegäran mail.docx", "A 29647-2023")</f>
        <v/>
      </c>
      <c r="Z93">
        <f>HYPERLINK("https://klasma.github.io/Logging_0484/fåglar/A 29647-2023 prioriterade fågelarter.docx", "A 29647-2023")</f>
        <v/>
      </c>
    </row>
    <row r="94" ht="15" customHeight="1">
      <c r="A94" t="inlineStr">
        <is>
          <t>A 31987-2023</t>
        </is>
      </c>
      <c r="B94" s="1" t="n">
        <v>45119</v>
      </c>
      <c r="C94" s="1" t="n">
        <v>45505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HYPERLINK("https://klasma.github.io/Logging_0484/artfynd/A 31987-2023 artfynd.xlsx", "A 31987-2023")</f>
        <v/>
      </c>
      <c r="T94">
        <f>HYPERLINK("https://klasma.github.io/Logging_0484/kartor/A 31987-2023 karta.png", "A 31987-2023")</f>
        <v/>
      </c>
      <c r="V94">
        <f>HYPERLINK("https://klasma.github.io/Logging_0484/klagomål/A 31987-2023 FSC-klagomål.docx", "A 31987-2023")</f>
        <v/>
      </c>
      <c r="W94">
        <f>HYPERLINK("https://klasma.github.io/Logging_0484/klagomålsmail/A 31987-2023 FSC-klagomål mail.docx", "A 31987-2023")</f>
        <v/>
      </c>
      <c r="X94">
        <f>HYPERLINK("https://klasma.github.io/Logging_0484/tillsyn/A 31987-2023 tillsynsbegäran.docx", "A 31987-2023")</f>
        <v/>
      </c>
      <c r="Y94">
        <f>HYPERLINK("https://klasma.github.io/Logging_0484/tillsynsmail/A 31987-2023 tillsynsbegäran mail.docx", "A 31987-2023")</f>
        <v/>
      </c>
    </row>
    <row r="95" ht="15" customHeight="1">
      <c r="A95" t="inlineStr">
        <is>
          <t>A 32314-2023</t>
        </is>
      </c>
      <c r="B95" s="1" t="n">
        <v>45120</v>
      </c>
      <c r="C95" s="1" t="n">
        <v>45505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Grovticka</t>
        </is>
      </c>
      <c r="S95">
        <f>HYPERLINK("https://klasma.github.io/Logging_0484/artfynd/A 32314-2023 artfynd.xlsx", "A 32314-2023")</f>
        <v/>
      </c>
      <c r="T95">
        <f>HYPERLINK("https://klasma.github.io/Logging_0484/kartor/A 32314-2023 karta.png", "A 32314-2023")</f>
        <v/>
      </c>
      <c r="V95">
        <f>HYPERLINK("https://klasma.github.io/Logging_0484/klagomål/A 32314-2023 FSC-klagomål.docx", "A 32314-2023")</f>
        <v/>
      </c>
      <c r="W95">
        <f>HYPERLINK("https://klasma.github.io/Logging_0484/klagomålsmail/A 32314-2023 FSC-klagomål mail.docx", "A 32314-2023")</f>
        <v/>
      </c>
      <c r="X95">
        <f>HYPERLINK("https://klasma.github.io/Logging_0484/tillsyn/A 32314-2023 tillsynsbegäran.docx", "A 32314-2023")</f>
        <v/>
      </c>
      <c r="Y95">
        <f>HYPERLINK("https://klasma.github.io/Logging_0484/tillsynsmail/A 32314-2023 tillsynsbegäran mail.docx", "A 32314-2023")</f>
        <v/>
      </c>
    </row>
    <row r="96" ht="15" customHeight="1">
      <c r="A96" t="inlineStr">
        <is>
          <t>A 34717-2023</t>
        </is>
      </c>
      <c r="B96" s="1" t="n">
        <v>45141</v>
      </c>
      <c r="C96" s="1" t="n">
        <v>45505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Triplax rufipes</t>
        </is>
      </c>
      <c r="S96">
        <f>HYPERLINK("https://klasma.github.io/Logging_0484/artfynd/A 34717-2023 artfynd.xlsx", "A 34717-2023")</f>
        <v/>
      </c>
      <c r="T96">
        <f>HYPERLINK("https://klasma.github.io/Logging_0484/kartor/A 34717-2023 karta.png", "A 34717-2023")</f>
        <v/>
      </c>
      <c r="V96">
        <f>HYPERLINK("https://klasma.github.io/Logging_0484/klagomål/A 34717-2023 FSC-klagomål.docx", "A 34717-2023")</f>
        <v/>
      </c>
      <c r="W96">
        <f>HYPERLINK("https://klasma.github.io/Logging_0484/klagomålsmail/A 34717-2023 FSC-klagomål mail.docx", "A 34717-2023")</f>
        <v/>
      </c>
      <c r="X96">
        <f>HYPERLINK("https://klasma.github.io/Logging_0484/tillsyn/A 34717-2023 tillsynsbegäran.docx", "A 34717-2023")</f>
        <v/>
      </c>
      <c r="Y96">
        <f>HYPERLINK("https://klasma.github.io/Logging_0484/tillsynsmail/A 34717-2023 tillsynsbegäran mail.docx", "A 34717-2023")</f>
        <v/>
      </c>
    </row>
    <row r="97" ht="15" customHeight="1">
      <c r="A97" t="inlineStr">
        <is>
          <t>A 46596-2023</t>
        </is>
      </c>
      <c r="B97" s="1" t="n">
        <v>45198</v>
      </c>
      <c r="C97" s="1" t="n">
        <v>45505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46596-2023 artfynd.xlsx", "A 46596-2023")</f>
        <v/>
      </c>
      <c r="T97">
        <f>HYPERLINK("https://klasma.github.io/Logging_0484/kartor/A 46596-2023 karta.png", "A 46596-2023")</f>
        <v/>
      </c>
      <c r="V97">
        <f>HYPERLINK("https://klasma.github.io/Logging_0484/klagomål/A 46596-2023 FSC-klagomål.docx", "A 46596-2023")</f>
        <v/>
      </c>
      <c r="W97">
        <f>HYPERLINK("https://klasma.github.io/Logging_0484/klagomålsmail/A 46596-2023 FSC-klagomål mail.docx", "A 46596-2023")</f>
        <v/>
      </c>
      <c r="X97">
        <f>HYPERLINK("https://klasma.github.io/Logging_0484/tillsyn/A 46596-2023 tillsynsbegäran.docx", "A 46596-2023")</f>
        <v/>
      </c>
      <c r="Y97">
        <f>HYPERLINK("https://klasma.github.io/Logging_0484/tillsynsmail/A 46596-2023 tillsynsbegäran mail.docx", "A 46596-2023")</f>
        <v/>
      </c>
    </row>
    <row r="98" ht="15" customHeight="1">
      <c r="A98" t="inlineStr">
        <is>
          <t>A 15547-2024</t>
        </is>
      </c>
      <c r="B98" s="1" t="n">
        <v>45401</v>
      </c>
      <c r="C98" s="1" t="n">
        <v>45505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HYPERLINK("https://klasma.github.io/Logging_0484/artfynd/A 15547-2024 artfynd.xlsx", "A 15547-2024")</f>
        <v/>
      </c>
      <c r="T98">
        <f>HYPERLINK("https://klasma.github.io/Logging_0484/kartor/A 15547-2024 karta.png", "A 15547-2024")</f>
        <v/>
      </c>
      <c r="V98">
        <f>HYPERLINK("https://klasma.github.io/Logging_0484/klagomål/A 15547-2024 FSC-klagomål.docx", "A 15547-2024")</f>
        <v/>
      </c>
      <c r="W98">
        <f>HYPERLINK("https://klasma.github.io/Logging_0484/klagomålsmail/A 15547-2024 FSC-klagomål mail.docx", "A 15547-2024")</f>
        <v/>
      </c>
      <c r="X98">
        <f>HYPERLINK("https://klasma.github.io/Logging_0484/tillsyn/A 15547-2024 tillsynsbegäran.docx", "A 15547-2024")</f>
        <v/>
      </c>
      <c r="Y98">
        <f>HYPERLINK("https://klasma.github.io/Logging_0484/tillsynsmail/A 15547-2024 tillsynsbegäran mail.docx", "A 15547-2024")</f>
        <v/>
      </c>
      <c r="Z98">
        <f>HYPERLINK("https://klasma.github.io/Logging_0484/fåglar/A 15547-2024 prioriterade fågelarter.docx", "A 15547-2024")</f>
        <v/>
      </c>
    </row>
    <row r="99" ht="15" customHeight="1">
      <c r="A99" t="inlineStr">
        <is>
          <t>A 15543-2024</t>
        </is>
      </c>
      <c r="B99" s="1" t="n">
        <v>45401</v>
      </c>
      <c r="C99" s="1" t="n">
        <v>45505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5.3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HYPERLINK("https://klasma.github.io/Logging_0484/artfynd/A 15543-2024 artfynd.xlsx", "A 15543-2024")</f>
        <v/>
      </c>
      <c r="T99">
        <f>HYPERLINK("https://klasma.github.io/Logging_0484/kartor/A 15543-2024 karta.png", "A 15543-2024")</f>
        <v/>
      </c>
      <c r="V99">
        <f>HYPERLINK("https://klasma.github.io/Logging_0484/klagomål/A 15543-2024 FSC-klagomål.docx", "A 15543-2024")</f>
        <v/>
      </c>
      <c r="W99">
        <f>HYPERLINK("https://klasma.github.io/Logging_0484/klagomålsmail/A 15543-2024 FSC-klagomål mail.docx", "A 15543-2024")</f>
        <v/>
      </c>
      <c r="X99">
        <f>HYPERLINK("https://klasma.github.io/Logging_0484/tillsyn/A 15543-2024 tillsynsbegäran.docx", "A 15543-2024")</f>
        <v/>
      </c>
      <c r="Y99">
        <f>HYPERLINK("https://klasma.github.io/Logging_0484/tillsynsmail/A 15543-2024 tillsynsbegäran mail.docx", "A 15543-2024")</f>
        <v/>
      </c>
    </row>
    <row r="100" ht="15" customHeight="1">
      <c r="A100" t="inlineStr">
        <is>
          <t>A 25919-2024</t>
        </is>
      </c>
      <c r="B100" s="1" t="n">
        <v>45467</v>
      </c>
      <c r="C100" s="1" t="n">
        <v>45505</v>
      </c>
      <c r="D100" t="inlineStr">
        <is>
          <t>SÖDERMANLANDS LÄN</t>
        </is>
      </c>
      <c r="E100" t="inlineStr">
        <is>
          <t>ESKILSTUNA</t>
        </is>
      </c>
      <c r="G100" t="n">
        <v>10.1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25919-2024 artfynd.xlsx", "A 25919-2024")</f>
        <v/>
      </c>
      <c r="T100">
        <f>HYPERLINK("https://klasma.github.io/Logging_0484/kartor/A 25919-2024 karta.png", "A 25919-2024")</f>
        <v/>
      </c>
      <c r="V100">
        <f>HYPERLINK("https://klasma.github.io/Logging_0484/klagomål/A 25919-2024 FSC-klagomål.docx", "A 25919-2024")</f>
        <v/>
      </c>
      <c r="W100">
        <f>HYPERLINK("https://klasma.github.io/Logging_0484/klagomålsmail/A 25919-2024 FSC-klagomål mail.docx", "A 25919-2024")</f>
        <v/>
      </c>
      <c r="X100">
        <f>HYPERLINK("https://klasma.github.io/Logging_0484/tillsyn/A 25919-2024 tillsynsbegäran.docx", "A 25919-2024")</f>
        <v/>
      </c>
      <c r="Y100">
        <f>HYPERLINK("https://klasma.github.io/Logging_0484/tillsynsmail/A 25919-2024 tillsynsbegäran mail.docx", "A 25919-2024")</f>
        <v/>
      </c>
    </row>
    <row r="101" ht="15" customHeight="1">
      <c r="A101" t="inlineStr">
        <is>
          <t>A 30652-2024</t>
        </is>
      </c>
      <c r="B101" s="1" t="n">
        <v>45495</v>
      </c>
      <c r="C101" s="1" t="n">
        <v>45505</v>
      </c>
      <c r="D101" t="inlineStr">
        <is>
          <t>SÖDERMANLANDS LÄN</t>
        </is>
      </c>
      <c r="E101" t="inlineStr">
        <is>
          <t>ESKILSTUNA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HYPERLINK("https://klasma.github.io/Logging_0484/artfynd/A 30652-2024 artfynd.xlsx", "A 30652-2024")</f>
        <v/>
      </c>
      <c r="T101">
        <f>HYPERLINK("https://klasma.github.io/Logging_0484/kartor/A 30652-2024 karta.png", "A 30652-2024")</f>
        <v/>
      </c>
      <c r="V101">
        <f>HYPERLINK("https://klasma.github.io/Logging_0484/klagomål/A 30652-2024 FSC-klagomål.docx", "A 30652-2024")</f>
        <v/>
      </c>
      <c r="W101">
        <f>HYPERLINK("https://klasma.github.io/Logging_0484/klagomålsmail/A 30652-2024 FSC-klagomål mail.docx", "A 30652-2024")</f>
        <v/>
      </c>
      <c r="X101">
        <f>HYPERLINK("https://klasma.github.io/Logging_0484/tillsyn/A 30652-2024 tillsynsbegäran.docx", "A 30652-2024")</f>
        <v/>
      </c>
      <c r="Y101">
        <f>HYPERLINK("https://klasma.github.io/Logging_0484/tillsynsmail/A 30652-2024 tillsynsbegäran mail.docx", "A 30652-2024")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45505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45505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45505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45505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45505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45505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45505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45505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45505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45505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45505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45505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45505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45505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45505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45505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45505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45505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45505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45505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45505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45505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45505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45505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45505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45505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45505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45505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45505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45505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45505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45505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45505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45505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45505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45505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45505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45505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45505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45505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45505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45505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45505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45505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45505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45505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45505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45505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45505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45505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45505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45505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45505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45505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45505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45505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45505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45505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45505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45505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45505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45505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45505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45505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45505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45505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45505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45505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45505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45505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45505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45505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45505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45505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45505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45505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45505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45505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45505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45505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45505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45505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45505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45505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45505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45505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45505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45505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45505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45505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45505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45505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45505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45505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45505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45505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45505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45505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45505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45505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45505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45505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45505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45505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45505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45505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45505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45505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45505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45505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45505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45505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45505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45505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45505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45505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45505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45505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45505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45505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45505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45505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45505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45505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45505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45505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45505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45505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45505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45505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45505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45505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45505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45505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45505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45505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45505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45505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45505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45505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45505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45505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45505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45505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45505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45505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45505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45505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45505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45505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45505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45505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45505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45505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45505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45505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45505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45505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45505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45505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45505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45505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45505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45505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45505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45505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45505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45505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45505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45505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45505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45505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45505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45505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45505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45505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45505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45505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45505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45505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45505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45505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45505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45505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45505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45505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45505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45505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45505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45505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45505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45505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45505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45505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45505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45505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45505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45505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45505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45505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45505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45505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45505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45505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45505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45505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45505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45505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45505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45505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45505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45505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45505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45505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45505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45505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45505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45505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45505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45505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45505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45505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45505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45505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45505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45505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45505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45505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45505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45505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45505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45505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45505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45505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45505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45505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45505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45505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45505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45505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45505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45505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45505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45505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45505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45505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45505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45505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45505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45505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45505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45505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45505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45505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45505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45505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45505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45505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45505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45505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45505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45505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45505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45505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45505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45505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45505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45505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45505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45505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45505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45505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45505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45505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45505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45505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45505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45505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45505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45505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45505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45505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45505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45505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45505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45505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45505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45505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45505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45505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45505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45505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45505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45505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45505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45505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45505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45505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45505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45505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45505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45505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45505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45505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45505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45505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45505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45505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45505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45505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45505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45505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45505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45505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45505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45505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45505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45505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45505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45505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45505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45505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45505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45505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45505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45505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45505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45505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45505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45505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45505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45505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45505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45505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45505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45505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45505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45505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45505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45505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45505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45505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45505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45505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45505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45505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45505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45505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45505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45505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45505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45505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45505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45505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45505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45505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45505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45505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45505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45505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45505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45505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45505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45505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45505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45505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45505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45505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45505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45505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45505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45505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45505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45505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45505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45505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45505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45505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45505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45505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45505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45505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45505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45505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45505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45505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45505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45505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45505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45505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45505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45505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45505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45505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45505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45505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45505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45505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45505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45505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45505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45505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45505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45505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45505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45505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45505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45505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45505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45505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45505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45505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45505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45505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45505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45505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45505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45505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45505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45505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45505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45505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45505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45505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45505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45505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45505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45505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45505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45505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45505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45505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45505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45505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45505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45505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45505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45505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45505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45505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45505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45505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45505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45505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45505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45505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45505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45505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45505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45505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45505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45505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45505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45505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45505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45505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45505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45505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45505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45505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45505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45505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45505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45505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45505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45505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45505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45505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45505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45505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45505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45505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45505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45505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45505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45505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45505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45505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45505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45505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45505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45505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45505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45505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45505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45505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45505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45505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45505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45505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45505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45505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45505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45505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45505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45505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45505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45505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45505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45505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45505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45505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45505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45505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45505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45505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45505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45505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45505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45505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45505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45505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45505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45505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45505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45505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45505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45505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45505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45505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45505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45505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45505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45505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45505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45505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45505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45505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45505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45505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45505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45505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45505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45505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45505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45505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45505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45505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45505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45505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45505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45505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45505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45505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45505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45505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45505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45505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45505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45505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45505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45505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45505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45505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45505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45505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45505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45505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45505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45505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45505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45505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45505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45505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45505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45505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45505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45505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45505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45505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45505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45505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45505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45505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45505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45505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45505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45505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45505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45505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45505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45505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45505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45505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45505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45505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45505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45505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45505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45505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45505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45505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45505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45505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45505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45505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45505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45505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45505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45505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45505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45505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45505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45505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45505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45505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45505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45505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45505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45505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45505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45505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45505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45505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45505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45505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45505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45505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45505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45505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45505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45505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45505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45505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45505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45505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45505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45505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45505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45505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45505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45505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45505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45505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45505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45505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45505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45505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45505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45505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45505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45505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45505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45505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45505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45505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45505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45505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45505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45505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45505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45505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45505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45505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45505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45505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45505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45505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45505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45505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45505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45505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45505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45505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45505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45505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45505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45505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45505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45505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45505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45505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45505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45505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45505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45505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45505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45505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45505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45505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45505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45505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45505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45505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45505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45505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45505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45505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45505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45505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45505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45505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45505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45505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45505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45505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45505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45505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45505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45505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45505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45505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45505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45505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45505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45505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45505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45505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45505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45505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45505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45505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45505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45505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45505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45505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45505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45505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45505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45505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45505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45505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45505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45505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45505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45505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45505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45505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45505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45505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45505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45505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45505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45505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45505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45505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45505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45505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45505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45505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45505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45505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45505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45505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45505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45505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45505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45505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45505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45505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45505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45505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45505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45505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45505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45505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45505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45505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45505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45505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45505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45505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45505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45505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45505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45505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45505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45505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45505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45505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45505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45505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45505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45505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45505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45505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45505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45505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45505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45505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45505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45505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45505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45505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45505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45505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45505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45505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45505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45505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45505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45505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45505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45505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45505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45505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45505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45505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45505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45505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45505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45505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45505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45505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45505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45505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45505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45505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45505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45505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45505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45505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45505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45505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45505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45505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45505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45505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45505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45505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45505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45505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45505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45505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45505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45505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45505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45505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45505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45505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45505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45505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45505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45505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45505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45505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45505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45505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45505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45505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45505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45505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45505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45505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45505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45505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45505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45505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45505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45505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45505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45505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45505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45505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45505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45505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45505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45505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45505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45505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45505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45505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45505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45505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45505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45505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45505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45505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45505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45505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45505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45505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45505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45505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45505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45505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45505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45505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45505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45505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45505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45505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45505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45505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45505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45505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45505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45505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45505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45505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45505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45505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45505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45505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45505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45505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45505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45505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45505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45505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45505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45505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45505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45505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45505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45505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45505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45505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45505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45505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45505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45505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45505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45505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45505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45505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30732-2024</t>
        </is>
      </c>
      <c r="B1018" s="1" t="n">
        <v>45496</v>
      </c>
      <c r="C1018" s="1" t="n">
        <v>45505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2024-08-01T10:41:05Z</dcterms:created>
  <dcterms:modified xmlns:dcterms="http://purl.org/dc/terms/" xmlns:xsi="http://www.w3.org/2001/XMLSchema-instance" xsi:type="dcterms:W3CDTF">2024-08-01T10:41:06Z</dcterms:modified>
</cp:coreProperties>
</file>