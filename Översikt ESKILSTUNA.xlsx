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45338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45338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45338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45338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45338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45338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45338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45338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45338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45338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45338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51652-2019</t>
        </is>
      </c>
      <c r="B13" s="1" t="n">
        <v>43740</v>
      </c>
      <c r="C13" s="1" t="n">
        <v>45338</v>
      </c>
      <c r="D13" t="inlineStr">
        <is>
          <t>SÖDERMANLANDS LÄN</t>
        </is>
      </c>
      <c r="E13" t="inlineStr">
        <is>
          <t>ESKILSTUNA</t>
        </is>
      </c>
      <c r="G13" t="n">
        <v>9.300000000000001</v>
      </c>
      <c r="H13" t="n">
        <v>6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Brunlångöra
Nordfladdermus
Dvärgpipistrell
Större brunfladdermus
Trollpipistrell
Vattenfladdermus</t>
        </is>
      </c>
      <c r="S13">
        <f>HYPERLINK("https://klasma.github.io/Logging_0484/artfynd/A 51652-2019 artfynd.xlsx", "A 51652-2019")</f>
        <v/>
      </c>
      <c r="T13">
        <f>HYPERLINK("https://klasma.github.io/Logging_0484/kartor/A 51652-2019 karta.png", "A 51652-2019")</f>
        <v/>
      </c>
      <c r="V13">
        <f>HYPERLINK("https://klasma.github.io/Logging_0484/klagomål/A 51652-2019 FSC-klagomål.docx", "A 51652-2019")</f>
        <v/>
      </c>
      <c r="W13">
        <f>HYPERLINK("https://klasma.github.io/Logging_0484/klagomålsmail/A 51652-2019 FSC-klagomål mail.docx", "A 51652-2019")</f>
        <v/>
      </c>
      <c r="X13">
        <f>HYPERLINK("https://klasma.github.io/Logging_0484/tillsyn/A 51652-2019 tillsynsbegäran.docx", "A 51652-2019")</f>
        <v/>
      </c>
      <c r="Y13">
        <f>HYPERLINK("https://klasma.github.io/Logging_0484/tillsynsmail/A 51652-2019 tillsynsbegäran mail.docx", "A 51652-2019")</f>
        <v/>
      </c>
    </row>
    <row r="14" ht="15" customHeight="1">
      <c r="A14" t="inlineStr">
        <is>
          <t>A 52556-2019</t>
        </is>
      </c>
      <c r="B14" s="1" t="n">
        <v>43745</v>
      </c>
      <c r="C14" s="1" t="n">
        <v>45338</v>
      </c>
      <c r="D14" t="inlineStr">
        <is>
          <t>SÖDERMANLANDS LÄN</t>
        </is>
      </c>
      <c r="E14" t="inlineStr">
        <is>
          <t>ESKILSTUNA</t>
        </is>
      </c>
      <c r="G14" t="n">
        <v>6.8</v>
      </c>
      <c r="H14" t="n">
        <v>4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Vippärt
Grönpyrola
Plattlummer
Vanlig snok
Blåsippa
Gullviva</t>
        </is>
      </c>
      <c r="S14">
        <f>HYPERLINK("https://klasma.github.io/Logging_0484/artfynd/A 52556-2019 artfynd.xlsx", "A 52556-2019")</f>
        <v/>
      </c>
      <c r="T14">
        <f>HYPERLINK("https://klasma.github.io/Logging_0484/kartor/A 52556-2019 karta.png", "A 52556-2019")</f>
        <v/>
      </c>
      <c r="V14">
        <f>HYPERLINK("https://klasma.github.io/Logging_0484/klagomål/A 52556-2019 FSC-klagomål.docx", "A 52556-2019")</f>
        <v/>
      </c>
      <c r="W14">
        <f>HYPERLINK("https://klasma.github.io/Logging_0484/klagomålsmail/A 52556-2019 FSC-klagomål mail.docx", "A 52556-2019")</f>
        <v/>
      </c>
      <c r="X14">
        <f>HYPERLINK("https://klasma.github.io/Logging_0484/tillsyn/A 52556-2019 tillsynsbegäran.docx", "A 52556-2019")</f>
        <v/>
      </c>
      <c r="Y14">
        <f>HYPERLINK("https://klasma.github.io/Logging_0484/tillsynsmail/A 52556-2019 tillsynsbegäran mail.docx", "A 52556-2019")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45338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45338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45338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45338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45338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45338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45338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45338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45338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45338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45338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45338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45338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45338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45338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45338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45338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45338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45338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45338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45338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45338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45338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45338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45338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45338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45338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45338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45338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45338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45338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45338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45338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45338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45338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45338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45338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45338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45338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45338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45338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45338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45338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45338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45338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45338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45338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45338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45338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45338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45338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45338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45338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45338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45338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45338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45338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45338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45338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45338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45338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45338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45338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45338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45338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45338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45338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45338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45338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45338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45338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45338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45338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45338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45338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45338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45338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45338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45338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45338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45338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45338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45338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45338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45338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45338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45338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45338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45338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45338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45338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45338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45338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45338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45338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45338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45338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45338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45338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45338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45338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45338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45338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45338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45338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45338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45338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45338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45338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45338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45338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45338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45338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45338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45338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45338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45338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45338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45338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45338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45338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45338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45338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45338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45338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45338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45338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45338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45338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45338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45338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45338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45338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45338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45338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45338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45338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45338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45338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45338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45338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45338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45338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45338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45338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45338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45338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45338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45338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45338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45338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45338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45338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45338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45338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45338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45338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45338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45338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45338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45338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45338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45338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45338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45338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45338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45338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45338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45338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45338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45338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45338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45338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45338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45338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45338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45338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45338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45338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45338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45338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45338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45338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45338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45338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45338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45338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45338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45338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45338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45338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45338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45338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45338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45338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45338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45338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45338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45338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45338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45338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45338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45338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45338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45338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45338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45338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45338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45338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45338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45338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45338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45338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45338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45338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45338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45338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45338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45338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45338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45338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45338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45338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45338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45338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45338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45338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45338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45338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45338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45338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45338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45338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45338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45338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45338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45338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45338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45338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45338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45338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45338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45338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45338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45338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45338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45338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45338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45338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45338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45338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45338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45338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45338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45338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45338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45338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45338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45338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45338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45338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45338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45338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45338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45338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45338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45338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45338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45338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45338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45338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45338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45338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45338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45338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45338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45338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45338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45338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45338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45338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45338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45338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45338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45338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45338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45338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45338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45338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45338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45338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45338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45338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45338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45338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45338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45338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45338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45338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45338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45338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45338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45338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45338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45338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45338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45338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45338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45338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45338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45338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45338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45338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45338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45338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45338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45338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45338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45338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45338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45338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45338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45338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45338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45338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45338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45338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45338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45338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45338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45338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45338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45338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45338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45338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45338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45338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45338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45338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45338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45338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45338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45338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45338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45338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45338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45338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45338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45338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45338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45338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45338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45338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45338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45338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45338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45338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45338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45338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45338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45338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45338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45338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45338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45338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45338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45338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45338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45338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45338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45338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45338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45338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45338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45338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45338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45338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45338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45338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45338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45338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45338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45338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45338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45338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45338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45338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45338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45338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45338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45338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45338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45338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45338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45338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45338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45338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45338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45338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45338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45338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45338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45338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45338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45338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45338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45338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45338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45338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45338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45338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45338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45338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45338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45338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45338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45338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45338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45338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45338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45338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45338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45338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45338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45338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45338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45338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45338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45338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45338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45338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45338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45338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45338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45338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45338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45338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45338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45338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45338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45338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45338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45338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45338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45338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45338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45338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45338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45338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45338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45338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45338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45338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45338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45338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45338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45338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45338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45338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45338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45338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45338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45338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45338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45338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45338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45338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45338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45338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45338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45338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45338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45338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45338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45338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45338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45338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45338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45338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45338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45338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45338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45338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45338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45338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45338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45338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45338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45338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45338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45338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45338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45338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45338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45338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45338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45338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45338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45338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45338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45338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45338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45338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45338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45338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45338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45338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45338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45338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45338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45338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45338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45338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45338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45338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45338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45338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45338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45338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45338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45338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45338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45338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45338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45338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45338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45338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45338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45338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45338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45338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45338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45338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45338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45338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45338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45338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45338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45338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45338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45338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45338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45338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45338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45338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45338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45338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45338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45338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45338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45338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45338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45338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45338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45338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45338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45338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45338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45338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45338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45338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45338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45338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45338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45338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45338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45338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45338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45338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45338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45338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45338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45338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45338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45338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45338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45338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45338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45338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45338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45338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45338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45338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45338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45338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45338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45338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45338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45338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45338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45338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45338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45338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45338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45338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45338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45338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45338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45338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45338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45338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45338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45338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45338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45338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45338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45338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45338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45338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45338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45338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45338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45338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45338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45338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45338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45338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45338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45338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45338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45338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45338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45338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45338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45338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45338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45338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45338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45338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45338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45338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45338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45338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45338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45338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45338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45338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45338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45338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45338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45338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45338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45338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45338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45338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45338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45338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45338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45338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45338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45338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45338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45338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45338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45338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45338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45338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45338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45338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45338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45338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45338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45338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45338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45338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45338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45338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45338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45338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45338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45338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45338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45338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45338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45338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45338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45338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45338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45338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45338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45338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45338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45338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45338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45338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45338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45338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45338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45338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45338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45338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45338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45338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45338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45338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45338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45338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45338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45338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45338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45338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45338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45338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45338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45338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45338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45338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45338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45338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45338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45338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45338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45338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45338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45338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45338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45338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45338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45338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45338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45338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45338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45338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45338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45338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45338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45338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45338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45338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45338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45338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45338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45338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45338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45338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45338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45338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45338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45338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45338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45338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45338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45338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45338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45338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45338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45338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45338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45338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45338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45338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45338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45338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45338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45338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45338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45338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45338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45338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45338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45338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45338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45338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45338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45338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45338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45338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45338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45338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45338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45338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45338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45338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45338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45338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45338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45338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45338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45338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45338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45338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45338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45338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45338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45338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45338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45338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45338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45338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45338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45338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45338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45338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45338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45338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45338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45338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45338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45338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45338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45338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45338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45338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45338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45338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45338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45338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45338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45338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45338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45338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45338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45338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45338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45338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45338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45338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45338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45338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45338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45338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45338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45338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45338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45338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45338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45338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45338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45338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45338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45338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45338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45338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45338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45338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45338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45338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45338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45338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45338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45338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45338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45338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45338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45338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45338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45338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45338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45338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45338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45338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45338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45338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45338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45338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45338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45338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45338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45338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45338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45338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45338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45338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45338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45338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45338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45338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45338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45338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45338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45338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45338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45338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45338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45338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45338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45338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45338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45338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45338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45338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45338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45338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45338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45338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45338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45338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45338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45338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45338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45338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45338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45338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45338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45338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45338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45338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45338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45338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45338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45338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45338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45338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45338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45338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45338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45338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45338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45338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45338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45338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45338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45338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45338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45338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45338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45338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45338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45338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45338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45338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45338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45338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45338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45338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45338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45338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45338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45338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45338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45338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45338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45338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45338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45338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45338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45338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45338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45338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45338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45338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45338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45338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45338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45338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45338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45338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45338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45338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45338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45338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45338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45338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45338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45338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45338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45338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45338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45338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45338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45338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45338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45338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45338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45338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45338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45338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45338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45338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45338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45338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45338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45338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45338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45338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45338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45338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45338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45338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45338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45338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45338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45338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45338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45338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45338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45338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45338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45338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45338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45338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45338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45338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45338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45338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2807-2024</t>
        </is>
      </c>
      <c r="B1010" s="1" t="n">
        <v>45314</v>
      </c>
      <c r="C1010" s="1" t="n">
        <v>45338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2794-2024</t>
        </is>
      </c>
      <c r="B1011" s="1" t="n">
        <v>45314</v>
      </c>
      <c r="C1011" s="1" t="n">
        <v>45338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45338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45338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45338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45338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45338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45338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5041-2024</t>
        </is>
      </c>
      <c r="B1018" s="1" t="n">
        <v>45329</v>
      </c>
      <c r="C1018" s="1" t="n">
        <v>45338</v>
      </c>
      <c r="D1018" t="inlineStr">
        <is>
          <t>SÖDERMANLANDS LÄN</t>
        </is>
      </c>
      <c r="E1018" t="inlineStr">
        <is>
          <t>ESKILSTUNA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45338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4977-2024</t>
        </is>
      </c>
      <c r="B1020" s="1" t="n">
        <v>45329</v>
      </c>
      <c r="C1020" s="1" t="n">
        <v>45338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Kyrkan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45338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45338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45338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5827-2024</t>
        </is>
      </c>
      <c r="B1024" s="1" t="n">
        <v>45335</v>
      </c>
      <c r="C1024" s="1" t="n">
        <v>45338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2024-02-16T16:07:49Z</dcterms:created>
  <dcterms:modified xmlns:dcterms="http://purl.org/dc/terms/" xmlns:xsi="http://www.w3.org/2001/XMLSchema-instance" xsi:type="dcterms:W3CDTF">2024-02-16T16:07:49Z</dcterms:modified>
</cp:coreProperties>
</file>