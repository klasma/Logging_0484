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45665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45665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45665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45665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45665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45665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45665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45665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45665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45665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45665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45665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45665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45665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45665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45665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45665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45665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45665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45665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45665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45665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45665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45665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45665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45665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45665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45665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45665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45665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45665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45665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45665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45665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45665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45665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45665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45665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45665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45665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45665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45665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45665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45665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45665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45665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45665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45665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45665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45665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45665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45665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45665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45665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45665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45665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45665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45665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45665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45665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45665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45665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45665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315-2025</t>
        </is>
      </c>
      <c r="B65" s="1" t="n">
        <v>45660</v>
      </c>
      <c r="C65" s="1" t="n">
        <v>45665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10.4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Blåsippa</t>
        </is>
      </c>
      <c r="S65">
        <f>HYPERLINK("https://klasma.github.io/Logging_0484/artfynd/A 315-2025 artfynd.xlsx", "A 315-2025")</f>
        <v/>
      </c>
      <c r="T65">
        <f>HYPERLINK("https://klasma.github.io/Logging_0484/kartor/A 315-2025 karta.png", "A 315-2025")</f>
        <v/>
      </c>
      <c r="V65">
        <f>HYPERLINK("https://klasma.github.io/Logging_0484/klagomål/A 315-2025 FSC-klagomål.docx", "A 315-2025")</f>
        <v/>
      </c>
      <c r="W65">
        <f>HYPERLINK("https://klasma.github.io/Logging_0484/klagomålsmail/A 315-2025 FSC-klagomål mail.docx", "A 315-2025")</f>
        <v/>
      </c>
      <c r="X65">
        <f>HYPERLINK("https://klasma.github.io/Logging_0484/tillsyn/A 315-2025 tillsynsbegäran.docx", "A 315-2025")</f>
        <v/>
      </c>
      <c r="Y65">
        <f>HYPERLINK("https://klasma.github.io/Logging_0484/tillsynsmail/A 315-2025 tillsynsbegäran mail.docx", "A 315-2025")</f>
        <v/>
      </c>
    </row>
    <row r="66" ht="15" customHeight="1">
      <c r="A66" t="inlineStr">
        <is>
          <t>A 23204-2019</t>
        </is>
      </c>
      <c r="B66" s="1" t="n">
        <v>43592</v>
      </c>
      <c r="C66" s="1" t="n">
        <v>45665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Ängsskära</t>
        </is>
      </c>
      <c r="S66">
        <f>HYPERLINK("https://klasma.github.io/Logging_0484/artfynd/A 23204-2019 artfynd.xlsx", "A 23204-2019")</f>
        <v/>
      </c>
      <c r="T66">
        <f>HYPERLINK("https://klasma.github.io/Logging_0484/kartor/A 23204-2019 karta.png", "A 23204-2019")</f>
        <v/>
      </c>
      <c r="V66">
        <f>HYPERLINK("https://klasma.github.io/Logging_0484/klagomål/A 23204-2019 FSC-klagomål.docx", "A 23204-2019")</f>
        <v/>
      </c>
      <c r="W66">
        <f>HYPERLINK("https://klasma.github.io/Logging_0484/klagomålsmail/A 23204-2019 FSC-klagomål mail.docx", "A 23204-2019")</f>
        <v/>
      </c>
      <c r="X66">
        <f>HYPERLINK("https://klasma.github.io/Logging_0484/tillsyn/A 23204-2019 tillsynsbegäran.docx", "A 23204-2019")</f>
        <v/>
      </c>
      <c r="Y66">
        <f>HYPERLINK("https://klasma.github.io/Logging_0484/tillsynsmail/A 23204-2019 tillsynsbegäran mail.docx", "A 23204-2019")</f>
        <v/>
      </c>
    </row>
    <row r="67" ht="15" customHeight="1">
      <c r="A67" t="inlineStr">
        <is>
          <t>A 29459-2019</t>
        </is>
      </c>
      <c r="B67" s="1" t="n">
        <v>43629</v>
      </c>
      <c r="C67" s="1" t="n">
        <v>45665</v>
      </c>
      <c r="D67" t="inlineStr">
        <is>
          <t>SÖDERMANLANDS LÄN</t>
        </is>
      </c>
      <c r="E67" t="inlineStr">
        <is>
          <t>ESKILSTUNA</t>
        </is>
      </c>
      <c r="G67" t="n">
        <v>9.199999999999999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HYPERLINK("https://klasma.github.io/Logging_0484/artfynd/A 29459-2019 artfynd.xlsx", "A 29459-2019")</f>
        <v/>
      </c>
      <c r="T67">
        <f>HYPERLINK("https://klasma.github.io/Logging_0484/kartor/A 29459-2019 karta.png", "A 29459-2019")</f>
        <v/>
      </c>
      <c r="U67">
        <f>HYPERLINK("https://klasma.github.io/Logging_0484/knärot/A 29459-2019 karta knärot.png", "A 29459-2019")</f>
        <v/>
      </c>
      <c r="V67">
        <f>HYPERLINK("https://klasma.github.io/Logging_0484/klagomål/A 29459-2019 FSC-klagomål.docx", "A 29459-2019")</f>
        <v/>
      </c>
      <c r="W67">
        <f>HYPERLINK("https://klasma.github.io/Logging_0484/klagomålsmail/A 29459-2019 FSC-klagomål mail.docx", "A 29459-2019")</f>
        <v/>
      </c>
      <c r="X67">
        <f>HYPERLINK("https://klasma.github.io/Logging_0484/tillsyn/A 29459-2019 tillsynsbegäran.docx", "A 29459-2019")</f>
        <v/>
      </c>
      <c r="Y67">
        <f>HYPERLINK("https://klasma.github.io/Logging_0484/tillsynsmail/A 29459-2019 tillsynsbegäran mail.docx", "A 29459-2019")</f>
        <v/>
      </c>
    </row>
    <row r="68" ht="15" customHeight="1">
      <c r="A68" t="inlineStr">
        <is>
          <t>A 50952-2019</t>
        </is>
      </c>
      <c r="B68" s="1" t="n">
        <v>43738</v>
      </c>
      <c r="C68" s="1" t="n">
        <v>45665</v>
      </c>
      <c r="D68" t="inlineStr">
        <is>
          <t>SÖDERMANLANDS LÄN</t>
        </is>
      </c>
      <c r="E68" t="inlineStr">
        <is>
          <t>ESKILSTUNA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HYPERLINK("https://klasma.github.io/Logging_0484/artfynd/A 50952-2019 artfynd.xlsx", "A 50952-2019")</f>
        <v/>
      </c>
      <c r="T68">
        <f>HYPERLINK("https://klasma.github.io/Logging_0484/kartor/A 50952-2019 karta.png", "A 50952-2019")</f>
        <v/>
      </c>
      <c r="V68">
        <f>HYPERLINK("https://klasma.github.io/Logging_0484/klagomål/A 50952-2019 FSC-klagomål.docx", "A 50952-2019")</f>
        <v/>
      </c>
      <c r="W68">
        <f>HYPERLINK("https://klasma.github.io/Logging_0484/klagomålsmail/A 50952-2019 FSC-klagomål mail.docx", "A 50952-2019")</f>
        <v/>
      </c>
      <c r="X68">
        <f>HYPERLINK("https://klasma.github.io/Logging_0484/tillsyn/A 50952-2019 tillsynsbegäran.docx", "A 50952-2019")</f>
        <v/>
      </c>
      <c r="Y68">
        <f>HYPERLINK("https://klasma.github.io/Logging_0484/tillsynsmail/A 50952-2019 tillsynsbegäran mail.docx", "A 50952-2019")</f>
        <v/>
      </c>
    </row>
    <row r="69" ht="15" customHeight="1">
      <c r="A69" t="inlineStr">
        <is>
          <t>A 51651-2019</t>
        </is>
      </c>
      <c r="B69" s="1" t="n">
        <v>43740</v>
      </c>
      <c r="C69" s="1" t="n">
        <v>45665</v>
      </c>
      <c r="D69" t="inlineStr">
        <is>
          <t>SÖDERMANLANDS LÄN</t>
        </is>
      </c>
      <c r="E69" t="inlineStr">
        <is>
          <t>ESKILSTUNA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HYPERLINK("https://klasma.github.io/Logging_0484/artfynd/A 51651-2019 artfynd.xlsx", "A 51651-2019")</f>
        <v/>
      </c>
      <c r="T69">
        <f>HYPERLINK("https://klasma.github.io/Logging_0484/kartor/A 51651-2019 karta.png", "A 51651-2019")</f>
        <v/>
      </c>
      <c r="V69">
        <f>HYPERLINK("https://klasma.github.io/Logging_0484/klagomål/A 51651-2019 FSC-klagomål.docx", "A 51651-2019")</f>
        <v/>
      </c>
      <c r="W69">
        <f>HYPERLINK("https://klasma.github.io/Logging_0484/klagomålsmail/A 51651-2019 FSC-klagomål mail.docx", "A 51651-2019")</f>
        <v/>
      </c>
      <c r="X69">
        <f>HYPERLINK("https://klasma.github.io/Logging_0484/tillsyn/A 51651-2019 tillsynsbegäran.docx", "A 51651-2019")</f>
        <v/>
      </c>
      <c r="Y69">
        <f>HYPERLINK("https://klasma.github.io/Logging_0484/tillsynsmail/A 51651-2019 tillsynsbegäran mail.docx", "A 51651-2019")</f>
        <v/>
      </c>
    </row>
    <row r="70" ht="15" customHeight="1">
      <c r="A70" t="inlineStr">
        <is>
          <t>A 54326-2019</t>
        </is>
      </c>
      <c r="B70" s="1" t="n">
        <v>43745</v>
      </c>
      <c r="C70" s="1" t="n">
        <v>45665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HYPERLINK("https://klasma.github.io/Logging_0484/artfynd/A 54326-2019 artfynd.xlsx", "A 54326-2019")</f>
        <v/>
      </c>
      <c r="T70">
        <f>HYPERLINK("https://klasma.github.io/Logging_0484/kartor/A 54326-2019 karta.png", "A 54326-2019")</f>
        <v/>
      </c>
      <c r="V70">
        <f>HYPERLINK("https://klasma.github.io/Logging_0484/klagomål/A 54326-2019 FSC-klagomål.docx", "A 54326-2019")</f>
        <v/>
      </c>
      <c r="W70">
        <f>HYPERLINK("https://klasma.github.io/Logging_0484/klagomålsmail/A 54326-2019 FSC-klagomål mail.docx", "A 54326-2019")</f>
        <v/>
      </c>
      <c r="X70">
        <f>HYPERLINK("https://klasma.github.io/Logging_0484/tillsyn/A 54326-2019 tillsynsbegäran.docx", "A 54326-2019")</f>
        <v/>
      </c>
      <c r="Y70">
        <f>HYPERLINK("https://klasma.github.io/Logging_0484/tillsynsmail/A 54326-2019 tillsynsbegäran mail.docx", "A 54326-2019")</f>
        <v/>
      </c>
    </row>
    <row r="71" ht="15" customHeight="1">
      <c r="A71" t="inlineStr">
        <is>
          <t>A 16877-2020</t>
        </is>
      </c>
      <c r="B71" s="1" t="n">
        <v>43921</v>
      </c>
      <c r="C71" s="1" t="n">
        <v>45665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16877-2020 artfynd.xlsx", "A 16877-2020")</f>
        <v/>
      </c>
      <c r="T71">
        <f>HYPERLINK("https://klasma.github.io/Logging_0484/kartor/A 16877-2020 karta.png", "A 16877-2020")</f>
        <v/>
      </c>
      <c r="V71">
        <f>HYPERLINK("https://klasma.github.io/Logging_0484/klagomål/A 16877-2020 FSC-klagomål.docx", "A 16877-2020")</f>
        <v/>
      </c>
      <c r="W71">
        <f>HYPERLINK("https://klasma.github.io/Logging_0484/klagomålsmail/A 16877-2020 FSC-klagomål mail.docx", "A 16877-2020")</f>
        <v/>
      </c>
      <c r="X71">
        <f>HYPERLINK("https://klasma.github.io/Logging_0484/tillsyn/A 16877-2020 tillsynsbegäran.docx", "A 16877-2020")</f>
        <v/>
      </c>
      <c r="Y71">
        <f>HYPERLINK("https://klasma.github.io/Logging_0484/tillsynsmail/A 16877-2020 tillsynsbegäran mail.docx", "A 16877-2020")</f>
        <v/>
      </c>
    </row>
    <row r="72" ht="15" customHeight="1">
      <c r="A72" t="inlineStr">
        <is>
          <t>A 23201-2020</t>
        </is>
      </c>
      <c r="B72" s="1" t="n">
        <v>43964</v>
      </c>
      <c r="C72" s="1" t="n">
        <v>45665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Krusfrö</t>
        </is>
      </c>
      <c r="S72">
        <f>HYPERLINK("https://klasma.github.io/Logging_0484/artfynd/A 23201-2020 artfynd.xlsx", "A 23201-2020")</f>
        <v/>
      </c>
      <c r="T72">
        <f>HYPERLINK("https://klasma.github.io/Logging_0484/kartor/A 23201-2020 karta.png", "A 23201-2020")</f>
        <v/>
      </c>
      <c r="V72">
        <f>HYPERLINK("https://klasma.github.io/Logging_0484/klagomål/A 23201-2020 FSC-klagomål.docx", "A 23201-2020")</f>
        <v/>
      </c>
      <c r="W72">
        <f>HYPERLINK("https://klasma.github.io/Logging_0484/klagomålsmail/A 23201-2020 FSC-klagomål mail.docx", "A 23201-2020")</f>
        <v/>
      </c>
      <c r="X72">
        <f>HYPERLINK("https://klasma.github.io/Logging_0484/tillsyn/A 23201-2020 tillsynsbegäran.docx", "A 23201-2020")</f>
        <v/>
      </c>
      <c r="Y72">
        <f>HYPERLINK("https://klasma.github.io/Logging_0484/tillsynsmail/A 23201-2020 tillsynsbegäran mail.docx", "A 23201-2020")</f>
        <v/>
      </c>
    </row>
    <row r="73" ht="15" customHeight="1">
      <c r="A73" t="inlineStr">
        <is>
          <t>A 23468-2020</t>
        </is>
      </c>
      <c r="B73" s="1" t="n">
        <v>43966</v>
      </c>
      <c r="C73" s="1" t="n">
        <v>45665</v>
      </c>
      <c r="D73" t="inlineStr">
        <is>
          <t>SÖDERMANLANDS LÄN</t>
        </is>
      </c>
      <c r="E73" t="inlineStr">
        <is>
          <t>ESKILSTUNA</t>
        </is>
      </c>
      <c r="G73" t="n">
        <v>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HYPERLINK("https://klasma.github.io/Logging_0484/artfynd/A 23468-2020 artfynd.xlsx", "A 23468-2020")</f>
        <v/>
      </c>
      <c r="T73">
        <f>HYPERLINK("https://klasma.github.io/Logging_0484/kartor/A 23468-2020 karta.png", "A 23468-2020")</f>
        <v/>
      </c>
      <c r="V73">
        <f>HYPERLINK("https://klasma.github.io/Logging_0484/klagomål/A 23468-2020 FSC-klagomål.docx", "A 23468-2020")</f>
        <v/>
      </c>
      <c r="W73">
        <f>HYPERLINK("https://klasma.github.io/Logging_0484/klagomålsmail/A 23468-2020 FSC-klagomål mail.docx", "A 23468-2020")</f>
        <v/>
      </c>
      <c r="X73">
        <f>HYPERLINK("https://klasma.github.io/Logging_0484/tillsyn/A 23468-2020 tillsynsbegäran.docx", "A 23468-2020")</f>
        <v/>
      </c>
      <c r="Y73">
        <f>HYPERLINK("https://klasma.github.io/Logging_0484/tillsynsmail/A 23468-2020 tillsynsbegäran mail.docx", "A 23468-2020")</f>
        <v/>
      </c>
      <c r="Z73">
        <f>HYPERLINK("https://klasma.github.io/Logging_0484/fåglar/A 23468-2020 prioriterade fågelarter.docx", "A 23468-2020")</f>
        <v/>
      </c>
    </row>
    <row r="74" ht="15" customHeight="1">
      <c r="A74" t="inlineStr">
        <is>
          <t>A 38423-2020</t>
        </is>
      </c>
      <c r="B74" s="1" t="n">
        <v>44060</v>
      </c>
      <c r="C74" s="1" t="n">
        <v>45665</v>
      </c>
      <c r="D74" t="inlineStr">
        <is>
          <t>SÖDERMANLANDS LÄN</t>
        </is>
      </c>
      <c r="E74" t="inlineStr">
        <is>
          <t>ESKILSTUNA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HYPERLINK("https://klasma.github.io/Logging_0484/artfynd/A 38423-2020 artfynd.xlsx", "A 38423-2020")</f>
        <v/>
      </c>
      <c r="T74">
        <f>HYPERLINK("https://klasma.github.io/Logging_0484/kartor/A 38423-2020 karta.png", "A 38423-2020")</f>
        <v/>
      </c>
      <c r="V74">
        <f>HYPERLINK("https://klasma.github.io/Logging_0484/klagomål/A 38423-2020 FSC-klagomål.docx", "A 38423-2020")</f>
        <v/>
      </c>
      <c r="W74">
        <f>HYPERLINK("https://klasma.github.io/Logging_0484/klagomålsmail/A 38423-2020 FSC-klagomål mail.docx", "A 38423-2020")</f>
        <v/>
      </c>
      <c r="X74">
        <f>HYPERLINK("https://klasma.github.io/Logging_0484/tillsyn/A 38423-2020 tillsynsbegäran.docx", "A 38423-2020")</f>
        <v/>
      </c>
      <c r="Y74">
        <f>HYPERLINK("https://klasma.github.io/Logging_0484/tillsynsmail/A 38423-2020 tillsynsbegäran mail.docx", "A 38423-2020")</f>
        <v/>
      </c>
    </row>
    <row r="75" ht="15" customHeight="1">
      <c r="A75" t="inlineStr">
        <is>
          <t>A 56228-2020</t>
        </is>
      </c>
      <c r="B75" s="1" t="n">
        <v>44134</v>
      </c>
      <c r="C75" s="1" t="n">
        <v>45665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56228-2020 artfynd.xlsx", "A 56228-2020")</f>
        <v/>
      </c>
      <c r="T75">
        <f>HYPERLINK("https://klasma.github.io/Logging_0484/kartor/A 56228-2020 karta.png", "A 56228-2020")</f>
        <v/>
      </c>
      <c r="V75">
        <f>HYPERLINK("https://klasma.github.io/Logging_0484/klagomål/A 56228-2020 FSC-klagomål.docx", "A 56228-2020")</f>
        <v/>
      </c>
      <c r="W75">
        <f>HYPERLINK("https://klasma.github.io/Logging_0484/klagomålsmail/A 56228-2020 FSC-klagomål mail.docx", "A 56228-2020")</f>
        <v/>
      </c>
      <c r="X75">
        <f>HYPERLINK("https://klasma.github.io/Logging_0484/tillsyn/A 56228-2020 tillsynsbegäran.docx", "A 56228-2020")</f>
        <v/>
      </c>
      <c r="Y75">
        <f>HYPERLINK("https://klasma.github.io/Logging_0484/tillsynsmail/A 56228-2020 tillsynsbegäran mail.docx", "A 56228-2020")</f>
        <v/>
      </c>
    </row>
    <row r="76" ht="15" customHeight="1">
      <c r="A76" t="inlineStr">
        <is>
          <t>A 33759-2021</t>
        </is>
      </c>
      <c r="B76" s="1" t="n">
        <v>44378</v>
      </c>
      <c r="C76" s="1" t="n">
        <v>45665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20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33759-2021 artfynd.xlsx", "A 33759-2021")</f>
        <v/>
      </c>
      <c r="T76">
        <f>HYPERLINK("https://klasma.github.io/Logging_0484/kartor/A 33759-2021 karta.png", "A 33759-2021")</f>
        <v/>
      </c>
      <c r="V76">
        <f>HYPERLINK("https://klasma.github.io/Logging_0484/klagomål/A 33759-2021 FSC-klagomål.docx", "A 33759-2021")</f>
        <v/>
      </c>
      <c r="W76">
        <f>HYPERLINK("https://klasma.github.io/Logging_0484/klagomålsmail/A 33759-2021 FSC-klagomål mail.docx", "A 33759-2021")</f>
        <v/>
      </c>
      <c r="X76">
        <f>HYPERLINK("https://klasma.github.io/Logging_0484/tillsyn/A 33759-2021 tillsynsbegäran.docx", "A 33759-2021")</f>
        <v/>
      </c>
      <c r="Y76">
        <f>HYPERLINK("https://klasma.github.io/Logging_0484/tillsynsmail/A 33759-2021 tillsynsbegäran mail.docx", "A 33759-2021")</f>
        <v/>
      </c>
    </row>
    <row r="77" ht="15" customHeight="1">
      <c r="A77" t="inlineStr">
        <is>
          <t>A 53206-2021</t>
        </is>
      </c>
      <c r="B77" s="1" t="n">
        <v>44468</v>
      </c>
      <c r="C77" s="1" t="n">
        <v>45665</v>
      </c>
      <c r="D77" t="inlineStr">
        <is>
          <t>SÖDERMANLANDS LÄN</t>
        </is>
      </c>
      <c r="E77" t="inlineStr">
        <is>
          <t>ESKILSTUNA</t>
        </is>
      </c>
      <c r="G77" t="n">
        <v>12.8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Zontaggsvamp</t>
        </is>
      </c>
      <c r="S77">
        <f>HYPERLINK("https://klasma.github.io/Logging_0484/artfynd/A 53206-2021 artfynd.xlsx", "A 53206-2021")</f>
        <v/>
      </c>
      <c r="T77">
        <f>HYPERLINK("https://klasma.github.io/Logging_0484/kartor/A 53206-2021 karta.png", "A 53206-2021")</f>
        <v/>
      </c>
      <c r="V77">
        <f>HYPERLINK("https://klasma.github.io/Logging_0484/klagomål/A 53206-2021 FSC-klagomål.docx", "A 53206-2021")</f>
        <v/>
      </c>
      <c r="W77">
        <f>HYPERLINK("https://klasma.github.io/Logging_0484/klagomålsmail/A 53206-2021 FSC-klagomål mail.docx", "A 53206-2021")</f>
        <v/>
      </c>
      <c r="X77">
        <f>HYPERLINK("https://klasma.github.io/Logging_0484/tillsyn/A 53206-2021 tillsynsbegäran.docx", "A 53206-2021")</f>
        <v/>
      </c>
      <c r="Y77">
        <f>HYPERLINK("https://klasma.github.io/Logging_0484/tillsynsmail/A 53206-2021 tillsynsbegäran mail.docx", "A 53206-2021")</f>
        <v/>
      </c>
    </row>
    <row r="78" ht="15" customHeight="1">
      <c r="A78" t="inlineStr">
        <is>
          <t>A 62141-2021</t>
        </is>
      </c>
      <c r="B78" s="1" t="n">
        <v>44502</v>
      </c>
      <c r="C78" s="1" t="n">
        <v>45665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13.7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HYPERLINK("https://klasma.github.io/Logging_0484/artfynd/A 62141-2021 artfynd.xlsx", "A 62141-2021")</f>
        <v/>
      </c>
      <c r="T78">
        <f>HYPERLINK("https://klasma.github.io/Logging_0484/kartor/A 62141-2021 karta.png", "A 62141-2021")</f>
        <v/>
      </c>
      <c r="V78">
        <f>HYPERLINK("https://klasma.github.io/Logging_0484/klagomål/A 62141-2021 FSC-klagomål.docx", "A 62141-2021")</f>
        <v/>
      </c>
      <c r="W78">
        <f>HYPERLINK("https://klasma.github.io/Logging_0484/klagomålsmail/A 62141-2021 FSC-klagomål mail.docx", "A 62141-2021")</f>
        <v/>
      </c>
      <c r="X78">
        <f>HYPERLINK("https://klasma.github.io/Logging_0484/tillsyn/A 62141-2021 tillsynsbegäran.docx", "A 62141-2021")</f>
        <v/>
      </c>
      <c r="Y78">
        <f>HYPERLINK("https://klasma.github.io/Logging_0484/tillsynsmail/A 62141-2021 tillsynsbegäran mail.docx", "A 62141-2021")</f>
        <v/>
      </c>
    </row>
    <row r="79" ht="15" customHeight="1">
      <c r="A79" t="inlineStr">
        <is>
          <t>A 65380-2021</t>
        </is>
      </c>
      <c r="B79" s="1" t="n">
        <v>44515</v>
      </c>
      <c r="C79" s="1" t="n">
        <v>45665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5.4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65380-2021 artfynd.xlsx", "A 65380-2021")</f>
        <v/>
      </c>
      <c r="T79">
        <f>HYPERLINK("https://klasma.github.io/Logging_0484/kartor/A 65380-2021 karta.png", "A 65380-2021")</f>
        <v/>
      </c>
      <c r="V79">
        <f>HYPERLINK("https://klasma.github.io/Logging_0484/klagomål/A 65380-2021 FSC-klagomål.docx", "A 65380-2021")</f>
        <v/>
      </c>
      <c r="W79">
        <f>HYPERLINK("https://klasma.github.io/Logging_0484/klagomålsmail/A 65380-2021 FSC-klagomål mail.docx", "A 65380-2021")</f>
        <v/>
      </c>
      <c r="X79">
        <f>HYPERLINK("https://klasma.github.io/Logging_0484/tillsyn/A 65380-2021 tillsynsbegäran.docx", "A 65380-2021")</f>
        <v/>
      </c>
      <c r="Y79">
        <f>HYPERLINK("https://klasma.github.io/Logging_0484/tillsynsmail/A 65380-2021 tillsynsbegäran mail.docx", "A 65380-2021")</f>
        <v/>
      </c>
    </row>
    <row r="80" ht="15" customHeight="1">
      <c r="A80" t="inlineStr">
        <is>
          <t>A 3162-2022</t>
        </is>
      </c>
      <c r="B80" s="1" t="n">
        <v>44582</v>
      </c>
      <c r="C80" s="1" t="n">
        <v>45665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Kommuner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HYPERLINK("https://klasma.github.io/Logging_0484/artfynd/A 3162-2022 artfynd.xlsx", "A 3162-2022")</f>
        <v/>
      </c>
      <c r="T80">
        <f>HYPERLINK("https://klasma.github.io/Logging_0484/kartor/A 3162-2022 karta.png", "A 3162-2022")</f>
        <v/>
      </c>
      <c r="V80">
        <f>HYPERLINK("https://klasma.github.io/Logging_0484/klagomål/A 3162-2022 FSC-klagomål.docx", "A 3162-2022")</f>
        <v/>
      </c>
      <c r="W80">
        <f>HYPERLINK("https://klasma.github.io/Logging_0484/klagomålsmail/A 3162-2022 FSC-klagomål mail.docx", "A 3162-2022")</f>
        <v/>
      </c>
      <c r="X80">
        <f>HYPERLINK("https://klasma.github.io/Logging_0484/tillsyn/A 3162-2022 tillsynsbegäran.docx", "A 3162-2022")</f>
        <v/>
      </c>
      <c r="Y80">
        <f>HYPERLINK("https://klasma.github.io/Logging_0484/tillsynsmail/A 3162-2022 tillsynsbegäran mail.docx", "A 3162-2022")</f>
        <v/>
      </c>
    </row>
    <row r="81" ht="15" customHeight="1">
      <c r="A81" t="inlineStr">
        <is>
          <t>A 15960-2022</t>
        </is>
      </c>
      <c r="B81" s="1" t="n">
        <v>44664</v>
      </c>
      <c r="C81" s="1" t="n">
        <v>45665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11.9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Scharlakansvårskål agg.</t>
        </is>
      </c>
      <c r="S81">
        <f>HYPERLINK("https://klasma.github.io/Logging_0484/artfynd/A 15960-2022 artfynd.xlsx", "A 15960-2022")</f>
        <v/>
      </c>
      <c r="T81">
        <f>HYPERLINK("https://klasma.github.io/Logging_0484/kartor/A 15960-2022 karta.png", "A 15960-2022")</f>
        <v/>
      </c>
      <c r="V81">
        <f>HYPERLINK("https://klasma.github.io/Logging_0484/klagomål/A 15960-2022 FSC-klagomål.docx", "A 15960-2022")</f>
        <v/>
      </c>
      <c r="W81">
        <f>HYPERLINK("https://klasma.github.io/Logging_0484/klagomålsmail/A 15960-2022 FSC-klagomål mail.docx", "A 15960-2022")</f>
        <v/>
      </c>
      <c r="X81">
        <f>HYPERLINK("https://klasma.github.io/Logging_0484/tillsyn/A 15960-2022 tillsynsbegäran.docx", "A 15960-2022")</f>
        <v/>
      </c>
      <c r="Y81">
        <f>HYPERLINK("https://klasma.github.io/Logging_0484/tillsynsmail/A 15960-2022 tillsynsbegäran mail.docx", "A 15960-2022")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45665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45665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45665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45665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45665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45665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45665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45665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45665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45665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45665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45665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45665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45665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45665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45665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45665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45665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45665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45665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45665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45665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45665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45665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45665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45665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45665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45665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45665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45665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45665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45665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45665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45665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45665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45665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45665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45665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45665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45665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45665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45665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45665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45665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45665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45665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45665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45665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45665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45665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45665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45665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45665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45665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45665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45665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45665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45665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45665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45665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45665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45665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45665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45665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45665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45665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45665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45665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45665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45665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45665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45665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45665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45665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45665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45665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45665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45665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45665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45665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45665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45665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45665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45665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45665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45665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45665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45665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45665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45665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45665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45665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45665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45665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45665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45665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45665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45665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45665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45665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45665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45665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45665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45665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45665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45665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45665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45665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45665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45665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45665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45665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45665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45665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45665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45665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45665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45665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45665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45665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45665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45665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45665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45665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45665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45665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45665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45665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45665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45665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45665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45665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45665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45665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45665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45665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45665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45665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45665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45665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45665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45665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45665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45665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45665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45665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45665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45665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45665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45665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45665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45665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45665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45665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45665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45665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45665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45665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45665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45665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45665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45665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45665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45665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45665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45665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45665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45665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45665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45665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45665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45665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45665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45665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45665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45665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45665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45665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45665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45665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45665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45665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45665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45665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45665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45665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45665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45665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45665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45665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45665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45665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45665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45665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45665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45665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45665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45665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45665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45665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45665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45665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45665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45665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45665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45665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45665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45665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45665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45665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45665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45665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45665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45665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45665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45665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45665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45665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45665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45665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45665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45665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45665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45665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45665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45665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45665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45665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45665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45665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45665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45665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45665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45665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45665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45665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45665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45665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45665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45665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45665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45665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45665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45665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45665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45665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45665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45665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45665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45665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45665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45665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45665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45665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45665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45665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45665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45665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45665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45665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45665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45665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45665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45665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45665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45665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45665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45665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45665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45665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45665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45665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45665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45665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45665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45665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45665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45665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45665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45665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45665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45665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45665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45665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45665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45665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45665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45665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45665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45665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45665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45665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45665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45665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45665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45665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45665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45665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45665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45665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45665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45665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45665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45665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45665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45665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45665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45665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45665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45665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45665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45665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45665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45665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45665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45665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45665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45665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45665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45665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45665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45665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45665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45665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45665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45665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45665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45665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45665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45665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45665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45665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45665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45665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45665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45665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45665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45665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45665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45665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45665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45665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45665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45665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45665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45665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45665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45665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45665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45665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45665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45665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45665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45665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45665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45665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45665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45665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45665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45665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45665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45665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45665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45665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45665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45665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45665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45665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45665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45665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45665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45665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45665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45665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45665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45665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45665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45665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45665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45665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45665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45665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45665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45665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45665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45665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45665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45665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45665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45665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45665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45665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45665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45665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45665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45665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45665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45665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45665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45665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45665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45665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45665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45665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45665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45665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45665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45665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45665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45665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45665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45665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45665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45665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45665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45665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45665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45665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45665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45665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45665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45665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45665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45665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45665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45665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45665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45665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45665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45665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45665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45665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45665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45665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45665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45665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45665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45665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45665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45665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45665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45665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45665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45665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45665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45665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45665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45665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45665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45665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45665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45665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45665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45665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45665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45665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45665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45665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45665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45665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45665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45665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45665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45665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45665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45665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45665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45665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45665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45665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45665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45665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45665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45665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45665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45665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45665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45665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45665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45665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45665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45665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45665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45665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45665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45665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45665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45665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45665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45665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45665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45665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45665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45665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45665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45665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45665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45665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45665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45665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45665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45665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45665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45665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45665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45665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45665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45665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45665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45665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45665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45665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45665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45665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45665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45665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45665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45665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45665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45665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45665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45665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45665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45665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45665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45665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45665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45665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45665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45665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45665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45665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45665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45665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45665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45665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45665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45665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45665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45665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45665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45665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45665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45665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45665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45665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45665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45665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45665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45665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45665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45665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45665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45665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45665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45665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45665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45665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45665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45665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45665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45665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45665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45665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45665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45665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45665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45665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45665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45665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45665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45665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45665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45665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45665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45665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45665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45665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45665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45665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45665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45665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45665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45665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45665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45665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45665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45665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45665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45665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45665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45665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45665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45665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45665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45665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45665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45665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45665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45665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45665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45665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45665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45665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45665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45665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45665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45665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45665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45665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45665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45665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45665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45665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45665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45665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45665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45665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45665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45665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45665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45665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45665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45665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45665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45665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45665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45665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45665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45665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45665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45665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45665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45665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45665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45665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45665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45665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45665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45665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45665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45665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45665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45665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45665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45665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45665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45665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45665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45665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45665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45665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45665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45665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45665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45665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45665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45665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45665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45665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45665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45665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45665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45665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45665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45665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45665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45665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45665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45665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45665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45665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45665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45665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45665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45665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45665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45665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45665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45665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45665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45665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45665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45665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45665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45665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45665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45665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45665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45665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45665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45665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45665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45665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45665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45665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45665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45665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45665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45665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45665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45665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45665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45665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45665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45665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45665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45665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45665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45665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45665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45665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45665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45665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45665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45665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45665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45665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45665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45665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45665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45665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45665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45665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45665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45665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45665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45665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45665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45665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45665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45665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45665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45665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45665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45665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45665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45665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45665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45665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45665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45665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45665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45665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45665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45665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45665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45665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45665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45665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45665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45665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45665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45665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45665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45665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45665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45665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45665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45665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45665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45665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45665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45665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45665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45665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45665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45665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45665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45665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45665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45665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45665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45665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45665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45665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45665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45665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45665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45665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45665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45665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45665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45665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45665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45665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45665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45665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45665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45665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45665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45665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45665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45665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45665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45665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45665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45665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45665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45665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45665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45665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45665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45665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45665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45665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45665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45665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45665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45665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45665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45665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45665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45665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45665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45665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45665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45665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45665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45665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45665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45665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45665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45665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45665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45665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45665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45665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45665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45665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45665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45665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45665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45665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45665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45665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45665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45665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45665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45665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45665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45665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45665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45665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45665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45665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45665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45665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45665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45665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45665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45665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45665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45665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45665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45665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45665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45665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45665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45665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45665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45665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45665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45665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45665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45665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45665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45665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45665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45665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45665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45665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45665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45665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45665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45665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45665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45665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45665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45665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45665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45665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45665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45665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45665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45665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45665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45665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45665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45665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45665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45665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45665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45665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45665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45665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45665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45665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45665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45665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45665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45665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45665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45665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45665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45665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45665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45665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45665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45665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45665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45665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45665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45665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45665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45665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45665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45665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45665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45665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45665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45665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45665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45665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45665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45665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45665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45665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45665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45665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45665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45665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45665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45665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45665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45665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45665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45665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45665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45665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45665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45665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45665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45665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45665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45665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45665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45665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45665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45665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45665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45665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45665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45665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45665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45665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45665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45665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45665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45665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45665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45665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45665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45665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45665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45665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45665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45665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45665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45665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45665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45665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45665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45665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45665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45665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45665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45665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45665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45665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45665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45665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45665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45665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45665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45665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45665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45665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45665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45665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45665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45665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45665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45665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45665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45665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45665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45665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45665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45665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58503-2024</t>
        </is>
      </c>
      <c r="B1082" s="1" t="n">
        <v>45635</v>
      </c>
      <c r="C1082" s="1" t="n">
        <v>45665</v>
      </c>
      <c r="D1082" t="inlineStr">
        <is>
          <t>SÖDERMANLANDS LÄN</t>
        </is>
      </c>
      <c r="E1082" t="inlineStr">
        <is>
          <t>ESKILSTUNA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58501-2024</t>
        </is>
      </c>
      <c r="B1083" s="1" t="n">
        <v>45635</v>
      </c>
      <c r="C1083" s="1" t="n">
        <v>45665</v>
      </c>
      <c r="D1083" t="inlineStr">
        <is>
          <t>SÖDERMANLANDS LÄN</t>
        </is>
      </c>
      <c r="E1083" t="inlineStr">
        <is>
          <t>ESKILSTUNA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45665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60246-2024</t>
        </is>
      </c>
      <c r="B1085" s="1" t="n">
        <v>45642</v>
      </c>
      <c r="C1085" s="1" t="n">
        <v>45665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60244-2024</t>
        </is>
      </c>
      <c r="B1086" s="1" t="n">
        <v>45642</v>
      </c>
      <c r="C1086" s="1" t="n">
        <v>45665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60276-2024</t>
        </is>
      </c>
      <c r="B1087" s="1" t="n">
        <v>45642</v>
      </c>
      <c r="C1087" s="1" t="n">
        <v>45665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45665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62010-2024</t>
        </is>
      </c>
      <c r="B1089" s="1" t="n">
        <v>45655</v>
      </c>
      <c r="C1089" s="1" t="n">
        <v>45665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62008-2024</t>
        </is>
      </c>
      <c r="B1090" s="1" t="n">
        <v>45655</v>
      </c>
      <c r="C1090" s="1" t="n">
        <v>45665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316-2025</t>
        </is>
      </c>
      <c r="B1091" s="1" t="n">
        <v>45660</v>
      </c>
      <c r="C1091" s="1" t="n">
        <v>45665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540-2025</t>
        </is>
      </c>
      <c r="B1092" s="1" t="n">
        <v>45664</v>
      </c>
      <c r="C1092" s="1" t="n">
        <v>45665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545-2025</t>
        </is>
      </c>
      <c r="B1093" s="1" t="n">
        <v>45664</v>
      </c>
      <c r="C1093" s="1" t="n">
        <v>45665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>
      <c r="A1094" t="inlineStr">
        <is>
          <t>A 546-2025</t>
        </is>
      </c>
      <c r="B1094" s="1" t="n">
        <v>45664</v>
      </c>
      <c r="C1094" s="1" t="n">
        <v>45665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2025-01-08T15:22:24Z</dcterms:created>
  <dcterms:modified xmlns:dcterms="http://purl.org/dc/terms/" xmlns:xsi="http://www.w3.org/2001/XMLSchema-instance" xsi:type="dcterms:W3CDTF">2025-01-08T15:22:24Z</dcterms:modified>
</cp:coreProperties>
</file>