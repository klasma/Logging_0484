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46304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46304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46304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46304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46304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46304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46304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46304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61503-2022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44916</v>
      </c>
      <c r="E10" s="1" t="n">
        <v>46304</v>
      </c>
      <c r="F10" t="inlineStr">
        <is>
          <t>SÖDERMANLANDS LÄN</t>
        </is>
      </c>
      <c r="G10" t="inlineStr">
        <is>
          <t>ESKILSTUNA</t>
        </is>
      </c>
      <c r="I10" t="n">
        <v>1.8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13</v>
      </c>
      <c r="U10" t="n">
        <v>2</v>
      </c>
      <c r="V10" s="2" t="inlineStr">
        <is>
          <t>Mindre bastardsvärmare
Jungfrulin
Klasefibbla
Silversmygare
Skogsklocka
Svinrot</t>
        </is>
      </c>
      <c r="W10">
        <f>HYPERLINK("https://klasma.github.io/Logging_0484/artfynd/A 61503-2022 artfynd.xlsx", "A 61503-2022")</f>
        <v/>
      </c>
      <c r="X10">
        <f>HYPERLINK("https://klasma.github.io/Logging_0484/kartor/A 61503-2022 karta.png", "A 61503-2022")</f>
        <v/>
      </c>
      <c r="Y10">
        <f>HYPERLINK("https://klasma.github.io/Logging_0484/kartor_geotiff/A 61503-2022 georefererad karta.tif", "A 61503-2022")</f>
        <v/>
      </c>
      <c r="AA10">
        <f>HYPERLINK("https://klasma.github.io/Logging_0484/klagomål/A 61503-2022 FSC-klagomål.docx", "A 61503-2022")</f>
        <v/>
      </c>
      <c r="AB10">
        <f>HYPERLINK("https://klasma.github.io/Logging_0484/klagomålsmail/A 61503-2022 FSC-klagomål mail.docx", "A 61503-2022")</f>
        <v/>
      </c>
      <c r="AC10">
        <f>HYPERLINK("https://klasma.github.io/Logging_0484/tillsyn/A 61503-2022 tillsynsbegäran.docx", "A 61503-2022")</f>
        <v/>
      </c>
      <c r="AD10">
        <f>HYPERLINK("https://klasma.github.io/Logging_0484/tillsynsmail/A 61503-2022 tillsynsbegäran mail.docx", "A 61503-2022")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46304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46304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46304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46304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46304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46304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46304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46304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46304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46304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46304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46304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46304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46304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46304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18968-2023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46304</v>
      </c>
      <c r="F26" t="inlineStr">
        <is>
          <t>SÖDERMANLANDS LÄN</t>
        </is>
      </c>
      <c r="G26" t="inlineStr">
        <is>
          <t>ESKILSTUNA</t>
        </is>
      </c>
      <c r="I26" t="n">
        <v>3.6</v>
      </c>
      <c r="J26" t="n">
        <v>0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8</v>
      </c>
      <c r="U26" t="n">
        <v>0</v>
      </c>
      <c r="V26" s="2" t="inlineStr">
        <is>
          <t>Ask
Svart trolldruva
Tibast</t>
        </is>
      </c>
      <c r="W26">
        <f>HYPERLINK("https://klasma.github.io/Logging_0484/artfynd/A 18968-2023 artfynd.xlsx", "A 18968-2023")</f>
        <v/>
      </c>
      <c r="X26">
        <f>HYPERLINK("https://klasma.github.io/Logging_0484/kartor/A 18968-2023 karta.png", "A 18968-2023")</f>
        <v/>
      </c>
      <c r="Y26">
        <f>HYPERLINK("https://klasma.github.io/Logging_0484/kartor_geotiff/A 18968-2023 georefererad karta.tif", "A 18968-2023")</f>
        <v/>
      </c>
      <c r="AA26">
        <f>HYPERLINK("https://klasma.github.io/Logging_0484/klagomål/A 18968-2023 FSC-klagomål.docx", "A 18968-2023")</f>
        <v/>
      </c>
      <c r="AB26">
        <f>HYPERLINK("https://klasma.github.io/Logging_0484/klagomålsmail/A 18968-2023 FSC-klagomål mail.docx", "A 18968-2023")</f>
        <v/>
      </c>
      <c r="AC26">
        <f>HYPERLINK("https://klasma.github.io/Logging_0484/tillsyn/A 18968-2023 tillsynsbegäran.docx", "A 18968-2023")</f>
        <v/>
      </c>
      <c r="AD26">
        <f>HYPERLINK("https://klasma.github.io/Logging_0484/tillsynsmail/A 18968-2023 tillsynsbegäran mail.docx", "A 18968-2023")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46304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46304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46304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46304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24539-2025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46304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4.8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7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24539-2025 artfynd.xlsx", "A 24539-2025")</f>
        <v/>
      </c>
      <c r="X31">
        <f>HYPERLINK("https://klasma.github.io/Logging_0484/kartor/A 24539-2025 karta.png", "A 24539-2025")</f>
        <v/>
      </c>
      <c r="Y31">
        <f>HYPERLINK("https://klasma.github.io/Logging_0484/kartor_geotiff/A 24539-2025 georefererad karta.tif", "A 24539-2025")</f>
        <v/>
      </c>
      <c r="AA31">
        <f>HYPERLINK("https://klasma.github.io/Logging_0484/klagomål/A 24539-2025 FSC-klagomål.docx", "A 24539-2025")</f>
        <v/>
      </c>
      <c r="AB31">
        <f>HYPERLINK("https://klasma.github.io/Logging_0484/klagomålsmail/A 24539-2025 FSC-klagomål mail.docx", "A 24539-2025")</f>
        <v/>
      </c>
      <c r="AC31">
        <f>HYPERLINK("https://klasma.github.io/Logging_0484/tillsyn/A 24539-2025 tillsynsbegäran.docx", "A 24539-2025")</f>
        <v/>
      </c>
      <c r="AD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45798</v>
      </c>
      <c r="E32" s="1" t="n">
        <v>46304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HYPERLINK("https://klasma.github.io/Logging_0484/artfynd/A 24543-2025 artfynd.xlsx", "A 24543-2025")</f>
        <v/>
      </c>
      <c r="X32">
        <f>HYPERLINK("https://klasma.github.io/Logging_0484/kartor/A 24543-2025 karta.png", "A 24543-2025")</f>
        <v/>
      </c>
      <c r="Y32">
        <f>HYPERLINK("https://klasma.github.io/Logging_0484/kartor_geotiff/A 24543-2025 georefererad karta.tif", "A 24543-2025")</f>
        <v/>
      </c>
      <c r="AA32">
        <f>HYPERLINK("https://klasma.github.io/Logging_0484/klagomål/A 24543-2025 FSC-klagomål.docx", "A 24543-2025")</f>
        <v/>
      </c>
      <c r="AB32">
        <f>HYPERLINK("https://klasma.github.io/Logging_0484/klagomålsmail/A 24543-2025 FSC-klagomål mail.docx", "A 24543-2025")</f>
        <v/>
      </c>
      <c r="AC32">
        <f>HYPERLINK("https://klasma.github.io/Logging_0484/tillsyn/A 24543-2025 tillsynsbegäran.docx", "A 24543-2025")</f>
        <v/>
      </c>
      <c r="AD32">
        <f>HYPERLINK("https://klasma.github.io/Logging_0484/tillsynsmail/A 24543-2025 tillsynsbegäran mail.docx", "A 24543-2025")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46304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46304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46304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46304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46304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46304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44664-2022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46304</v>
      </c>
      <c r="F39" t="inlineStr">
        <is>
          <t>SÖDERMANLANDS LÄN</t>
        </is>
      </c>
      <c r="G39" t="inlineStr">
        <is>
          <t>ESKILSTUNA</t>
        </is>
      </c>
      <c r="I39" t="n">
        <v>20.8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1</v>
      </c>
      <c r="V39" s="2" t="inlineStr">
        <is>
          <t>Knärot
Blåmossa</t>
        </is>
      </c>
      <c r="W39">
        <f>HYPERLINK("https://klasma.github.io/Logging_0484/artfynd/A 44664-2022 artfynd.xlsx", "A 44664-2022")</f>
        <v/>
      </c>
      <c r="X39">
        <f>HYPERLINK("https://klasma.github.io/Logging_0484/kartor/A 44664-2022 karta.png", "A 44664-2022")</f>
        <v/>
      </c>
      <c r="Y39">
        <f>HYPERLINK("https://klasma.github.io/Logging_0484/kartor_geotiff/A 44664-2022 georefererad karta.tif", "A 44664-2022")</f>
        <v/>
      </c>
      <c r="Z39">
        <f>HYPERLINK("https://klasma.github.io/Logging_0484/knärot/A 44664-2022 karta knärot.png", "A 44664-2022")</f>
        <v/>
      </c>
      <c r="AA39">
        <f>HYPERLINK("https://klasma.github.io/Logging_0484/klagomål/A 44664-2022 FSC-klagomål.docx", "A 44664-2022")</f>
        <v/>
      </c>
      <c r="AB39">
        <f>HYPERLINK("https://klasma.github.io/Logging_0484/klagomålsmail/A 44664-2022 FSC-klagomål mail.docx", "A 44664-2022")</f>
        <v/>
      </c>
      <c r="AC39">
        <f>HYPERLINK("https://klasma.github.io/Logging_0484/tillsyn/A 44664-2022 tillsynsbegäran.docx", "A 44664-2022")</f>
        <v/>
      </c>
      <c r="AD39">
        <f>HYPERLINK("https://klasma.github.io/Logging_0484/tillsynsmail/A 44664-2022 tillsynsbegäran mail.docx", "A 44664-2022")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46304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46304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46304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34986-2025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46304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Svart trolldruva
Spillkråka</t>
        </is>
      </c>
      <c r="W43">
        <f>HYPERLINK("https://klasma.github.io/Logging_0484/artfynd/A 34986-2025 artfynd.xlsx", "A 34986-2025")</f>
        <v/>
      </c>
      <c r="X43">
        <f>HYPERLINK("https://klasma.github.io/Logging_0484/kartor/A 34986-2025 karta.png", "A 34986-2025")</f>
        <v/>
      </c>
      <c r="Y43">
        <f>HYPERLINK("https://klasma.github.io/Logging_0484/kartor_geotiff/A 34986-2025 georefererad karta.tif", "A 34986-2025")</f>
        <v/>
      </c>
      <c r="AA43">
        <f>HYPERLINK("https://klasma.github.io/Logging_0484/klagomål/A 34986-2025 FSC-klagomål.docx", "A 34986-2025")</f>
        <v/>
      </c>
      <c r="AB43">
        <f>HYPERLINK("https://klasma.github.io/Logging_0484/klagomålsmail/A 34986-2025 FSC-klagomål mail.docx", "A 34986-2025")</f>
        <v/>
      </c>
      <c r="AC43">
        <f>HYPERLINK("https://klasma.github.io/Logging_0484/tillsyn/A 34986-2025 tillsynsbegäran.docx", "A 34986-2025")</f>
        <v/>
      </c>
      <c r="AD43">
        <f>HYPERLINK("https://klasma.github.io/Logging_0484/tillsynsmail/A 34986-2025 tillsynsbegäran mail.docx", "A 34986-2025")</f>
        <v/>
      </c>
      <c r="AE43">
        <f>HYPERLINK("https://klasma.github.io/Logging_0484/fåglar/A 34986-2025 prioriterade fågelarter.docx", "A 34986-2025")</f>
        <v/>
      </c>
    </row>
    <row r="44" ht="15" customHeight="1">
      <c r="A44" t="inlineStr">
        <is>
          <t>A 34985-2025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45849</v>
      </c>
      <c r="E44" s="1" t="n">
        <v>46304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5.1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Krusfrö
Tjäder</t>
        </is>
      </c>
      <c r="W44">
        <f>HYPERLINK("https://klasma.github.io/Logging_0484/artfynd/A 34985-2025 artfynd.xlsx", "A 34985-2025")</f>
        <v/>
      </c>
      <c r="X44">
        <f>HYPERLINK("https://klasma.github.io/Logging_0484/kartor/A 34985-2025 karta.png", "A 34985-2025")</f>
        <v/>
      </c>
      <c r="Y44">
        <f>HYPERLINK("https://klasma.github.io/Logging_0484/kartor_geotiff/A 34985-2025 georefererad karta.tif", "A 34985-2025")</f>
        <v/>
      </c>
      <c r="AA44">
        <f>HYPERLINK("https://klasma.github.io/Logging_0484/klagomål/A 34985-2025 FSC-klagomål.docx", "A 34985-2025")</f>
        <v/>
      </c>
      <c r="AB44">
        <f>HYPERLINK("https://klasma.github.io/Logging_0484/klagomålsmail/A 34985-2025 FSC-klagomål mail.docx", "A 34985-2025")</f>
        <v/>
      </c>
      <c r="AC44">
        <f>HYPERLINK("https://klasma.github.io/Logging_0484/tillsyn/A 34985-2025 tillsynsbegäran.docx", "A 34985-2025")</f>
        <v/>
      </c>
      <c r="AD44">
        <f>HYPERLINK("https://klasma.github.io/Logging_0484/tillsynsmail/A 34985-2025 tillsynsbegäran mail.docx", "A 34985-2025")</f>
        <v/>
      </c>
      <c r="AE44">
        <f>HYPERLINK("https://klasma.github.io/Logging_0484/fåglar/A 34985-2025 prioriterade fågelarter.docx", "A 34985-2025")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46304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59822-2025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46304</v>
      </c>
      <c r="F46" t="inlineStr">
        <is>
          <t>SÖDERMANLANDS LÄN</t>
        </is>
      </c>
      <c r="G46" t="inlineStr">
        <is>
          <t>ESKILSTUNA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Stubbspretmossa
Timmerticka</t>
        </is>
      </c>
      <c r="W46">
        <f>HYPERLINK("https://klasma.github.io/Logging_0484/artfynd/A 59822-2025 artfynd.xlsx", "A 59822-2025")</f>
        <v/>
      </c>
      <c r="X46">
        <f>HYPERLINK("https://klasma.github.io/Logging_0484/kartor/A 59822-2025 karta.png", "A 59822-2025")</f>
        <v/>
      </c>
      <c r="Y46">
        <f>HYPERLINK("https://klasma.github.io/Logging_0484/kartor_geotiff/A 59822-2025 georefererad karta.tif", "A 59822-2025")</f>
        <v/>
      </c>
      <c r="AA46">
        <f>HYPERLINK("https://klasma.github.io/Logging_0484/klagomål/A 59822-2025 FSC-klagomål.docx", "A 59822-2025")</f>
        <v/>
      </c>
      <c r="AB46">
        <f>HYPERLINK("https://klasma.github.io/Logging_0484/klagomålsmail/A 59822-2025 FSC-klagomål mail.docx", "A 59822-2025")</f>
        <v/>
      </c>
      <c r="AC46">
        <f>HYPERLINK("https://klasma.github.io/Logging_0484/tillsyn/A 59822-2025 tillsynsbegäran.docx", "A 59822-2025")</f>
        <v/>
      </c>
      <c r="AD46">
        <f>HYPERLINK("https://klasma.github.io/Logging_0484/tillsynsmail/A 59822-2025 tillsynsbegäran mail.docx", "A 59822-2025")</f>
        <v/>
      </c>
    </row>
    <row r="47" ht="15" customHeight="1">
      <c r="A47" t="inlineStr">
        <is>
          <t>A 22760-2026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46304</v>
      </c>
      <c r="F47" t="inlineStr">
        <is>
          <t>SÖDERMANLANDS LÄN</t>
        </is>
      </c>
      <c r="G47" t="inlineStr">
        <is>
          <t>ESKILSTUNA</t>
        </is>
      </c>
      <c r="I47" t="n">
        <v>4.4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Solvända</t>
        </is>
      </c>
      <c r="W47">
        <f>HYPERLINK("https://klasma.github.io/Logging_0484/artfynd/A 22760-2026 artfynd.xlsx", "A 22760-2026")</f>
        <v/>
      </c>
      <c r="X47">
        <f>HYPERLINK("https://klasma.github.io/Logging_0484/kartor/A 22760-2026 karta.png", "A 22760-2026")</f>
        <v/>
      </c>
      <c r="Y47">
        <f>HYPERLINK("https://klasma.github.io/Logging_0484/kartor_geotiff/A 22760-2026 georefererad karta.tif", "A 22760-2026")</f>
        <v/>
      </c>
      <c r="AA47">
        <f>HYPERLINK("https://klasma.github.io/Logging_0484/klagomål/A 22760-2026 FSC-klagomål.docx", "A 22760-2026")</f>
        <v/>
      </c>
      <c r="AB47">
        <f>HYPERLINK("https://klasma.github.io/Logging_0484/klagomålsmail/A 22760-2026 FSC-klagomål mail.docx", "A 22760-2026")</f>
        <v/>
      </c>
      <c r="AC47">
        <f>HYPERLINK("https://klasma.github.io/Logging_0484/tillsyn/A 22760-2026 tillsynsbegäran.docx", "A 22760-2026")</f>
        <v/>
      </c>
      <c r="AD47">
        <f>HYPERLINK("https://klasma.github.io/Logging_0484/tillsynsmail/A 22760-2026 tillsynsbegäran mail.docx", "A 22760-2026")</f>
        <v/>
      </c>
    </row>
    <row r="48" ht="15" customHeight="1">
      <c r="A48" t="inlineStr">
        <is>
          <t>A 26095-2026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46304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Svinrot
Spillkråka</t>
        </is>
      </c>
      <c r="W48">
        <f>HYPERLINK("https://klasma.github.io/Logging_0484/artfynd/A 26095-2026 artfynd.xlsx", "A 26095-2026")</f>
        <v/>
      </c>
      <c r="X48">
        <f>HYPERLINK("https://klasma.github.io/Logging_0484/kartor/A 26095-2026 karta.png", "A 26095-2026")</f>
        <v/>
      </c>
      <c r="Y48">
        <f>HYPERLINK("https://klasma.github.io/Logging_0484/kartor_geotiff/A 26095-2026 georefererad karta.tif", "A 26095-2026")</f>
        <v/>
      </c>
      <c r="AA48">
        <f>HYPERLINK("https://klasma.github.io/Logging_0484/klagomål/A 26095-2026 FSC-klagomål.docx", "A 26095-2026")</f>
        <v/>
      </c>
      <c r="AB48">
        <f>HYPERLINK("https://klasma.github.io/Logging_0484/klagomålsmail/A 26095-2026 FSC-klagomål mail.docx", "A 26095-2026")</f>
        <v/>
      </c>
      <c r="AC48">
        <f>HYPERLINK("https://klasma.github.io/Logging_0484/tillsyn/A 26095-2026 tillsynsbegäran.docx", "A 26095-2026")</f>
        <v/>
      </c>
      <c r="AD48">
        <f>HYPERLINK("https://klasma.github.io/Logging_0484/tillsynsmail/A 26095-2026 tillsynsbegäran mail.docx", "A 26095-2026")</f>
        <v/>
      </c>
      <c r="AE48">
        <f>HYPERLINK("https://klasma.github.io/Logging_0484/fåglar/A 26095-2026 prioriterade fågelarter.docx", "A 26095-2026")</f>
        <v/>
      </c>
    </row>
    <row r="49" ht="15" customHeight="1">
      <c r="A49" t="inlineStr">
        <is>
          <t>A 26105-2026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46304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Backsippa
Backtimjan</t>
        </is>
      </c>
      <c r="W49">
        <f>HYPERLINK("https://klasma.github.io/Logging_0484/artfynd/A 26105-2026 artfynd.xlsx", "A 26105-2026")</f>
        <v/>
      </c>
      <c r="X49">
        <f>HYPERLINK("https://klasma.github.io/Logging_0484/kartor/A 26105-2026 karta.png", "A 26105-2026")</f>
        <v/>
      </c>
      <c r="Y49">
        <f>HYPERLINK("https://klasma.github.io/Logging_0484/kartor_geotiff/A 26105-2026 georefererad karta.tif", "A 26105-2026")</f>
        <v/>
      </c>
      <c r="AA49">
        <f>HYPERLINK("https://klasma.github.io/Logging_0484/klagomål/A 26105-2026 FSC-klagomål.docx", "A 26105-2026")</f>
        <v/>
      </c>
      <c r="AB49">
        <f>HYPERLINK("https://klasma.github.io/Logging_0484/klagomålsmail/A 26105-2026 FSC-klagomål mail.docx", "A 26105-2026")</f>
        <v/>
      </c>
      <c r="AC49">
        <f>HYPERLINK("https://klasma.github.io/Logging_0484/tillsyn/A 26105-2026 tillsynsbegäran.docx", "A 26105-2026")</f>
        <v/>
      </c>
      <c r="AD49">
        <f>HYPERLINK("https://klasma.github.io/Logging_0484/tillsynsmail/A 26105-2026 tillsynsbegäran mail.docx", "A 26105-2026")</f>
        <v/>
      </c>
    </row>
    <row r="50" ht="15" customHeight="1">
      <c r="A50" t="inlineStr">
        <is>
          <t>A 62009-2024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45655</v>
      </c>
      <c r="E50" s="1" t="n">
        <v>46304</v>
      </c>
      <c r="F50" t="inlineStr">
        <is>
          <t>SÖDERMANLANDS LÄN</t>
        </is>
      </c>
      <c r="G50" t="inlineStr">
        <is>
          <t>ESKILSTUNA</t>
        </is>
      </c>
      <c r="H50" t="inlineStr">
        <is>
          <t>Holmen skog AB</t>
        </is>
      </c>
      <c r="I50" t="n">
        <v>11.9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1</v>
      </c>
      <c r="V50" s="2" t="inlineStr">
        <is>
          <t>Mattlummer
Revlummer</t>
        </is>
      </c>
      <c r="W50">
        <f>HYPERLINK("https://klasma.github.io/Logging_0484/artfynd/A 62009-2024 artfynd.xlsx", "A 62009-2024")</f>
        <v/>
      </c>
      <c r="X50">
        <f>HYPERLINK("https://klasma.github.io/Logging_0484/kartor/A 62009-2024 karta.png", "A 62009-2024")</f>
        <v/>
      </c>
      <c r="Y50">
        <f>HYPERLINK("https://klasma.github.io/Logging_0484/kartor_geotiff/A 62009-2024 georefererad karta.tif", "A 62009-2024")</f>
        <v/>
      </c>
      <c r="AA50">
        <f>HYPERLINK("https://klasma.github.io/Logging_0484/klagomål/A 62009-2024 FSC-klagomål.docx", "A 62009-2024")</f>
        <v/>
      </c>
      <c r="AB50">
        <f>HYPERLINK("https://klasma.github.io/Logging_0484/klagomålsmail/A 62009-2024 FSC-klagomål mail.docx", "A 62009-2024")</f>
        <v/>
      </c>
      <c r="AC50">
        <f>HYPERLINK("https://klasma.github.io/Logging_0484/tillsyn/A 62009-2024 tillsynsbegäran.docx", "A 62009-2024")</f>
        <v/>
      </c>
      <c r="AD50">
        <f>HYPERLINK("https://klasma.github.io/Logging_0484/tillsynsmail/A 62009-2024 tillsynsbegäran mail.docx", "A 62009-2024")</f>
        <v/>
      </c>
    </row>
    <row r="51" ht="15" customHeight="1">
      <c r="A51" t="inlineStr">
        <is>
          <t>A 32314-2023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45120</v>
      </c>
      <c r="E51" s="1" t="n">
        <v>46304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Grovticka
Svavelriska</t>
        </is>
      </c>
      <c r="W51">
        <f>HYPERLINK("https://klasma.github.io/Logging_0484/artfynd/A 32314-2023 artfynd.xlsx", "A 32314-2023")</f>
        <v/>
      </c>
      <c r="X51">
        <f>HYPERLINK("https://klasma.github.io/Logging_0484/kartor/A 32314-2023 karta.png", "A 32314-2023")</f>
        <v/>
      </c>
      <c r="Y51">
        <f>HYPERLINK("https://klasma.github.io/Logging_0484/kartor_geotiff/A 32314-2023 georefererad karta.tif", "A 32314-2023")</f>
        <v/>
      </c>
      <c r="AA51">
        <f>HYPERLINK("https://klasma.github.io/Logging_0484/klagomål/A 32314-2023 FSC-klagomål.docx", "A 32314-2023")</f>
        <v/>
      </c>
      <c r="AB51">
        <f>HYPERLINK("https://klasma.github.io/Logging_0484/klagomålsmail/A 32314-2023 FSC-klagomål mail.docx", "A 32314-2023")</f>
        <v/>
      </c>
      <c r="AC51">
        <f>HYPERLINK("https://klasma.github.io/Logging_0484/tillsyn/A 32314-2023 tillsynsbegäran.docx", "A 32314-2023")</f>
        <v/>
      </c>
      <c r="AD51">
        <f>HYPERLINK("https://klasma.github.io/Logging_0484/tillsynsmail/A 32314-2023 tillsynsbegäran mail.docx", "A 32314-2023")</f>
        <v/>
      </c>
    </row>
    <row r="52" ht="15" customHeight="1">
      <c r="A52" t="inlineStr">
        <is>
          <t>A 51326-2024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46304</v>
      </c>
      <c r="F52" t="inlineStr">
        <is>
          <t>SÖDERMANLANDS LÄN</t>
        </is>
      </c>
      <c r="G52" t="inlineStr">
        <is>
          <t>ESKILSTUNA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Myskbock
Blåsippa</t>
        </is>
      </c>
      <c r="W52">
        <f>HYPERLINK("https://klasma.github.io/Logging_0484/artfynd/A 51326-2024 artfynd.xlsx", "A 51326-2024")</f>
        <v/>
      </c>
      <c r="X52">
        <f>HYPERLINK("https://klasma.github.io/Logging_0484/kartor/A 51326-2024 karta.png", "A 51326-2024")</f>
        <v/>
      </c>
      <c r="Y52">
        <f>HYPERLINK("https://klasma.github.io/Logging_0484/kartor_geotiff/A 51326-2024 georefererad karta.tif", "A 51326-2024")</f>
        <v/>
      </c>
      <c r="AA52">
        <f>HYPERLINK("https://klasma.github.io/Logging_0484/klagomål/A 51326-2024 FSC-klagomål.docx", "A 51326-2024")</f>
        <v/>
      </c>
      <c r="AB52">
        <f>HYPERLINK("https://klasma.github.io/Logging_0484/klagomålsmail/A 51326-2024 FSC-klagomål mail.docx", "A 51326-2024")</f>
        <v/>
      </c>
      <c r="AC52">
        <f>HYPERLINK("https://klasma.github.io/Logging_0484/tillsyn/A 51326-2024 tillsynsbegäran.docx", "A 51326-2024")</f>
        <v/>
      </c>
      <c r="AD52">
        <f>HYPERLINK("https://klasma.github.io/Logging_0484/tillsynsmail/A 51326-2024 tillsynsbegäran mail.docx", "A 51326-2024")</f>
        <v/>
      </c>
    </row>
    <row r="53" ht="15" customHeight="1">
      <c r="A53" t="inlineStr">
        <is>
          <t>A 61105-2025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46000</v>
      </c>
      <c r="E53" s="1" t="n">
        <v>46304</v>
      </c>
      <c r="F53" t="inlineStr">
        <is>
          <t>SÖDERMANLANDS LÄN</t>
        </is>
      </c>
      <c r="G53" t="inlineStr">
        <is>
          <t>ESKILSTUNA</t>
        </is>
      </c>
      <c r="H53" t="inlineStr">
        <is>
          <t>Allmännings- och besparingsskogar</t>
        </is>
      </c>
      <c r="I53" t="n">
        <v>1.1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Krusfrö
Tibast</t>
        </is>
      </c>
      <c r="W53">
        <f>HYPERLINK("https://klasma.github.io/Logging_0484/artfynd/A 61105-2025 artfynd.xlsx", "A 61105-2025")</f>
        <v/>
      </c>
      <c r="X53">
        <f>HYPERLINK("https://klasma.github.io/Logging_0484/kartor/A 61105-2025 karta.png", "A 61105-2025")</f>
        <v/>
      </c>
      <c r="Y53">
        <f>HYPERLINK("https://klasma.github.io/Logging_0484/kartor_geotiff/A 61105-2025 georefererad karta.tif", "A 61105-2025")</f>
        <v/>
      </c>
      <c r="AA53">
        <f>HYPERLINK("https://klasma.github.io/Logging_0484/klagomål/A 61105-2025 FSC-klagomål.docx", "A 61105-2025")</f>
        <v/>
      </c>
      <c r="AB53">
        <f>HYPERLINK("https://klasma.github.io/Logging_0484/klagomålsmail/A 61105-2025 FSC-klagomål mail.docx", "A 61105-2025")</f>
        <v/>
      </c>
      <c r="AC53">
        <f>HYPERLINK("https://klasma.github.io/Logging_0484/tillsyn/A 61105-2025 tillsynsbegäran.docx", "A 61105-2025")</f>
        <v/>
      </c>
      <c r="AD53">
        <f>HYPERLINK("https://klasma.github.io/Logging_0484/tillsynsmail/A 61105-2025 tillsynsbegäran mail.docx", "A 61105-2025")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46304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46304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46304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46304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46304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46304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46304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46304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46304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46304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57349-2021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44483</v>
      </c>
      <c r="E64" s="1" t="n">
        <v>46304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Gullviva</t>
        </is>
      </c>
      <c r="W64">
        <f>HYPERLINK("https://klasma.github.io/Logging_0484/artfynd/A 57349-2021 artfynd.xlsx", "A 57349-2021")</f>
        <v/>
      </c>
      <c r="X64">
        <f>HYPERLINK("https://klasma.github.io/Logging_0484/kartor/A 57349-2021 karta.png", "A 57349-2021")</f>
        <v/>
      </c>
      <c r="Y64">
        <f>HYPERLINK("https://klasma.github.io/Logging_0484/kartor_geotiff/A 57349-2021 georefererad karta.tif", "A 57349-2021")</f>
        <v/>
      </c>
      <c r="AA64">
        <f>HYPERLINK("https://klasma.github.io/Logging_0484/klagomål/A 57349-2021 FSC-klagomål.docx", "A 57349-2021")</f>
        <v/>
      </c>
      <c r="AB64">
        <f>HYPERLINK("https://klasma.github.io/Logging_0484/klagomålsmail/A 57349-2021 FSC-klagomål mail.docx", "A 57349-2021")</f>
        <v/>
      </c>
      <c r="AC64">
        <f>HYPERLINK("https://klasma.github.io/Logging_0484/tillsyn/A 57349-2021 tillsynsbegäran.docx", "A 57349-2021")</f>
        <v/>
      </c>
      <c r="AD64">
        <f>HYPERLINK("https://klasma.github.io/Logging_0484/tillsynsmail/A 57349-2021 tillsynsbegäran mail.docx", "A 57349-2021")</f>
        <v/>
      </c>
    </row>
    <row r="65" ht="15" customHeight="1">
      <c r="A65" t="inlineStr">
        <is>
          <t>A 50760-2023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46304</v>
      </c>
      <c r="F65" t="inlineStr">
        <is>
          <t>SÖDERMANLANDS LÄN</t>
        </is>
      </c>
      <c r="G65" t="inlineStr">
        <is>
          <t>ESKILSTUNA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Pärluggla</t>
        </is>
      </c>
      <c r="W65">
        <f>HYPERLINK("https://klasma.github.io/Logging_0484/artfynd/A 50760-2023 artfynd.xlsx", "A 50760-2023")</f>
        <v/>
      </c>
      <c r="X65">
        <f>HYPERLINK("https://klasma.github.io/Logging_0484/kartor/A 50760-2023 karta.png", "A 50760-2023")</f>
        <v/>
      </c>
      <c r="Y65">
        <f>HYPERLINK("https://klasma.github.io/Logging_0484/kartor_geotiff/A 50760-2023 georefererad karta.tif", "A 50760-2023")</f>
        <v/>
      </c>
      <c r="AA65">
        <f>HYPERLINK("https://klasma.github.io/Logging_0484/klagomål/A 50760-2023 FSC-klagomål.docx", "A 50760-2023")</f>
        <v/>
      </c>
      <c r="AB65">
        <f>HYPERLINK("https://klasma.github.io/Logging_0484/klagomålsmail/A 50760-2023 FSC-klagomål mail.docx", "A 50760-2023")</f>
        <v/>
      </c>
      <c r="AC65">
        <f>HYPERLINK("https://klasma.github.io/Logging_0484/tillsyn/A 50760-2023 tillsynsbegäran.docx", "A 50760-2023")</f>
        <v/>
      </c>
      <c r="AD65">
        <f>HYPERLINK("https://klasma.github.io/Logging_0484/tillsynsmail/A 50760-2023 tillsynsbegäran mail.docx", "A 50760-2023")</f>
        <v/>
      </c>
      <c r="AE65">
        <f>HYPERLINK("https://klasma.github.io/Logging_0484/fåglar/A 50760-2023 prioriterade fågelarter.docx", "A 50760-2023")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46304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46304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46304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5203-2025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45691</v>
      </c>
      <c r="E69" s="1" t="n">
        <v>46304</v>
      </c>
      <c r="F69" t="inlineStr">
        <is>
          <t>SÖDERMANLANDS LÄN</t>
        </is>
      </c>
      <c r="G69" t="inlineStr">
        <is>
          <t>ESKILSTUNA</t>
        </is>
      </c>
      <c r="H69" t="inlineStr">
        <is>
          <t>Holmen skog AB</t>
        </is>
      </c>
      <c r="I69" t="n">
        <v>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Nattskärra</t>
        </is>
      </c>
      <c r="W69">
        <f>HYPERLINK("https://klasma.github.io/Logging_0484/artfynd/A 5203-2025 artfynd.xlsx", "A 5203-2025")</f>
        <v/>
      </c>
      <c r="X69">
        <f>HYPERLINK("https://klasma.github.io/Logging_0484/kartor/A 5203-2025 karta.png", "A 5203-2025")</f>
        <v/>
      </c>
      <c r="Y69">
        <f>HYPERLINK("https://klasma.github.io/Logging_0484/kartor_geotiff/A 5203-2025 georefererad karta.tif", "A 5203-2025")</f>
        <v/>
      </c>
      <c r="AA69">
        <f>HYPERLINK("https://klasma.github.io/Logging_0484/klagomål/A 5203-2025 FSC-klagomål.docx", "A 5203-2025")</f>
        <v/>
      </c>
      <c r="AB69">
        <f>HYPERLINK("https://klasma.github.io/Logging_0484/klagomålsmail/A 5203-2025 FSC-klagomål mail.docx", "A 5203-2025")</f>
        <v/>
      </c>
      <c r="AC69">
        <f>HYPERLINK("https://klasma.github.io/Logging_0484/tillsyn/A 5203-2025 tillsynsbegäran.docx", "A 5203-2025")</f>
        <v/>
      </c>
      <c r="AD69">
        <f>HYPERLINK("https://klasma.github.io/Logging_0484/tillsynsmail/A 5203-2025 tillsynsbegäran mail.docx", "A 5203-2025")</f>
        <v/>
      </c>
      <c r="AE69">
        <f>HYPERLINK("https://klasma.github.io/Logging_0484/fåglar/A 5203-2025 prioriterade fågelarter.docx", "A 5203-2025")</f>
        <v/>
      </c>
    </row>
    <row r="70" ht="15" customHeight="1">
      <c r="A70" t="inlineStr">
        <is>
          <t>A 15608-2026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46304</v>
      </c>
      <c r="F70" t="inlineStr">
        <is>
          <t>SÖDERMANLANDS LÄN</t>
        </is>
      </c>
      <c r="G70" t="inlineStr">
        <is>
          <t>ESKILSTUNA</t>
        </is>
      </c>
      <c r="I70" t="n">
        <v>9.6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15608-2026 artfynd.xlsx", "A 15608-2026")</f>
        <v/>
      </c>
      <c r="X70">
        <f>HYPERLINK("https://klasma.github.io/Logging_0484/kartor/A 15608-2026 karta.png", "A 15608-2026")</f>
        <v/>
      </c>
      <c r="Y70">
        <f>HYPERLINK("https://klasma.github.io/Logging_0484/kartor_geotiff/A 15608-2026 georefererad karta.tif", "A 15608-2026")</f>
        <v/>
      </c>
      <c r="AA70">
        <f>HYPERLINK("https://klasma.github.io/Logging_0484/klagomål/A 15608-2026 FSC-klagomål.docx", "A 15608-2026")</f>
        <v/>
      </c>
      <c r="AB70">
        <f>HYPERLINK("https://klasma.github.io/Logging_0484/klagomålsmail/A 15608-2026 FSC-klagomål mail.docx", "A 15608-2026")</f>
        <v/>
      </c>
      <c r="AC70">
        <f>HYPERLINK("https://klasma.github.io/Logging_0484/tillsyn/A 15608-2026 tillsynsbegäran.docx", "A 15608-2026")</f>
        <v/>
      </c>
      <c r="AD70">
        <f>HYPERLINK("https://klasma.github.io/Logging_0484/tillsynsmail/A 15608-2026 tillsynsbegäran mail.docx", "A 15608-2026")</f>
        <v/>
      </c>
    </row>
    <row r="71" ht="15" customHeight="1">
      <c r="A71" t="inlineStr">
        <is>
          <t>A 52840-2025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46304</v>
      </c>
      <c r="F71" t="inlineStr">
        <is>
          <t>SÖDERMANLANDS LÄN</t>
        </is>
      </c>
      <c r="G71" t="inlineStr">
        <is>
          <t>ESKILSTUNA</t>
        </is>
      </c>
      <c r="I71" t="n">
        <v>1.3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Skrovlig taggsvamp</t>
        </is>
      </c>
      <c r="W71">
        <f>HYPERLINK("https://klasma.github.io/Logging_0484/artfynd/A 52840-2025 artfynd.xlsx", "A 52840-2025")</f>
        <v/>
      </c>
      <c r="X71">
        <f>HYPERLINK("https://klasma.github.io/Logging_0484/kartor/A 52840-2025 karta.png", "A 52840-2025")</f>
        <v/>
      </c>
      <c r="Y71">
        <f>HYPERLINK("https://klasma.github.io/Logging_0484/kartor_geotiff/A 52840-2025 georefererad karta.tif", "A 52840-2025")</f>
        <v/>
      </c>
      <c r="AA71">
        <f>HYPERLINK("https://klasma.github.io/Logging_0484/klagomål/A 52840-2025 FSC-klagomål.docx", "A 52840-2025")</f>
        <v/>
      </c>
      <c r="AB71">
        <f>HYPERLINK("https://klasma.github.io/Logging_0484/klagomålsmail/A 52840-2025 FSC-klagomål mail.docx", "A 52840-2025")</f>
        <v/>
      </c>
      <c r="AC71">
        <f>HYPERLINK("https://klasma.github.io/Logging_0484/tillsyn/A 52840-2025 tillsynsbegäran.docx", "A 52840-2025")</f>
        <v/>
      </c>
      <c r="AD71">
        <f>HYPERLINK("https://klasma.github.io/Logging_0484/tillsynsmail/A 52840-2025 tillsynsbegäran mail.docx", "A 52840-2025")</f>
        <v/>
      </c>
    </row>
    <row r="72" ht="15" customHeight="1">
      <c r="A72" t="inlineStr">
        <is>
          <t>A 14327-2023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45012</v>
      </c>
      <c r="E72" s="1" t="n">
        <v>46304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Kommuner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HYPERLINK("https://klasma.github.io/Logging_0484/artfynd/A 14327-2023 artfynd.xlsx", "A 14327-2023")</f>
        <v/>
      </c>
      <c r="X72">
        <f>HYPERLINK("https://klasma.github.io/Logging_0484/kartor/A 14327-2023 karta.png", "A 14327-2023")</f>
        <v/>
      </c>
      <c r="Y72">
        <f>HYPERLINK("https://klasma.github.io/Logging_0484/kartor_geotiff/A 14327-2023 georefererad karta.tif", "A 14327-2023")</f>
        <v/>
      </c>
      <c r="AA72">
        <f>HYPERLINK("https://klasma.github.io/Logging_0484/klagomål/A 14327-2023 FSC-klagomål.docx", "A 14327-2023")</f>
        <v/>
      </c>
      <c r="AB72">
        <f>HYPERLINK("https://klasma.github.io/Logging_0484/klagomålsmail/A 14327-2023 FSC-klagomål mail.docx", "A 14327-2023")</f>
        <v/>
      </c>
      <c r="AC72">
        <f>HYPERLINK("https://klasma.github.io/Logging_0484/tillsyn/A 14327-2023 tillsynsbegäran.docx", "A 14327-2023")</f>
        <v/>
      </c>
      <c r="AD72">
        <f>HYPERLINK("https://klasma.github.io/Logging_0484/tillsynsmail/A 14327-2023 tillsynsbegäran mail.docx", "A 14327-2023")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46304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46304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46304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46304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46304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38361-2024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45545</v>
      </c>
      <c r="E78" s="1" t="n">
        <v>46304</v>
      </c>
      <c r="F78" t="inlineStr">
        <is>
          <t>SÖDERMANLANDS LÄN</t>
        </is>
      </c>
      <c r="G78" t="inlineStr">
        <is>
          <t>ESKILSTUNA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HYPERLINK("https://klasma.github.io/Logging_0484/artfynd/A 38361-2024 artfynd.xlsx", "A 38361-2024")</f>
        <v/>
      </c>
      <c r="X78">
        <f>HYPERLINK("https://klasma.github.io/Logging_0484/kartor/A 38361-2024 karta.png", "A 38361-2024")</f>
        <v/>
      </c>
      <c r="Y78">
        <f>HYPERLINK("https://klasma.github.io/Logging_0484/kartor_geotiff/A 38361-2024 georefererad karta.tif", "A 38361-2024")</f>
        <v/>
      </c>
      <c r="AA78">
        <f>HYPERLINK("https://klasma.github.io/Logging_0484/klagomål/A 38361-2024 FSC-klagomål.docx", "A 38361-2024")</f>
        <v/>
      </c>
      <c r="AB78">
        <f>HYPERLINK("https://klasma.github.io/Logging_0484/klagomålsmail/A 38361-2024 FSC-klagomål mail.docx", "A 38361-2024")</f>
        <v/>
      </c>
      <c r="AC78">
        <f>HYPERLINK("https://klasma.github.io/Logging_0484/tillsyn/A 38361-2024 tillsynsbegäran.docx", "A 38361-2024")</f>
        <v/>
      </c>
      <c r="AD78">
        <f>HYPERLINK("https://klasma.github.io/Logging_0484/tillsynsmail/A 38361-2024 tillsynsbegäran mail.docx", "A 38361-2024")</f>
        <v/>
      </c>
      <c r="AE78">
        <f>HYPERLINK("https://klasma.github.io/Logging_0484/fåglar/A 38361-2024 prioriterade fågelarter.docx", "A 38361-2024")</f>
        <v/>
      </c>
    </row>
    <row r="79" ht="15" customHeight="1">
      <c r="A79" t="inlineStr">
        <is>
          <t>A 67047-2021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44522</v>
      </c>
      <c r="E79" s="1" t="n">
        <v>46304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Kyrkan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HYPERLINK("https://klasma.github.io/Logging_0484/artfynd/A 67047-2021 artfynd.xlsx", "A 67047-2021")</f>
        <v/>
      </c>
      <c r="X79">
        <f>HYPERLINK("https://klasma.github.io/Logging_0484/kartor/A 67047-2021 karta.png", "A 67047-2021")</f>
        <v/>
      </c>
      <c r="Y79">
        <f>HYPERLINK("https://klasma.github.io/Logging_0484/kartor_geotiff/A 67047-2021 georefererad karta.tif", "A 67047-2021")</f>
        <v/>
      </c>
      <c r="AA79">
        <f>HYPERLINK("https://klasma.github.io/Logging_0484/klagomål/A 67047-2021 FSC-klagomål.docx", "A 67047-2021")</f>
        <v/>
      </c>
      <c r="AB79">
        <f>HYPERLINK("https://klasma.github.io/Logging_0484/klagomålsmail/A 67047-2021 FSC-klagomål mail.docx", "A 67047-2021")</f>
        <v/>
      </c>
      <c r="AC79">
        <f>HYPERLINK("https://klasma.github.io/Logging_0484/tillsyn/A 67047-2021 tillsynsbegäran.docx", "A 67047-2021")</f>
        <v/>
      </c>
      <c r="AD79">
        <f>HYPERLINK("https://klasma.github.io/Logging_0484/tillsynsmail/A 67047-2021 tillsynsbegäran mail.docx", "A 67047-2021")</f>
        <v/>
      </c>
    </row>
    <row r="80" ht="15" customHeight="1">
      <c r="A80" t="inlineStr">
        <is>
          <t>A 26097-2026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46304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HYPERLINK("https://klasma.github.io/Logging_0484/artfynd/A 26097-2026 artfynd.xlsx", "A 26097-2026")</f>
        <v/>
      </c>
      <c r="X80">
        <f>HYPERLINK("https://klasma.github.io/Logging_0484/kartor/A 26097-2026 karta.png", "A 26097-2026")</f>
        <v/>
      </c>
      <c r="Y80">
        <f>HYPERLINK("https://klasma.github.io/Logging_0484/kartor_geotiff/A 26097-2026 georefererad karta.tif", "A 26097-2026")</f>
        <v/>
      </c>
      <c r="AA80">
        <f>HYPERLINK("https://klasma.github.io/Logging_0484/klagomål/A 26097-2026 FSC-klagomål.docx", "A 26097-2026")</f>
        <v/>
      </c>
      <c r="AB80">
        <f>HYPERLINK("https://klasma.github.io/Logging_0484/klagomålsmail/A 26097-2026 FSC-klagomål mail.docx", "A 26097-2026")</f>
        <v/>
      </c>
      <c r="AC80">
        <f>HYPERLINK("https://klasma.github.io/Logging_0484/tillsyn/A 26097-2026 tillsynsbegäran.docx", "A 26097-2026")</f>
        <v/>
      </c>
      <c r="AD80">
        <f>HYPERLINK("https://klasma.github.io/Logging_0484/tillsynsmail/A 26097-2026 tillsynsbegäran mail.docx", "A 26097-2026")</f>
        <v/>
      </c>
    </row>
    <row r="81" ht="15" customHeight="1">
      <c r="A81" t="inlineStr">
        <is>
          <t>A 26008-2026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46304</v>
      </c>
      <c r="F81" t="inlineStr">
        <is>
          <t>SÖDERMANLANDS LÄN</t>
        </is>
      </c>
      <c r="G81" t="inlineStr">
        <is>
          <t>ESKILSTUNA</t>
        </is>
      </c>
      <c r="I81" t="n">
        <v>2.8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8</v>
      </c>
      <c r="U81" t="n">
        <v>0</v>
      </c>
      <c r="V81" s="2" t="inlineStr">
        <is>
          <t>Svart trolldruva</t>
        </is>
      </c>
      <c r="W81">
        <f>HYPERLINK("https://klasma.github.io/Logging_0484/artfynd/A 26008-2026 artfynd.xlsx", "A 26008-2026")</f>
        <v/>
      </c>
      <c r="X81">
        <f>HYPERLINK("https://klasma.github.io/Logging_0484/kartor/A 26008-2026 karta.png", "A 26008-2026")</f>
        <v/>
      </c>
      <c r="Y81">
        <f>HYPERLINK("https://klasma.github.io/Logging_0484/kartor_geotiff/A 26008-2026 georefererad karta.tif", "A 26008-2026")</f>
        <v/>
      </c>
      <c r="AA81">
        <f>HYPERLINK("https://klasma.github.io/Logging_0484/klagomål/A 26008-2026 FSC-klagomål.docx", "A 26008-2026")</f>
        <v/>
      </c>
      <c r="AB81">
        <f>HYPERLINK("https://klasma.github.io/Logging_0484/klagomålsmail/A 26008-2026 FSC-klagomål mail.docx", "A 26008-2026")</f>
        <v/>
      </c>
      <c r="AC81">
        <f>HYPERLINK("https://klasma.github.io/Logging_0484/tillsyn/A 26008-2026 tillsynsbegäran.docx", "A 26008-2026")</f>
        <v/>
      </c>
      <c r="AD81">
        <f>HYPERLINK("https://klasma.github.io/Logging_0484/tillsynsmail/A 26008-2026 tillsynsbegäran mail.docx", "A 26008-2026")</f>
        <v/>
      </c>
    </row>
    <row r="82" ht="15" customHeight="1">
      <c r="A82" t="inlineStr">
        <is>
          <t>A 26094-2026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46304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HYPERLINK("https://klasma.github.io/Logging_0484/artfynd/A 26094-2026 artfynd.xlsx", "A 26094-2026")</f>
        <v/>
      </c>
      <c r="X82">
        <f>HYPERLINK("https://klasma.github.io/Logging_0484/kartor/A 26094-2026 karta.png", "A 26094-2026")</f>
        <v/>
      </c>
      <c r="Y82">
        <f>HYPERLINK("https://klasma.github.io/Logging_0484/kartor_geotiff/A 26094-2026 georefererad karta.tif", "A 26094-2026")</f>
        <v/>
      </c>
      <c r="AA82">
        <f>HYPERLINK("https://klasma.github.io/Logging_0484/klagomål/A 26094-2026 FSC-klagomål.docx", "A 26094-2026")</f>
        <v/>
      </c>
      <c r="AB82">
        <f>HYPERLINK("https://klasma.github.io/Logging_0484/klagomålsmail/A 26094-2026 FSC-klagomål mail.docx", "A 26094-2026")</f>
        <v/>
      </c>
      <c r="AC82">
        <f>HYPERLINK("https://klasma.github.io/Logging_0484/tillsyn/A 26094-2026 tillsynsbegäran.docx", "A 26094-2026")</f>
        <v/>
      </c>
      <c r="AD82">
        <f>HYPERLINK("https://klasma.github.io/Logging_0484/tillsynsmail/A 26094-2026 tillsynsbegäran mail.docx", "A 26094-2026")</f>
        <v/>
      </c>
      <c r="AE82">
        <f>HYPERLINK("https://klasma.github.io/Logging_0484/fåglar/A 26094-2026 prioriterade fågelarter.docx", "A 26094-2026")</f>
        <v/>
      </c>
    </row>
    <row r="83" ht="15" customHeight="1">
      <c r="A83" t="inlineStr">
        <is>
          <t>A 27892-2026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46304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Nattviol</t>
        </is>
      </c>
      <c r="W83">
        <f>HYPERLINK("https://klasma.github.io/Logging_0484/artfynd/A 27892-2026 artfynd.xlsx", "A 27892-2026")</f>
        <v/>
      </c>
      <c r="X83">
        <f>HYPERLINK("https://klasma.github.io/Logging_0484/kartor/A 27892-2026 karta.png", "A 27892-2026")</f>
        <v/>
      </c>
      <c r="Y83">
        <f>HYPERLINK("https://klasma.github.io/Logging_0484/kartor_geotiff/A 27892-2026 georefererad karta.tif", "A 27892-2026")</f>
        <v/>
      </c>
      <c r="AA83">
        <f>HYPERLINK("https://klasma.github.io/Logging_0484/klagomål/A 27892-2026 FSC-klagomål.docx", "A 27892-2026")</f>
        <v/>
      </c>
      <c r="AB83">
        <f>HYPERLINK("https://klasma.github.io/Logging_0484/klagomålsmail/A 27892-2026 FSC-klagomål mail.docx", "A 27892-2026")</f>
        <v/>
      </c>
      <c r="AC83">
        <f>HYPERLINK("https://klasma.github.io/Logging_0484/tillsyn/A 27892-2026 tillsynsbegäran.docx", "A 27892-2026")</f>
        <v/>
      </c>
      <c r="AD83">
        <f>HYPERLINK("https://klasma.github.io/Logging_0484/tillsynsmail/A 27892-2026 tillsynsbegäran mail.docx", "A 27892-2026")</f>
        <v/>
      </c>
    </row>
    <row r="84" ht="15" customHeight="1">
      <c r="A84" t="inlineStr">
        <is>
          <t>A 47648-2022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46304</v>
      </c>
      <c r="F84" t="inlineStr">
        <is>
          <t>SÖDERMANLANDS LÄN</t>
        </is>
      </c>
      <c r="G84" t="inlineStr">
        <is>
          <t>ESKILSTUNA</t>
        </is>
      </c>
      <c r="I84" t="n">
        <v>1.8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Grönsångare</t>
        </is>
      </c>
      <c r="W84">
        <f>HYPERLINK("https://klasma.github.io/Logging_0484/artfynd/A 47648-2022 artfynd.xlsx", "A 47648-2022")</f>
        <v/>
      </c>
      <c r="X84">
        <f>HYPERLINK("https://klasma.github.io/Logging_0484/kartor/A 47648-2022 karta.png", "A 47648-2022")</f>
        <v/>
      </c>
      <c r="Y84">
        <f>HYPERLINK("https://klasma.github.io/Logging_0484/kartor_geotiff/A 47648-2022 georefererad karta.tif", "A 47648-2022")</f>
        <v/>
      </c>
      <c r="AA84">
        <f>HYPERLINK("https://klasma.github.io/Logging_0484/klagomål/A 47648-2022 FSC-klagomål.docx", "A 47648-2022")</f>
        <v/>
      </c>
      <c r="AB84">
        <f>HYPERLINK("https://klasma.github.io/Logging_0484/klagomålsmail/A 47648-2022 FSC-klagomål mail.docx", "A 47648-2022")</f>
        <v/>
      </c>
      <c r="AC84">
        <f>HYPERLINK("https://klasma.github.io/Logging_0484/tillsyn/A 47648-2022 tillsynsbegäran.docx", "A 47648-2022")</f>
        <v/>
      </c>
      <c r="AD84">
        <f>HYPERLINK("https://klasma.github.io/Logging_0484/tillsynsmail/A 47648-2022 tillsynsbegäran mail.docx", "A 47648-2022")</f>
        <v/>
      </c>
      <c r="AE84">
        <f>HYPERLINK("https://klasma.github.io/Logging_0484/fåglar/A 47648-2022 prioriterade fågelarter.docx", "A 47648-2022")</f>
        <v/>
      </c>
    </row>
    <row r="85" ht="15" customHeight="1">
      <c r="A85" t="inlineStr">
        <is>
          <t>A 53399-2023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46304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Grönvit nattviol</t>
        </is>
      </c>
      <c r="W85">
        <f>HYPERLINK("https://klasma.github.io/Logging_0484/artfynd/A 53399-2023 artfynd.xlsx", "A 53399-2023")</f>
        <v/>
      </c>
      <c r="X85">
        <f>HYPERLINK("https://klasma.github.io/Logging_0484/kartor/A 53399-2023 karta.png", "A 53399-2023")</f>
        <v/>
      </c>
      <c r="Y85">
        <f>HYPERLINK("https://klasma.github.io/Logging_0484/kartor_geotiff/A 53399-2023 georefererad karta.tif", "A 53399-2023")</f>
        <v/>
      </c>
      <c r="AA85">
        <f>HYPERLINK("https://klasma.github.io/Logging_0484/klagomål/A 53399-2023 FSC-klagomål.docx", "A 53399-2023")</f>
        <v/>
      </c>
      <c r="AB85">
        <f>HYPERLINK("https://klasma.github.io/Logging_0484/klagomålsmail/A 53399-2023 FSC-klagomål mail.docx", "A 53399-2023")</f>
        <v/>
      </c>
      <c r="AC85">
        <f>HYPERLINK("https://klasma.github.io/Logging_0484/tillsyn/A 53399-2023 tillsynsbegäran.docx", "A 53399-2023")</f>
        <v/>
      </c>
      <c r="AD85">
        <f>HYPERLINK("https://klasma.github.io/Logging_0484/tillsynsmail/A 53399-2023 tillsynsbegäran mail.docx", "A 53399-2023")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46304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29047-2026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46199</v>
      </c>
      <c r="E87" s="1" t="n">
        <v>46304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Kandelabersvamp</t>
        </is>
      </c>
      <c r="W87">
        <f>HYPERLINK("https://klasma.github.io/Logging_0484/artfynd/A 29047-2026 artfynd.xlsx", "A 29047-2026")</f>
        <v/>
      </c>
      <c r="X87">
        <f>HYPERLINK("https://klasma.github.io/Logging_0484/kartor/A 29047-2026 karta.png", "A 29047-2026")</f>
        <v/>
      </c>
      <c r="Y87">
        <f>HYPERLINK("https://klasma.github.io/Logging_0484/kartor_geotiff/A 29047-2026 georefererad karta.tif", "A 29047-2026")</f>
        <v/>
      </c>
      <c r="AA87">
        <f>HYPERLINK("https://klasma.github.io/Logging_0484/klagomål/A 29047-2026 FSC-klagomål.docx", "A 29047-2026")</f>
        <v/>
      </c>
      <c r="AB87">
        <f>HYPERLINK("https://klasma.github.io/Logging_0484/klagomålsmail/A 29047-2026 FSC-klagomål mail.docx", "A 29047-2026")</f>
        <v/>
      </c>
      <c r="AC87">
        <f>HYPERLINK("https://klasma.github.io/Logging_0484/tillsyn/A 29047-2026 tillsynsbegäran.docx", "A 29047-2026")</f>
        <v/>
      </c>
      <c r="AD87">
        <f>HYPERLINK("https://klasma.github.io/Logging_0484/tillsynsmail/A 29047-2026 tillsynsbegäran mail.docx", "A 29047-2026")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46304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46304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46304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39011-2026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46287</v>
      </c>
      <c r="E91" s="1" t="n">
        <v>46304</v>
      </c>
      <c r="F91" t="inlineStr">
        <is>
          <t>SÖDERMANLANDS LÄN</t>
        </is>
      </c>
      <c r="G91" t="inlineStr">
        <is>
          <t>ESKILSTUNA</t>
        </is>
      </c>
      <c r="I91" t="n">
        <v>10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Blåsippa</t>
        </is>
      </c>
      <c r="W91">
        <f>HYPERLINK("https://klasma.github.io/Logging_0484/artfynd/A 39011-2026 artfynd.xlsx", "A 39011-2026")</f>
        <v/>
      </c>
      <c r="X91">
        <f>HYPERLINK("https://klasma.github.io/Logging_0484/kartor/A 39011-2026 karta.png", "A 39011-2026")</f>
        <v/>
      </c>
      <c r="Y91">
        <f>HYPERLINK("https://klasma.github.io/Logging_0484/kartor_geotiff/A 39011-2026 georefererad karta.tif", "A 39011-2026")</f>
        <v/>
      </c>
      <c r="AA91">
        <f>HYPERLINK("https://klasma.github.io/Logging_0484/klagomål/A 39011-2026 FSC-klagomål.docx", "A 39011-2026")</f>
        <v/>
      </c>
      <c r="AB91">
        <f>HYPERLINK("https://klasma.github.io/Logging_0484/klagomålsmail/A 39011-2026 FSC-klagomål mail.docx", "A 39011-2026")</f>
        <v/>
      </c>
      <c r="AC91">
        <f>HYPERLINK("https://klasma.github.io/Logging_0484/tillsyn/A 39011-2026 tillsynsbegäran.docx", "A 39011-2026")</f>
        <v/>
      </c>
      <c r="AD91">
        <f>HYPERLINK("https://klasma.github.io/Logging_0484/tillsynsmail/A 39011-2026 tillsynsbegäran mail.docx", "A 39011-2026")</f>
        <v/>
      </c>
    </row>
    <row r="92" ht="15" customHeight="1">
      <c r="A92" t="inlineStr">
        <is>
          <t>A 31056-2025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46304</v>
      </c>
      <c r="F92" t="inlineStr">
        <is>
          <t>SÖDERMANLANDS LÄN</t>
        </is>
      </c>
      <c r="G92" t="inlineStr">
        <is>
          <t>ESKILSTUNA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Skogsklocka</t>
        </is>
      </c>
      <c r="W92">
        <f>HYPERLINK("https://klasma.github.io/Logging_0484/artfynd/A 31056-2025 artfynd.xlsx", "A 31056-2025")</f>
        <v/>
      </c>
      <c r="X92">
        <f>HYPERLINK("https://klasma.github.io/Logging_0484/kartor/A 31056-2025 karta.png", "A 31056-2025")</f>
        <v/>
      </c>
      <c r="Y92">
        <f>HYPERLINK("https://klasma.github.io/Logging_0484/kartor_geotiff/A 31056-2025 georefererad karta.tif", "A 31056-2025")</f>
        <v/>
      </c>
      <c r="AA92">
        <f>HYPERLINK("https://klasma.github.io/Logging_0484/klagomål/A 31056-2025 FSC-klagomål.docx", "A 31056-2025")</f>
        <v/>
      </c>
      <c r="AB92">
        <f>HYPERLINK("https://klasma.github.io/Logging_0484/klagomålsmail/A 31056-2025 FSC-klagomål mail.docx", "A 31056-2025")</f>
        <v/>
      </c>
      <c r="AC92">
        <f>HYPERLINK("https://klasma.github.io/Logging_0484/tillsyn/A 31056-2025 tillsynsbegäran.docx", "A 31056-2025")</f>
        <v/>
      </c>
      <c r="AD92">
        <f>HYPERLINK("https://klasma.github.io/Logging_0484/tillsynsmail/A 31056-2025 tillsynsbegäran mail.docx", "A 31056-2025")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46304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46304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46304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46304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46304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46304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46304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46304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46304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46304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46304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46304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46304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46304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46304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46304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46304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46304</v>
      </c>
      <c r="F110" t="inlineStr">
        <is>
          <t>SÖDERMANLANDS LÄN</t>
        </is>
      </c>
      <c r="G110" t="inlineStr">
        <is>
          <t>ESKILSTUNA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46304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46304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46304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46304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46304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46304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46304</v>
      </c>
      <c r="F117" t="inlineStr">
        <is>
          <t>SÖDERMANLANDS LÄN</t>
        </is>
      </c>
      <c r="G117" t="inlineStr">
        <is>
          <t>ESKILSTUNA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46304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46304</v>
      </c>
      <c r="F119" t="inlineStr">
        <is>
          <t>SÖDERMANLANDS LÄN</t>
        </is>
      </c>
      <c r="G119" t="inlineStr">
        <is>
          <t>ESKILSTUNA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46304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46304</v>
      </c>
      <c r="F121" t="inlineStr">
        <is>
          <t>SÖDERMANLANDS LÄN</t>
        </is>
      </c>
      <c r="G121" t="inlineStr">
        <is>
          <t>ESKILSTUNA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44628</v>
      </c>
      <c r="E122" s="1" t="n">
        <v>46304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70620-2021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46304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70490-2021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46304</v>
      </c>
      <c r="F124" t="inlineStr">
        <is>
          <t>SÖDERMANLANDS LÄN</t>
        </is>
      </c>
      <c r="G124" t="inlineStr">
        <is>
          <t>ESKILSTUNA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44781</v>
      </c>
      <c r="E125" s="1" t="n">
        <v>46304</v>
      </c>
      <c r="F125" t="inlineStr">
        <is>
          <t>SÖDERMANLANDS LÄN</t>
        </is>
      </c>
      <c r="G125" t="inlineStr">
        <is>
          <t>ESKILSTUNA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46304</v>
      </c>
      <c r="F126" t="inlineStr">
        <is>
          <t>SÖDERMANLANDS LÄN</t>
        </is>
      </c>
      <c r="G126" t="inlineStr">
        <is>
          <t>ESKILSTUNA</t>
        </is>
      </c>
      <c r="I126" t="n">
        <v>9.9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46304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46304</v>
      </c>
      <c r="F128" t="inlineStr">
        <is>
          <t>SÖDERMANLANDS LÄN</t>
        </is>
      </c>
      <c r="G128" t="inlineStr">
        <is>
          <t>ESKILSTUNA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46304</v>
      </c>
      <c r="F129" t="inlineStr">
        <is>
          <t>SÖDERMANLANDS LÄN</t>
        </is>
      </c>
      <c r="G129" t="inlineStr">
        <is>
          <t>ESKILSTUNA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44699</v>
      </c>
      <c r="E130" s="1" t="n">
        <v>46304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Naturvårdsverket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65406-2021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44515</v>
      </c>
      <c r="E131" s="1" t="n">
        <v>46304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Kyrkan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73480-2021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46304</v>
      </c>
      <c r="F132" t="inlineStr">
        <is>
          <t>SÖDERMANLANDS LÄN</t>
        </is>
      </c>
      <c r="G132" t="inlineStr">
        <is>
          <t>ESKILSTUNA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44482</v>
      </c>
      <c r="E133" s="1" t="n">
        <v>46304</v>
      </c>
      <c r="F133" t="inlineStr">
        <is>
          <t>SÖDERMANLANDS LÄN</t>
        </is>
      </c>
      <c r="G133" t="inlineStr">
        <is>
          <t>ESKILSTUNA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44789</v>
      </c>
      <c r="E134" s="1" t="n">
        <v>46304</v>
      </c>
      <c r="F134" t="inlineStr">
        <is>
          <t>SÖDERMANLANDS LÄN</t>
        </is>
      </c>
      <c r="G134" t="inlineStr">
        <is>
          <t>ESKILSTUNA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46304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46304</v>
      </c>
      <c r="F136" t="inlineStr">
        <is>
          <t>SÖDERMANLANDS LÄN</t>
        </is>
      </c>
      <c r="G136" t="inlineStr">
        <is>
          <t>ESKILSTUNA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60721-2021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44490</v>
      </c>
      <c r="E137" s="1" t="n">
        <v>46304</v>
      </c>
      <c r="F137" t="inlineStr">
        <is>
          <t>SÖDERMANLANDS LÄN</t>
        </is>
      </c>
      <c r="G137" t="inlineStr">
        <is>
          <t>ESKILSTUNA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46304</v>
      </c>
      <c r="F138" t="inlineStr">
        <is>
          <t>SÖDERMANLANDS LÄN</t>
        </is>
      </c>
      <c r="G138" t="inlineStr">
        <is>
          <t>ESKILSTUNA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44783</v>
      </c>
      <c r="E139" s="1" t="n">
        <v>46304</v>
      </c>
      <c r="F139" t="inlineStr">
        <is>
          <t>SÖDERMANLANDS LÄN</t>
        </is>
      </c>
      <c r="G139" t="inlineStr">
        <is>
          <t>ESKILSTUNA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44654</v>
      </c>
      <c r="E140" s="1" t="n">
        <v>46304</v>
      </c>
      <c r="F140" t="inlineStr">
        <is>
          <t>SÖDERMANLANDS LÄN</t>
        </is>
      </c>
      <c r="G140" t="inlineStr">
        <is>
          <t>ESKILSTUNA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59275-2021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46304</v>
      </c>
      <c r="F141" t="inlineStr">
        <is>
          <t>SÖDERMANLANDS LÄN</t>
        </is>
      </c>
      <c r="G141" t="inlineStr">
        <is>
          <t>ESKILSTUNA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46304</v>
      </c>
      <c r="F142" t="inlineStr">
        <is>
          <t>SÖDERMANLANDS LÄN</t>
        </is>
      </c>
      <c r="G142" t="inlineStr">
        <is>
          <t>ESKILSTUNA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44578</v>
      </c>
      <c r="E143" s="1" t="n">
        <v>46304</v>
      </c>
      <c r="F143" t="inlineStr">
        <is>
          <t>SÖDERMANLANDS LÄN</t>
        </is>
      </c>
      <c r="G143" t="inlineStr">
        <is>
          <t>ESKILSTUNA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46304</v>
      </c>
      <c r="F144" t="inlineStr">
        <is>
          <t>SÖDERMANLANDS LÄN</t>
        </is>
      </c>
      <c r="G144" t="inlineStr">
        <is>
          <t>ESKILSTUNA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44643</v>
      </c>
      <c r="E145" s="1" t="n">
        <v>46304</v>
      </c>
      <c r="F145" t="inlineStr">
        <is>
          <t>SÖDERMANLANDS LÄN</t>
        </is>
      </c>
      <c r="G145" t="inlineStr">
        <is>
          <t>ESKILSTUNA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44781</v>
      </c>
      <c r="E146" s="1" t="n">
        <v>46304</v>
      </c>
      <c r="F146" t="inlineStr">
        <is>
          <t>SÖDERMANLANDS LÄN</t>
        </is>
      </c>
      <c r="G146" t="inlineStr">
        <is>
          <t>ESKILSTUNA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46304</v>
      </c>
      <c r="F147" t="inlineStr">
        <is>
          <t>SÖDERMANLANDS LÄN</t>
        </is>
      </c>
      <c r="G147" t="inlineStr">
        <is>
          <t>ESKILSTUNA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44782</v>
      </c>
      <c r="E148" s="1" t="n">
        <v>46304</v>
      </c>
      <c r="F148" t="inlineStr">
        <is>
          <t>SÖDERMANLANDS LÄN</t>
        </is>
      </c>
      <c r="G148" t="inlineStr">
        <is>
          <t>ESKILSTUNA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46304</v>
      </c>
      <c r="F149" t="inlineStr">
        <is>
          <t>SÖDERMANLANDS LÄN</t>
        </is>
      </c>
      <c r="G149" t="inlineStr">
        <is>
          <t>ESKILSTUNA</t>
        </is>
      </c>
      <c r="H149" t="inlineStr">
        <is>
          <t>Allmännings- och besparingsskogar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46304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70191-2021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46304</v>
      </c>
      <c r="F151" t="inlineStr">
        <is>
          <t>SÖDERMANLANDS LÄN</t>
        </is>
      </c>
      <c r="G151" t="inlineStr">
        <is>
          <t>ESKILSTUNA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46304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Allmännings- och besparingsskogar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36643-2022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44804</v>
      </c>
      <c r="E153" s="1" t="n">
        <v>46304</v>
      </c>
      <c r="F153" t="inlineStr">
        <is>
          <t>SÖDERMANLANDS LÄN</t>
        </is>
      </c>
      <c r="G153" t="inlineStr">
        <is>
          <t>ESKILSTUNA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10272-2024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45365</v>
      </c>
      <c r="E154" s="1" t="n">
        <v>46304</v>
      </c>
      <c r="F154" t="inlineStr">
        <is>
          <t>SÖDERMANLANDS LÄN</t>
        </is>
      </c>
      <c r="G154" t="inlineStr">
        <is>
          <t>ESKILSTUNA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46304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45099</v>
      </c>
      <c r="E156" s="1" t="n">
        <v>46304</v>
      </c>
      <c r="F156" t="inlineStr">
        <is>
          <t>SÖDERMANLANDS LÄN</t>
        </is>
      </c>
      <c r="G156" t="inlineStr">
        <is>
          <t>ESKILSTUNA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44664</v>
      </c>
      <c r="E157" s="1" t="n">
        <v>46304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44755</v>
      </c>
      <c r="E158" s="1" t="n">
        <v>46304</v>
      </c>
      <c r="F158" t="inlineStr">
        <is>
          <t>SÖDERMANLANDS LÄN</t>
        </is>
      </c>
      <c r="G158" t="inlineStr">
        <is>
          <t>ESKILSTUNA</t>
        </is>
      </c>
      <c r="I158" t="n">
        <v>20.1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46304</v>
      </c>
      <c r="F159" t="inlineStr">
        <is>
          <t>SÖDERMANLANDS LÄN</t>
        </is>
      </c>
      <c r="G159" t="inlineStr">
        <is>
          <t>ESKILSTUNA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45005</v>
      </c>
      <c r="E160" s="1" t="n">
        <v>46304</v>
      </c>
      <c r="F160" t="inlineStr">
        <is>
          <t>SÖDERMANLANDS LÄN</t>
        </is>
      </c>
      <c r="G160" t="inlineStr">
        <is>
          <t>ESKILSTUNA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46304</v>
      </c>
      <c r="F161" t="inlineStr">
        <is>
          <t>SÖDERMANLANDS LÄN</t>
        </is>
      </c>
      <c r="G161" t="inlineStr">
        <is>
          <t>ESKILSTUNA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45266</v>
      </c>
      <c r="E162" s="1" t="n">
        <v>46304</v>
      </c>
      <c r="F162" t="inlineStr">
        <is>
          <t>SÖDERMANLANDS LÄN</t>
        </is>
      </c>
      <c r="G162" t="inlineStr">
        <is>
          <t>ESKILSTUNA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46304</v>
      </c>
      <c r="F163" t="inlineStr">
        <is>
          <t>SÖDERMANLANDS LÄN</t>
        </is>
      </c>
      <c r="G163" t="inlineStr">
        <is>
          <t>ESKILSTUNA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45012</v>
      </c>
      <c r="E164" s="1" t="n">
        <v>46304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Kommuner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38075-2024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46304</v>
      </c>
      <c r="F165" t="inlineStr">
        <is>
          <t>SÖDERMANLANDS LÄN</t>
        </is>
      </c>
      <c r="G165" t="inlineStr">
        <is>
          <t>ESKILSTUNA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15592-2023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45020</v>
      </c>
      <c r="E166" s="1" t="n">
        <v>46304</v>
      </c>
      <c r="F166" t="inlineStr">
        <is>
          <t>SÖDERMANLANDS LÄN</t>
        </is>
      </c>
      <c r="G166" t="inlineStr">
        <is>
          <t>ESKILSTUNA</t>
        </is>
      </c>
      <c r="I166" t="n">
        <v>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65595-2021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44516</v>
      </c>
      <c r="E167" s="1" t="n">
        <v>46304</v>
      </c>
      <c r="F167" t="inlineStr">
        <is>
          <t>SÖDERMANLANDS LÄN</t>
        </is>
      </c>
      <c r="G167" t="inlineStr">
        <is>
          <t>ESKILSTUNA</t>
        </is>
      </c>
      <c r="I167" t="n">
        <v>9.5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45622</v>
      </c>
      <c r="E168" s="1" t="n">
        <v>46304</v>
      </c>
      <c r="F168" t="inlineStr">
        <is>
          <t>SÖDERMANLANDS LÄN</t>
        </is>
      </c>
      <c r="G168" t="inlineStr">
        <is>
          <t>ESKILSTUNA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46304</v>
      </c>
      <c r="F169" t="inlineStr">
        <is>
          <t>SÖDERMANLANDS LÄN</t>
        </is>
      </c>
      <c r="G169" t="inlineStr">
        <is>
          <t>ESKILSTUNA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40386-2022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44819</v>
      </c>
      <c r="E170" s="1" t="n">
        <v>46304</v>
      </c>
      <c r="F170" t="inlineStr">
        <is>
          <t>SÖDERMANLANDS LÄN</t>
        </is>
      </c>
      <c r="G170" t="inlineStr">
        <is>
          <t>ESKILSTUNA</t>
        </is>
      </c>
      <c r="I170" t="n">
        <v>11.6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45514</v>
      </c>
      <c r="E171" s="1" t="n">
        <v>46304</v>
      </c>
      <c r="F171" t="inlineStr">
        <is>
          <t>SÖDERMANLANDS LÄN</t>
        </is>
      </c>
      <c r="G171" t="inlineStr">
        <is>
          <t>ESKILSTUNA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46304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Övriga Aktiebolag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44874</v>
      </c>
      <c r="E173" s="1" t="n">
        <v>46304</v>
      </c>
      <c r="F173" t="inlineStr">
        <is>
          <t>SÖDERMANLANDS LÄN</t>
        </is>
      </c>
      <c r="G173" t="inlineStr">
        <is>
          <t>ESKILSTUNA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46304</v>
      </c>
      <c r="F174" t="inlineStr">
        <is>
          <t>SÖDERMANLANDS LÄN</t>
        </is>
      </c>
      <c r="G174" t="inlineStr">
        <is>
          <t>ESKILSTUNA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46304</v>
      </c>
      <c r="F175" t="inlineStr">
        <is>
          <t>SÖDERMANLANDS LÄN</t>
        </is>
      </c>
      <c r="G175" t="inlineStr">
        <is>
          <t>ESKILSTUNA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30968-2022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44768</v>
      </c>
      <c r="E176" s="1" t="n">
        <v>46304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Sveaskog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45301</v>
      </c>
      <c r="E177" s="1" t="n">
        <v>46304</v>
      </c>
      <c r="F177" t="inlineStr">
        <is>
          <t>SÖDERMANLANDS LÄN</t>
        </is>
      </c>
      <c r="G177" t="inlineStr">
        <is>
          <t>ESKILSTUNA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44634</v>
      </c>
      <c r="E178" s="1" t="n">
        <v>46304</v>
      </c>
      <c r="F178" t="inlineStr">
        <is>
          <t>SÖDERMANLANDS LÄN</t>
        </is>
      </c>
      <c r="G178" t="inlineStr">
        <is>
          <t>ESKILSTUNA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46304</v>
      </c>
      <c r="F179" t="inlineStr">
        <is>
          <t>SÖDERMANLANDS LÄN</t>
        </is>
      </c>
      <c r="G179" t="inlineStr">
        <is>
          <t>ESKILSTUNA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45007</v>
      </c>
      <c r="E180" s="1" t="n">
        <v>46304</v>
      </c>
      <c r="F180" t="inlineStr">
        <is>
          <t>SÖDERMANLANDS LÄN</t>
        </is>
      </c>
      <c r="G180" t="inlineStr">
        <is>
          <t>ESKILSTUNA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68020-2021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44525</v>
      </c>
      <c r="E181" s="1" t="n">
        <v>46304</v>
      </c>
      <c r="F181" t="inlineStr">
        <is>
          <t>SÖDERMANLANDS LÄN</t>
        </is>
      </c>
      <c r="G181" t="inlineStr">
        <is>
          <t>ESKILSTUNA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25227-2022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44729</v>
      </c>
      <c r="E182" s="1" t="n">
        <v>46304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Kyrkan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46304</v>
      </c>
      <c r="F183" t="inlineStr">
        <is>
          <t>SÖDERMANLANDS LÄN</t>
        </is>
      </c>
      <c r="G183" t="inlineStr">
        <is>
          <t>ESKILSTUNA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44889</v>
      </c>
      <c r="E184" s="1" t="n">
        <v>46304</v>
      </c>
      <c r="F184" t="inlineStr">
        <is>
          <t>SÖDERMANLANDS LÄN</t>
        </is>
      </c>
      <c r="G184" t="inlineStr">
        <is>
          <t>ESKILSTUNA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44886</v>
      </c>
      <c r="E185" s="1" t="n">
        <v>46304</v>
      </c>
      <c r="F185" t="inlineStr">
        <is>
          <t>SÖDERMANLANDS LÄN</t>
        </is>
      </c>
      <c r="G185" t="inlineStr">
        <is>
          <t>ESKILSTUNA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38895-2023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45163</v>
      </c>
      <c r="E186" s="1" t="n">
        <v>46304</v>
      </c>
      <c r="F186" t="inlineStr">
        <is>
          <t>SÖDERMANLANDS LÄN</t>
        </is>
      </c>
      <c r="G186" t="inlineStr">
        <is>
          <t>ESKILSTUNA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44844</v>
      </c>
      <c r="E187" s="1" t="n">
        <v>46304</v>
      </c>
      <c r="F187" t="inlineStr">
        <is>
          <t>SÖDERMANLANDS LÄN</t>
        </is>
      </c>
      <c r="G187" t="inlineStr">
        <is>
          <t>ESKILSTUNA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44844</v>
      </c>
      <c r="E188" s="1" t="n">
        <v>46304</v>
      </c>
      <c r="F188" t="inlineStr">
        <is>
          <t>SÖDERMANLANDS LÄN</t>
        </is>
      </c>
      <c r="G188" t="inlineStr">
        <is>
          <t>ESKILSTUNA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46304</v>
      </c>
      <c r="F189" t="inlineStr">
        <is>
          <t>SÖDERMANLANDS LÄN</t>
        </is>
      </c>
      <c r="G189" t="inlineStr">
        <is>
          <t>ESKILSTUNA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46304</v>
      </c>
      <c r="F190" t="inlineStr">
        <is>
          <t>SÖDERMANLANDS LÄN</t>
        </is>
      </c>
      <c r="G190" t="inlineStr">
        <is>
          <t>ESKILSTUNA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46304</v>
      </c>
      <c r="F191" t="inlineStr">
        <is>
          <t>SÖDERMANLANDS LÄN</t>
        </is>
      </c>
      <c r="G191" t="inlineStr">
        <is>
          <t>ESKILSTUNA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61830-2023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45266</v>
      </c>
      <c r="E192" s="1" t="n">
        <v>46304</v>
      </c>
      <c r="F192" t="inlineStr">
        <is>
          <t>SÖDERMANLANDS LÄN</t>
        </is>
      </c>
      <c r="G192" t="inlineStr">
        <is>
          <t>ESKILSTUNA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45544</v>
      </c>
      <c r="E193" s="1" t="n">
        <v>46304</v>
      </c>
      <c r="F193" t="inlineStr">
        <is>
          <t>SÖDERMANLANDS LÄN</t>
        </is>
      </c>
      <c r="G193" t="inlineStr">
        <is>
          <t>ESKILSTUNA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46304</v>
      </c>
      <c r="F194" t="inlineStr">
        <is>
          <t>SÖDERMANLANDS LÄN</t>
        </is>
      </c>
      <c r="G194" t="inlineStr">
        <is>
          <t>ESKILSTUNA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44889</v>
      </c>
      <c r="E195" s="1" t="n">
        <v>46304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45006</v>
      </c>
      <c r="E196" s="1" t="n">
        <v>46304</v>
      </c>
      <c r="F196" t="inlineStr">
        <is>
          <t>SÖDERMANLANDS LÄN</t>
        </is>
      </c>
      <c r="G196" t="inlineStr">
        <is>
          <t>ESKILSTUNA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45041</v>
      </c>
      <c r="E197" s="1" t="n">
        <v>46304</v>
      </c>
      <c r="F197" t="inlineStr">
        <is>
          <t>SÖDERMANLANDS LÄN</t>
        </is>
      </c>
      <c r="G197" t="inlineStr">
        <is>
          <t>ESKILSTUNA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46304</v>
      </c>
      <c r="F198" t="inlineStr">
        <is>
          <t>SÖDERMANLANDS LÄN</t>
        </is>
      </c>
      <c r="G198" t="inlineStr">
        <is>
          <t>ESKILSTUNA</t>
        </is>
      </c>
      <c r="I198" t="n">
        <v>15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70265-2021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44536</v>
      </c>
      <c r="E199" s="1" t="n">
        <v>46304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Sveaskog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46304</v>
      </c>
      <c r="F200" t="inlineStr">
        <is>
          <t>SÖDERMANLANDS LÄN</t>
        </is>
      </c>
      <c r="G200" t="inlineStr">
        <is>
          <t>ESKILSTUNA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4200-2025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45685</v>
      </c>
      <c r="E201" s="1" t="n">
        <v>46304</v>
      </c>
      <c r="F201" t="inlineStr">
        <is>
          <t>SÖDERMANLANDS LÄN</t>
        </is>
      </c>
      <c r="G201" t="inlineStr">
        <is>
          <t>ESKILSTUNA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70613-2021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44537</v>
      </c>
      <c r="E202" s="1" t="n">
        <v>46304</v>
      </c>
      <c r="F202" t="inlineStr">
        <is>
          <t>SÖDERMANLANDS LÄN</t>
        </is>
      </c>
      <c r="G202" t="inlineStr">
        <is>
          <t>ESKILSTUNA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65614-2021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44516</v>
      </c>
      <c r="E203" s="1" t="n">
        <v>46304</v>
      </c>
      <c r="F203" t="inlineStr">
        <is>
          <t>SÖDERMANLANDS LÄN</t>
        </is>
      </c>
      <c r="G203" t="inlineStr">
        <is>
          <t>ESKILSTUNA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45695</v>
      </c>
      <c r="E204" s="1" t="n">
        <v>46304</v>
      </c>
      <c r="F204" t="inlineStr">
        <is>
          <t>SÖDERMANLANDS LÄN</t>
        </is>
      </c>
      <c r="G204" t="inlineStr">
        <is>
          <t>ESKILSTUNA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45695</v>
      </c>
      <c r="E205" s="1" t="n">
        <v>46304</v>
      </c>
      <c r="F205" t="inlineStr">
        <is>
          <t>SÖDERMANLANDS LÄN</t>
        </is>
      </c>
      <c r="G205" t="inlineStr">
        <is>
          <t>ESKILSTUNA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46304</v>
      </c>
      <c r="F206" t="inlineStr">
        <is>
          <t>SÖDERMANLANDS LÄN</t>
        </is>
      </c>
      <c r="G206" t="inlineStr">
        <is>
          <t>ESKILSTUNA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46304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Allmännings- och besparingsskogar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45694</v>
      </c>
      <c r="E208" s="1" t="n">
        <v>46304</v>
      </c>
      <c r="F208" t="inlineStr">
        <is>
          <t>SÖDERMANLANDS LÄN</t>
        </is>
      </c>
      <c r="G208" t="inlineStr">
        <is>
          <t>ESKILSTUNA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46304</v>
      </c>
      <c r="F209" t="inlineStr">
        <is>
          <t>SÖDERMANLANDS LÄN</t>
        </is>
      </c>
      <c r="G209" t="inlineStr">
        <is>
          <t>ESKILSTUNA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44983</v>
      </c>
      <c r="E210" s="1" t="n">
        <v>46304</v>
      </c>
      <c r="F210" t="inlineStr">
        <is>
          <t>SÖDERMANLANDS LÄN</t>
        </is>
      </c>
      <c r="G210" t="inlineStr">
        <is>
          <t>ESKILSTUNA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45695</v>
      </c>
      <c r="E211" s="1" t="n">
        <v>46304</v>
      </c>
      <c r="F211" t="inlineStr">
        <is>
          <t>SÖDERMANLANDS LÄN</t>
        </is>
      </c>
      <c r="G211" t="inlineStr">
        <is>
          <t>ESKILSTUNA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44626</v>
      </c>
      <c r="E212" s="1" t="n">
        <v>46304</v>
      </c>
      <c r="F212" t="inlineStr">
        <is>
          <t>SÖDERMANLANDS LÄN</t>
        </is>
      </c>
      <c r="G212" t="inlineStr">
        <is>
          <t>ESKILSTUNA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45637</v>
      </c>
      <c r="E213" s="1" t="n">
        <v>46304</v>
      </c>
      <c r="F213" t="inlineStr">
        <is>
          <t>SÖDERMANLANDS LÄN</t>
        </is>
      </c>
      <c r="G213" t="inlineStr">
        <is>
          <t>ESKILSTUNA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57304-2023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45245</v>
      </c>
      <c r="E214" s="1" t="n">
        <v>46304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45006</v>
      </c>
      <c r="E215" s="1" t="n">
        <v>46304</v>
      </c>
      <c r="F215" t="inlineStr">
        <is>
          <t>SÖDERMANLANDS LÄN</t>
        </is>
      </c>
      <c r="G215" t="inlineStr">
        <is>
          <t>ESKILSTUNA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21133-2023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45062</v>
      </c>
      <c r="E216" s="1" t="n">
        <v>46304</v>
      </c>
      <c r="F216" t="inlineStr">
        <is>
          <t>SÖDERMANLANDS LÄN</t>
        </is>
      </c>
      <c r="G216" t="inlineStr">
        <is>
          <t>ESKILSTUNA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51547-2024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46304</v>
      </c>
      <c r="F217" t="inlineStr">
        <is>
          <t>SÖDERMANLANDS LÄN</t>
        </is>
      </c>
      <c r="G217" t="inlineStr">
        <is>
          <t>ESKILSTUNA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45334</v>
      </c>
      <c r="E218" s="1" t="n">
        <v>46304</v>
      </c>
      <c r="F218" t="inlineStr">
        <is>
          <t>SÖDERMANLANDS LÄN</t>
        </is>
      </c>
      <c r="G218" t="inlineStr">
        <is>
          <t>ESKILSTUNA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45271</v>
      </c>
      <c r="E219" s="1" t="n">
        <v>46304</v>
      </c>
      <c r="F219" t="inlineStr">
        <is>
          <t>SÖDERMANLANDS LÄN</t>
        </is>
      </c>
      <c r="G219" t="inlineStr">
        <is>
          <t>ESKILSTUNA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46304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46304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46304</v>
      </c>
      <c r="F222" t="inlineStr">
        <is>
          <t>SÖDERMANLANDS LÄN</t>
        </is>
      </c>
      <c r="G222" t="inlineStr">
        <is>
          <t>ESKILSTUNA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48362-2022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44858</v>
      </c>
      <c r="E223" s="1" t="n">
        <v>46304</v>
      </c>
      <c r="F223" t="inlineStr">
        <is>
          <t>SÖDERMANLANDS LÄN</t>
        </is>
      </c>
      <c r="G223" t="inlineStr">
        <is>
          <t>ESKILSTUNA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46044</v>
      </c>
      <c r="E224" s="1" t="n">
        <v>46304</v>
      </c>
      <c r="F224" t="inlineStr">
        <is>
          <t>SÖDERMANLANDS LÄN</t>
        </is>
      </c>
      <c r="G224" t="inlineStr">
        <is>
          <t>ESKILSTUNA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45079</v>
      </c>
      <c r="E225" s="1" t="n">
        <v>46304</v>
      </c>
      <c r="F225" t="inlineStr">
        <is>
          <t>SÖDERMANLANDS LÄN</t>
        </is>
      </c>
      <c r="G225" t="inlineStr">
        <is>
          <t>ESKILSTUNA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4434-2026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46044</v>
      </c>
      <c r="E226" s="1" t="n">
        <v>46304</v>
      </c>
      <c r="F226" t="inlineStr">
        <is>
          <t>SÖDERMANLANDS LÄN</t>
        </is>
      </c>
      <c r="G226" t="inlineStr">
        <is>
          <t>ESKILSTUNA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45049</v>
      </c>
      <c r="E227" s="1" t="n">
        <v>46304</v>
      </c>
      <c r="F227" t="inlineStr">
        <is>
          <t>SÖDERMANLANDS LÄN</t>
        </is>
      </c>
      <c r="G227" t="inlineStr">
        <is>
          <t>ESKILSTUNA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46304</v>
      </c>
      <c r="F228" t="inlineStr">
        <is>
          <t>SÖDERMANLANDS LÄN</t>
        </is>
      </c>
      <c r="G228" t="inlineStr">
        <is>
          <t>ESKILSTUNA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46304</v>
      </c>
      <c r="F229" t="inlineStr">
        <is>
          <t>SÖDERMANLANDS LÄN</t>
        </is>
      </c>
      <c r="G229" t="inlineStr">
        <is>
          <t>ESKILSTUNA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46304</v>
      </c>
      <c r="F230" t="inlineStr">
        <is>
          <t>SÖDERMANLANDS LÄN</t>
        </is>
      </c>
      <c r="G230" t="inlineStr">
        <is>
          <t>ESKILSTUNA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45875</v>
      </c>
      <c r="E231" s="1" t="n">
        <v>46304</v>
      </c>
      <c r="F231" t="inlineStr">
        <is>
          <t>SÖDERMANLANDS LÄN</t>
        </is>
      </c>
      <c r="G231" t="inlineStr">
        <is>
          <t>ESKILSTUNA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45464</v>
      </c>
      <c r="E232" s="1" t="n">
        <v>46304</v>
      </c>
      <c r="F232" t="inlineStr">
        <is>
          <t>SÖDERMANLANDS LÄN</t>
        </is>
      </c>
      <c r="G232" t="inlineStr">
        <is>
          <t>ESKILSTUNA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45036</v>
      </c>
      <c r="E233" s="1" t="n">
        <v>46304</v>
      </c>
      <c r="F233" t="inlineStr">
        <is>
          <t>SÖDERMANLANDS LÄN</t>
        </is>
      </c>
      <c r="G233" t="inlineStr">
        <is>
          <t>ESKILSTUNA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45237</v>
      </c>
      <c r="E234" s="1" t="n">
        <v>46304</v>
      </c>
      <c r="F234" t="inlineStr">
        <is>
          <t>SÖDERMANLANDS LÄN</t>
        </is>
      </c>
      <c r="G234" t="inlineStr">
        <is>
          <t>ESKILSTUNA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1538-2025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45670</v>
      </c>
      <c r="E235" s="1" t="n">
        <v>46304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46304</v>
      </c>
      <c r="F236" t="inlineStr">
        <is>
          <t>SÖDERMANLANDS LÄN</t>
        </is>
      </c>
      <c r="G236" t="inlineStr">
        <is>
          <t>ESKILSTUNA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46304</v>
      </c>
      <c r="F237" t="inlineStr">
        <is>
          <t>SÖDERMANLANDS LÄN</t>
        </is>
      </c>
      <c r="G237" t="inlineStr">
        <is>
          <t>ESKILSTUNA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44881</v>
      </c>
      <c r="E238" s="1" t="n">
        <v>46304</v>
      </c>
      <c r="F238" t="inlineStr">
        <is>
          <t>SÖDERMANLANDS LÄN</t>
        </is>
      </c>
      <c r="G238" t="inlineStr">
        <is>
          <t>ESKILSTUNA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59276-2021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44490</v>
      </c>
      <c r="E239" s="1" t="n">
        <v>46304</v>
      </c>
      <c r="F239" t="inlineStr">
        <is>
          <t>SÖDERMANLANDS LÄN</t>
        </is>
      </c>
      <c r="G239" t="inlineStr">
        <is>
          <t>ESKILSTUNA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46304</v>
      </c>
      <c r="F240" t="inlineStr">
        <is>
          <t>SÖDERMANLANDS LÄN</t>
        </is>
      </c>
      <c r="G240" t="inlineStr">
        <is>
          <t>ESKILSTUNA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61367-2021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44499</v>
      </c>
      <c r="E241" s="1" t="n">
        <v>46304</v>
      </c>
      <c r="F241" t="inlineStr">
        <is>
          <t>SÖDERMANLANDS LÄN</t>
        </is>
      </c>
      <c r="G241" t="inlineStr">
        <is>
          <t>ESKILSTUNA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35698-2022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44799</v>
      </c>
      <c r="E242" s="1" t="n">
        <v>46304</v>
      </c>
      <c r="F242" t="inlineStr">
        <is>
          <t>SÖDERMANLANDS LÄN</t>
        </is>
      </c>
      <c r="G242" t="inlineStr">
        <is>
          <t>ESKILSTUNA</t>
        </is>
      </c>
      <c r="I242" t="n">
        <v>9.199999999999999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45093</v>
      </c>
      <c r="E243" s="1" t="n">
        <v>46304</v>
      </c>
      <c r="F243" t="inlineStr">
        <is>
          <t>SÖDERMANLANDS LÄN</t>
        </is>
      </c>
      <c r="G243" t="inlineStr">
        <is>
          <t>ESKILSTUNA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46608-2024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45582</v>
      </c>
      <c r="E244" s="1" t="n">
        <v>46304</v>
      </c>
      <c r="F244" t="inlineStr">
        <is>
          <t>SÖDERMANLANDS LÄN</t>
        </is>
      </c>
      <c r="G244" t="inlineStr">
        <is>
          <t>ESKILSTUNA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9455-2022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44616</v>
      </c>
      <c r="E245" s="1" t="n">
        <v>46304</v>
      </c>
      <c r="F245" t="inlineStr">
        <is>
          <t>SÖDERMANLANDS LÄN</t>
        </is>
      </c>
      <c r="G245" t="inlineStr">
        <is>
          <t>ESKILSTUNA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46304</v>
      </c>
      <c r="F246" t="inlineStr">
        <is>
          <t>SÖDERMANLANDS LÄN</t>
        </is>
      </c>
      <c r="G246" t="inlineStr">
        <is>
          <t>ESKILSTUNA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46304</v>
      </c>
      <c r="F247" t="inlineStr">
        <is>
          <t>SÖDERMANLANDS LÄN</t>
        </is>
      </c>
      <c r="G247" t="inlineStr">
        <is>
          <t>ESKILSTUNA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46304</v>
      </c>
      <c r="F248" t="inlineStr">
        <is>
          <t>SÖDERMANLANDS LÄN</t>
        </is>
      </c>
      <c r="G248" t="inlineStr">
        <is>
          <t>ESKILSTUNA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16125-2026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46108</v>
      </c>
      <c r="E249" s="1" t="n">
        <v>46304</v>
      </c>
      <c r="F249" t="inlineStr">
        <is>
          <t>SÖDERMANLANDS LÄN</t>
        </is>
      </c>
      <c r="G249" t="inlineStr">
        <is>
          <t>ESKILSTUNA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16104-2026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46108</v>
      </c>
      <c r="E250" s="1" t="n">
        <v>46304</v>
      </c>
      <c r="F250" t="inlineStr">
        <is>
          <t>SÖDERMANLANDS LÄN</t>
        </is>
      </c>
      <c r="G250" t="inlineStr">
        <is>
          <t>ESKILSTUNA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59276-2021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44490</v>
      </c>
      <c r="E251" s="1" t="n">
        <v>46304</v>
      </c>
      <c r="F251" t="inlineStr">
        <is>
          <t>SÖDERMANLANDS LÄN</t>
        </is>
      </c>
      <c r="G251" t="inlineStr">
        <is>
          <t>ESKILSTUNA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46304</v>
      </c>
      <c r="F252" t="inlineStr">
        <is>
          <t>SÖDERMANLANDS LÄN</t>
        </is>
      </c>
      <c r="G252" t="inlineStr">
        <is>
          <t>ESKILSTUNA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46108</v>
      </c>
      <c r="E253" s="1" t="n">
        <v>46304</v>
      </c>
      <c r="F253" t="inlineStr">
        <is>
          <t>SÖDERMANLANDS LÄN</t>
        </is>
      </c>
      <c r="G253" t="inlineStr">
        <is>
          <t>ESKILSTUNA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44634</v>
      </c>
      <c r="E254" s="1" t="n">
        <v>46304</v>
      </c>
      <c r="F254" t="inlineStr">
        <is>
          <t>SÖDERMANLANDS LÄN</t>
        </is>
      </c>
      <c r="G254" t="inlineStr">
        <is>
          <t>ESKILSTUNA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44946</v>
      </c>
      <c r="E255" s="1" t="n">
        <v>46304</v>
      </c>
      <c r="F255" t="inlineStr">
        <is>
          <t>SÖDERMANLANDS LÄN</t>
        </is>
      </c>
      <c r="G255" t="inlineStr">
        <is>
          <t>ESKILSTUNA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45950</v>
      </c>
      <c r="E256" s="1" t="n">
        <v>46304</v>
      </c>
      <c r="F256" t="inlineStr">
        <is>
          <t>SÖDERMANLANDS LÄN</t>
        </is>
      </c>
      <c r="G256" t="inlineStr">
        <is>
          <t>ESKILSTUNA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46304</v>
      </c>
      <c r="F257" t="inlineStr">
        <is>
          <t>SÖDERMANLANDS LÄN</t>
        </is>
      </c>
      <c r="G257" t="inlineStr">
        <is>
          <t>ESKILSTUNA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44873</v>
      </c>
      <c r="E258" s="1" t="n">
        <v>46304</v>
      </c>
      <c r="F258" t="inlineStr">
        <is>
          <t>SÖDERMANLANDS LÄN</t>
        </is>
      </c>
      <c r="G258" t="inlineStr">
        <is>
          <t>ESKILSTUNA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44928</v>
      </c>
      <c r="E259" s="1" t="n">
        <v>46304</v>
      </c>
      <c r="F259" t="inlineStr">
        <is>
          <t>SÖDERMANLANDS LÄN</t>
        </is>
      </c>
      <c r="G259" t="inlineStr">
        <is>
          <t>ESKILSTUNA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52248-2025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46304</v>
      </c>
      <c r="F260" t="inlineStr">
        <is>
          <t>SÖDERMANLANDS LÄN</t>
        </is>
      </c>
      <c r="G260" t="inlineStr">
        <is>
          <t>ESKILSTUNA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46304</v>
      </c>
      <c r="F261" t="inlineStr">
        <is>
          <t>SÖDERMANLANDS LÄN</t>
        </is>
      </c>
      <c r="G261" t="inlineStr">
        <is>
          <t>ESKILSTUNA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44946</v>
      </c>
      <c r="E262" s="1" t="n">
        <v>46304</v>
      </c>
      <c r="F262" t="inlineStr">
        <is>
          <t>SÖDERMANLANDS LÄN</t>
        </is>
      </c>
      <c r="G262" t="inlineStr">
        <is>
          <t>ESKILSTUNA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46304</v>
      </c>
      <c r="F263" t="inlineStr">
        <is>
          <t>SÖDERMANLANDS LÄN</t>
        </is>
      </c>
      <c r="G263" t="inlineStr">
        <is>
          <t>ESKILSTUNA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45537</v>
      </c>
      <c r="E264" s="1" t="n">
        <v>46304</v>
      </c>
      <c r="F264" t="inlineStr">
        <is>
          <t>SÖDERMANLANDS LÄN</t>
        </is>
      </c>
      <c r="G264" t="inlineStr">
        <is>
          <t>ESKILSTUNA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6598-2024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45341</v>
      </c>
      <c r="E265" s="1" t="n">
        <v>46304</v>
      </c>
      <c r="F265" t="inlineStr">
        <is>
          <t>SÖDERMANLANDS LÄN</t>
        </is>
      </c>
      <c r="G265" t="inlineStr">
        <is>
          <t>ESKILSTUNA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46304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46304</v>
      </c>
      <c r="F267" t="inlineStr">
        <is>
          <t>SÖDERMANLANDS LÄN</t>
        </is>
      </c>
      <c r="G267" t="inlineStr">
        <is>
          <t>ESKILSTUNA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44953</v>
      </c>
      <c r="E268" s="1" t="n">
        <v>46304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Allmännings- och besparingsskogar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52663-2023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46304</v>
      </c>
      <c r="F269" t="inlineStr">
        <is>
          <t>SÖDERMANLANDS LÄN</t>
        </is>
      </c>
      <c r="G269" t="inlineStr">
        <is>
          <t>ESKILSTUNA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18105-2026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46125</v>
      </c>
      <c r="E270" s="1" t="n">
        <v>46304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44965</v>
      </c>
      <c r="E271" s="1" t="n">
        <v>46304</v>
      </c>
      <c r="F271" t="inlineStr">
        <is>
          <t>SÖDERMANLANDS LÄN</t>
        </is>
      </c>
      <c r="G271" t="inlineStr">
        <is>
          <t>ESKILSTUNA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44615-2022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44839</v>
      </c>
      <c r="E272" s="1" t="n">
        <v>46304</v>
      </c>
      <c r="F272" t="inlineStr">
        <is>
          <t>SÖDERMANLANDS LÄN</t>
        </is>
      </c>
      <c r="G272" t="inlineStr">
        <is>
          <t>ESKILSTUNA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56389-2025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45974</v>
      </c>
      <c r="E273" s="1" t="n">
        <v>46304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44965</v>
      </c>
      <c r="E274" s="1" t="n">
        <v>46304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Allmännings- och besparingsskogar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49469-2022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44861</v>
      </c>
      <c r="E275" s="1" t="n">
        <v>46304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Allmännings- och besparingsskogar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44998</v>
      </c>
      <c r="E276" s="1" t="n">
        <v>46304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Kommuner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46304</v>
      </c>
      <c r="F277" t="inlineStr">
        <is>
          <t>SÖDERMANLANDS LÄN</t>
        </is>
      </c>
      <c r="G277" t="inlineStr">
        <is>
          <t>ESKILSTUNA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46304</v>
      </c>
      <c r="F278" t="inlineStr">
        <is>
          <t>SÖDERMANLANDS LÄN</t>
        </is>
      </c>
      <c r="G278" t="inlineStr">
        <is>
          <t>ESKILSTUNA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46304</v>
      </c>
      <c r="F279" t="inlineStr">
        <is>
          <t>SÖDERMANLANDS LÄN</t>
        </is>
      </c>
      <c r="G279" t="inlineStr">
        <is>
          <t>ESKILSTUNA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46304</v>
      </c>
      <c r="F280" t="inlineStr">
        <is>
          <t>SÖDERMANLANDS LÄN</t>
        </is>
      </c>
      <c r="G280" t="inlineStr">
        <is>
          <t>ESKILSTUNA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46304</v>
      </c>
      <c r="F281" t="inlineStr">
        <is>
          <t>SÖDERMANLANDS LÄN</t>
        </is>
      </c>
      <c r="G281" t="inlineStr">
        <is>
          <t>ESKILSTUNA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44904</v>
      </c>
      <c r="E282" s="1" t="n">
        <v>46304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Allmännings- och besparingsskogar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46304</v>
      </c>
      <c r="F283" t="inlineStr">
        <is>
          <t>SÖDERMANLANDS LÄN</t>
        </is>
      </c>
      <c r="G283" t="inlineStr">
        <is>
          <t>ESKILSTUNA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44626</v>
      </c>
      <c r="E284" s="1" t="n">
        <v>46304</v>
      </c>
      <c r="F284" t="inlineStr">
        <is>
          <t>SÖDERMANLANDS LÄN</t>
        </is>
      </c>
      <c r="G284" t="inlineStr">
        <is>
          <t>ESKILSTUNA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46304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Sveaskog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36142-2022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44803</v>
      </c>
      <c r="E286" s="1" t="n">
        <v>46304</v>
      </c>
      <c r="F286" t="inlineStr">
        <is>
          <t>SÖDERMANLANDS LÄN</t>
        </is>
      </c>
      <c r="G286" t="inlineStr">
        <is>
          <t>ESKILSTUNA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36153-2022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44803</v>
      </c>
      <c r="E287" s="1" t="n">
        <v>46304</v>
      </c>
      <c r="F287" t="inlineStr">
        <is>
          <t>SÖDERMANLANDS LÄN</t>
        </is>
      </c>
      <c r="G287" t="inlineStr">
        <is>
          <t>ESKILSTUNA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45918</v>
      </c>
      <c r="E288" s="1" t="n">
        <v>46304</v>
      </c>
      <c r="F288" t="inlineStr">
        <is>
          <t>SÖDERMANLANDS LÄN</t>
        </is>
      </c>
      <c r="G288" t="inlineStr">
        <is>
          <t>ESKILSTUNA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46304</v>
      </c>
      <c r="F289" t="inlineStr">
        <is>
          <t>SÖDERMANLANDS LÄN</t>
        </is>
      </c>
      <c r="G289" t="inlineStr">
        <is>
          <t>ESKILSTUNA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46304</v>
      </c>
      <c r="F290" t="inlineStr">
        <is>
          <t>SÖDERMANLANDS LÄN</t>
        </is>
      </c>
      <c r="G290" t="inlineStr">
        <is>
          <t>ESKILSTUNA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46304</v>
      </c>
      <c r="F291" t="inlineStr">
        <is>
          <t>SÖDERMANLANDS LÄN</t>
        </is>
      </c>
      <c r="G291" t="inlineStr">
        <is>
          <t>ESKILSTUNA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46304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1340-2024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45303</v>
      </c>
      <c r="E293" s="1" t="n">
        <v>46304</v>
      </c>
      <c r="F293" t="inlineStr">
        <is>
          <t>SÖDERMANLANDS LÄN</t>
        </is>
      </c>
      <c r="G293" t="inlineStr">
        <is>
          <t>ESKILSTUNA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45303</v>
      </c>
      <c r="E294" s="1" t="n">
        <v>46304</v>
      </c>
      <c r="F294" t="inlineStr">
        <is>
          <t>SÖDERMANLANDS LÄN</t>
        </is>
      </c>
      <c r="G294" t="inlineStr">
        <is>
          <t>ESKILSTUNA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45209</v>
      </c>
      <c r="E295" s="1" t="n">
        <v>46304</v>
      </c>
      <c r="F295" t="inlineStr">
        <is>
          <t>SÖDERMANLANDS LÄN</t>
        </is>
      </c>
      <c r="G295" t="inlineStr">
        <is>
          <t>ESKILSTUNA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46304</v>
      </c>
      <c r="F296" t="inlineStr">
        <is>
          <t>SÖDERMANLANDS LÄN</t>
        </is>
      </c>
      <c r="G296" t="inlineStr">
        <is>
          <t>ESKILSTUNA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45004</v>
      </c>
      <c r="E297" s="1" t="n">
        <v>46304</v>
      </c>
      <c r="F297" t="inlineStr">
        <is>
          <t>SÖDERMANLANDS LÄN</t>
        </is>
      </c>
      <c r="G297" t="inlineStr">
        <is>
          <t>ESKILSTUNA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46304</v>
      </c>
      <c r="F298" t="inlineStr">
        <is>
          <t>SÖDERMANLANDS LÄN</t>
        </is>
      </c>
      <c r="G298" t="inlineStr">
        <is>
          <t>ESKILSTUNA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45604</v>
      </c>
      <c r="E299" s="1" t="n">
        <v>46304</v>
      </c>
      <c r="F299" t="inlineStr">
        <is>
          <t>SÖDERMANLANDS LÄN</t>
        </is>
      </c>
      <c r="G299" t="inlineStr">
        <is>
          <t>ESKILSTUNA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46304</v>
      </c>
      <c r="F300" t="inlineStr">
        <is>
          <t>SÖDERMANLANDS LÄN</t>
        </is>
      </c>
      <c r="G300" t="inlineStr">
        <is>
          <t>ESKILSTUNA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46304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Kyrkan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45833</v>
      </c>
      <c r="E302" s="1" t="n">
        <v>46304</v>
      </c>
      <c r="F302" t="inlineStr">
        <is>
          <t>SÖDERMANLANDS LÄN</t>
        </is>
      </c>
      <c r="G302" t="inlineStr">
        <is>
          <t>ESKILSTUNA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50484-2025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45945</v>
      </c>
      <c r="E303" s="1" t="n">
        <v>46304</v>
      </c>
      <c r="F303" t="inlineStr">
        <is>
          <t>SÖDERMANLANDS LÄN</t>
        </is>
      </c>
      <c r="G303" t="inlineStr">
        <is>
          <t>ESKILSTUNA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46304</v>
      </c>
      <c r="F304" t="inlineStr">
        <is>
          <t>SÖDERMANLANDS LÄN</t>
        </is>
      </c>
      <c r="G304" t="inlineStr">
        <is>
          <t>ESKILSTUNA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45077</v>
      </c>
      <c r="E305" s="1" t="n">
        <v>46304</v>
      </c>
      <c r="F305" t="inlineStr">
        <is>
          <t>SÖDERMANLANDS LÄN</t>
        </is>
      </c>
      <c r="G305" t="inlineStr">
        <is>
          <t>ESKILSTUNA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1346-2024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45303</v>
      </c>
      <c r="E306" s="1" t="n">
        <v>46304</v>
      </c>
      <c r="F306" t="inlineStr">
        <is>
          <t>SÖDERMANLANDS LÄN</t>
        </is>
      </c>
      <c r="G306" t="inlineStr">
        <is>
          <t>ESKILSTUNA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45061</v>
      </c>
      <c r="E307" s="1" t="n">
        <v>46304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45756</v>
      </c>
      <c r="E308" s="1" t="n">
        <v>46304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Allmännings- och besparingsskogar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25668-2022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44732</v>
      </c>
      <c r="E309" s="1" t="n">
        <v>46304</v>
      </c>
      <c r="F309" t="inlineStr">
        <is>
          <t>SÖDERMANLANDS LÄN</t>
        </is>
      </c>
      <c r="G309" t="inlineStr">
        <is>
          <t>ESKILSTUNA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60533-2024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45643</v>
      </c>
      <c r="E310" s="1" t="n">
        <v>46304</v>
      </c>
      <c r="F310" t="inlineStr">
        <is>
          <t>SÖDERMANLANDS LÄN</t>
        </is>
      </c>
      <c r="G310" t="inlineStr">
        <is>
          <t>ESKILSTUNA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46304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46304</v>
      </c>
      <c r="F312" t="inlineStr">
        <is>
          <t>SÖDERMANLANDS LÄN</t>
        </is>
      </c>
      <c r="G312" t="inlineStr">
        <is>
          <t>ESKILSTUNA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43501-2022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44837</v>
      </c>
      <c r="E313" s="1" t="n">
        <v>46304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36565-2022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44804</v>
      </c>
      <c r="E314" s="1" t="n">
        <v>46304</v>
      </c>
      <c r="F314" t="inlineStr">
        <is>
          <t>SÖDERMANLANDS LÄN</t>
        </is>
      </c>
      <c r="G314" t="inlineStr">
        <is>
          <t>ESKILSTUNA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45518</v>
      </c>
      <c r="E315" s="1" t="n">
        <v>46304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Övriga Aktiebolag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46304</v>
      </c>
      <c r="F316" t="inlineStr">
        <is>
          <t>SÖDERMANLANDS LÄN</t>
        </is>
      </c>
      <c r="G316" t="inlineStr">
        <is>
          <t>ESKILSTUNA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51801-2025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45950</v>
      </c>
      <c r="E317" s="1" t="n">
        <v>46304</v>
      </c>
      <c r="F317" t="inlineStr">
        <is>
          <t>SÖDERMANLANDS LÄN</t>
        </is>
      </c>
      <c r="G317" t="inlineStr">
        <is>
          <t>ESKILSTUNA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16391-2022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44671</v>
      </c>
      <c r="E318" s="1" t="n">
        <v>46304</v>
      </c>
      <c r="F318" t="inlineStr">
        <is>
          <t>SÖDERMANLANDS LÄN</t>
        </is>
      </c>
      <c r="G318" t="inlineStr">
        <is>
          <t>ESKILSTUNA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20823-2022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44701</v>
      </c>
      <c r="E319" s="1" t="n">
        <v>46304</v>
      </c>
      <c r="F319" t="inlineStr">
        <is>
          <t>SÖDERMANLANDS LÄN</t>
        </is>
      </c>
      <c r="G319" t="inlineStr">
        <is>
          <t>ESKILSTUNA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45435</v>
      </c>
      <c r="E320" s="1" t="n">
        <v>46304</v>
      </c>
      <c r="F320" t="inlineStr">
        <is>
          <t>SÖDERMANLANDS LÄN</t>
        </is>
      </c>
      <c r="G320" t="inlineStr">
        <is>
          <t>ESKILSTUNA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46069</v>
      </c>
      <c r="E321" s="1" t="n">
        <v>46304</v>
      </c>
      <c r="F321" t="inlineStr">
        <is>
          <t>SÖDERMANLANDS LÄN</t>
        </is>
      </c>
      <c r="G321" t="inlineStr">
        <is>
          <t>ESKILSTUNA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46304</v>
      </c>
      <c r="F322" t="inlineStr">
        <is>
          <t>SÖDERMANLANDS LÄN</t>
        </is>
      </c>
      <c r="G322" t="inlineStr">
        <is>
          <t>ESKILSTUNA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44572</v>
      </c>
      <c r="E323" s="1" t="n">
        <v>46304</v>
      </c>
      <c r="F323" t="inlineStr">
        <is>
          <t>SÖDERMANLANDS LÄN</t>
        </is>
      </c>
      <c r="G323" t="inlineStr">
        <is>
          <t>ESKILSTUNA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44797</v>
      </c>
      <c r="E324" s="1" t="n">
        <v>46304</v>
      </c>
      <c r="F324" t="inlineStr">
        <is>
          <t>SÖDERMANLANDS LÄN</t>
        </is>
      </c>
      <c r="G324" t="inlineStr">
        <is>
          <t>ESKILSTUNA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19502-2024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45429</v>
      </c>
      <c r="E325" s="1" t="n">
        <v>46304</v>
      </c>
      <c r="F325" t="inlineStr">
        <is>
          <t>SÖDERMANLANDS LÄN</t>
        </is>
      </c>
      <c r="G325" t="inlineStr">
        <is>
          <t>ESKILSTUNA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61416-2022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44916</v>
      </c>
      <c r="E326" s="1" t="n">
        <v>46304</v>
      </c>
      <c r="F326" t="inlineStr">
        <is>
          <t>SÖDERMANLANDS LÄN</t>
        </is>
      </c>
      <c r="G326" t="inlineStr">
        <is>
          <t>ESKILSTUNA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42801-2022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44832</v>
      </c>
      <c r="E327" s="1" t="n">
        <v>46304</v>
      </c>
      <c r="F327" t="inlineStr">
        <is>
          <t>SÖDERMANLANDS LÄN</t>
        </is>
      </c>
      <c r="G327" t="inlineStr">
        <is>
          <t>ESKILSTUNA</t>
        </is>
      </c>
      <c r="I327" t="n">
        <v>19.9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46304</v>
      </c>
      <c r="F328" t="inlineStr">
        <is>
          <t>SÖDERMANLANDS LÄN</t>
        </is>
      </c>
      <c r="G328" t="inlineStr">
        <is>
          <t>ESKILSTUNA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13426-2024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45387</v>
      </c>
      <c r="E329" s="1" t="n">
        <v>46304</v>
      </c>
      <c r="F329" t="inlineStr">
        <is>
          <t>SÖDERMANLANDS LÄN</t>
        </is>
      </c>
      <c r="G329" t="inlineStr">
        <is>
          <t>ESKILSTUNA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36648-2022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44804</v>
      </c>
      <c r="E330" s="1" t="n">
        <v>46304</v>
      </c>
      <c r="F330" t="inlineStr">
        <is>
          <t>SÖDERMANLANDS LÄN</t>
        </is>
      </c>
      <c r="G330" t="inlineStr">
        <is>
          <t>ESKILSTUNA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21923-2026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46150</v>
      </c>
      <c r="E331" s="1" t="n">
        <v>46304</v>
      </c>
      <c r="F331" t="inlineStr">
        <is>
          <t>SÖDERMANLANDS LÄN</t>
        </is>
      </c>
      <c r="G331" t="inlineStr">
        <is>
          <t>ESKILSTUNA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61988-2022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44918</v>
      </c>
      <c r="E332" s="1" t="n">
        <v>46304</v>
      </c>
      <c r="F332" t="inlineStr">
        <is>
          <t>SÖDERMANLANDS LÄN</t>
        </is>
      </c>
      <c r="G332" t="inlineStr">
        <is>
          <t>ESKILSTUNA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46304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25229-2022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44729</v>
      </c>
      <c r="E334" s="1" t="n">
        <v>46304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45363</v>
      </c>
      <c r="E335" s="1" t="n">
        <v>46304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46304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26871-2023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46304</v>
      </c>
      <c r="F337" t="inlineStr">
        <is>
          <t>SÖDERMANLANDS LÄN</t>
        </is>
      </c>
      <c r="G337" t="inlineStr">
        <is>
          <t>ESKILSTUNA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46304</v>
      </c>
      <c r="F338" t="inlineStr">
        <is>
          <t>SÖDERMANLANDS LÄN</t>
        </is>
      </c>
      <c r="G338" t="inlineStr">
        <is>
          <t>ESKILSTUNA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47581-2024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45587</v>
      </c>
      <c r="E339" s="1" t="n">
        <v>46304</v>
      </c>
      <c r="F339" t="inlineStr">
        <is>
          <t>SÖDERMANLANDS LÄN</t>
        </is>
      </c>
      <c r="G339" t="inlineStr">
        <is>
          <t>ESKILSTUNA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46157</v>
      </c>
      <c r="E340" s="1" t="n">
        <v>46304</v>
      </c>
      <c r="F340" t="inlineStr">
        <is>
          <t>SÖDERMANLANDS LÄN</t>
        </is>
      </c>
      <c r="G340" t="inlineStr">
        <is>
          <t>ESKILSTUNA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9711-2025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45715</v>
      </c>
      <c r="E341" s="1" t="n">
        <v>46304</v>
      </c>
      <c r="F341" t="inlineStr">
        <is>
          <t>SÖDERMANLANDS LÄN</t>
        </is>
      </c>
      <c r="G341" t="inlineStr">
        <is>
          <t>ESKILSTUNA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45897</v>
      </c>
      <c r="E342" s="1" t="n">
        <v>46304</v>
      </c>
      <c r="F342" t="inlineStr">
        <is>
          <t>SÖDERMANLANDS LÄN</t>
        </is>
      </c>
      <c r="G342" t="inlineStr">
        <is>
          <t>ESKILSTUNA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46304</v>
      </c>
      <c r="F343" t="inlineStr">
        <is>
          <t>SÖDERMANLANDS LÄN</t>
        </is>
      </c>
      <c r="G343" t="inlineStr">
        <is>
          <t>ESKILSTUNA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30960-2023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46304</v>
      </c>
      <c r="F344" t="inlineStr">
        <is>
          <t>SÖDERMANLANDS LÄN</t>
        </is>
      </c>
      <c r="G344" t="inlineStr">
        <is>
          <t>ESKILSTUNA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46304</v>
      </c>
      <c r="F345" t="inlineStr">
        <is>
          <t>SÖDERMANLANDS LÄN</t>
        </is>
      </c>
      <c r="G345" t="inlineStr">
        <is>
          <t>ESKILSTUNA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44956</v>
      </c>
      <c r="E346" s="1" t="n">
        <v>46304</v>
      </c>
      <c r="F346" t="inlineStr">
        <is>
          <t>SÖDERMANLANDS LÄN</t>
        </is>
      </c>
      <c r="G346" t="inlineStr">
        <is>
          <t>ESKILSTUNA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52203-2025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45953</v>
      </c>
      <c r="E347" s="1" t="n">
        <v>46304</v>
      </c>
      <c r="F347" t="inlineStr">
        <is>
          <t>SÖDERMANLANDS LÄN</t>
        </is>
      </c>
      <c r="G347" t="inlineStr">
        <is>
          <t>ESKILSTUNA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19523-2024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45429</v>
      </c>
      <c r="E348" s="1" t="n">
        <v>46304</v>
      </c>
      <c r="F348" t="inlineStr">
        <is>
          <t>SÖDERMANLANDS LÄN</t>
        </is>
      </c>
      <c r="G348" t="inlineStr">
        <is>
          <t>ESKILSTUNA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44938</v>
      </c>
      <c r="E349" s="1" t="n">
        <v>46304</v>
      </c>
      <c r="F349" t="inlineStr">
        <is>
          <t>SÖDERMANLANDS LÄN</t>
        </is>
      </c>
      <c r="G349" t="inlineStr">
        <is>
          <t>ESKILSTUNA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46872-2022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44851</v>
      </c>
      <c r="E350" s="1" t="n">
        <v>46304</v>
      </c>
      <c r="F350" t="inlineStr">
        <is>
          <t>SÖDERMANLANDS LÄN</t>
        </is>
      </c>
      <c r="G350" t="inlineStr">
        <is>
          <t>ESKILSTUNA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45069</v>
      </c>
      <c r="E351" s="1" t="n">
        <v>46304</v>
      </c>
      <c r="F351" t="inlineStr">
        <is>
          <t>SÖDERMANLANDS LÄN</t>
        </is>
      </c>
      <c r="G351" t="inlineStr">
        <is>
          <t>ESKILSTUNA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23665-2026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46164</v>
      </c>
      <c r="E352" s="1" t="n">
        <v>46304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52221-2025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45953</v>
      </c>
      <c r="E353" s="1" t="n">
        <v>46304</v>
      </c>
      <c r="F353" t="inlineStr">
        <is>
          <t>SÖDERMANLANDS LÄN</t>
        </is>
      </c>
      <c r="G353" t="inlineStr">
        <is>
          <t>ESKILSTUNA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44606</v>
      </c>
      <c r="E354" s="1" t="n">
        <v>46304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Kyrkan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46154</v>
      </c>
      <c r="E355" s="1" t="n">
        <v>46304</v>
      </c>
      <c r="F355" t="inlineStr">
        <is>
          <t>SÖDERMANLANDS LÄN</t>
        </is>
      </c>
      <c r="G355" t="inlineStr">
        <is>
          <t>ESKILSTUNA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46304</v>
      </c>
      <c r="F356" t="inlineStr">
        <is>
          <t>SÖDERMANLANDS LÄN</t>
        </is>
      </c>
      <c r="G356" t="inlineStr">
        <is>
          <t>ESKILSTUNA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56383-2025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46304</v>
      </c>
      <c r="F357" t="inlineStr">
        <is>
          <t>SÖDERMANLANDS LÄN</t>
        </is>
      </c>
      <c r="G357" t="inlineStr">
        <is>
          <t>ESKILSTUNA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44998</v>
      </c>
      <c r="E358" s="1" t="n">
        <v>46304</v>
      </c>
      <c r="F358" t="inlineStr">
        <is>
          <t>SÖDERMANLANDS LÄN</t>
        </is>
      </c>
      <c r="G358" t="inlineStr">
        <is>
          <t>ESKILSTUNA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44915</v>
      </c>
      <c r="E359" s="1" t="n">
        <v>46304</v>
      </c>
      <c r="F359" t="inlineStr">
        <is>
          <t>SÖDERMANLANDS LÄN</t>
        </is>
      </c>
      <c r="G359" t="inlineStr">
        <is>
          <t>ESKILSTUNA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46304</v>
      </c>
      <c r="F360" t="inlineStr">
        <is>
          <t>SÖDERMANLANDS LÄN</t>
        </is>
      </c>
      <c r="G360" t="inlineStr">
        <is>
          <t>ESKILSTUNA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50310-2022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44865</v>
      </c>
      <c r="E361" s="1" t="n">
        <v>46304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Kyrkan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4621-2022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44592</v>
      </c>
      <c r="E362" s="1" t="n">
        <v>46304</v>
      </c>
      <c r="F362" t="inlineStr">
        <is>
          <t>SÖDERMANLANDS LÄN</t>
        </is>
      </c>
      <c r="G362" t="inlineStr">
        <is>
          <t>ESKILSTUNA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25730-2024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45464</v>
      </c>
      <c r="E363" s="1" t="n">
        <v>46304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35367-2024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45531</v>
      </c>
      <c r="E364" s="1" t="n">
        <v>46304</v>
      </c>
      <c r="F364" t="inlineStr">
        <is>
          <t>SÖDERMANLANDS LÄN</t>
        </is>
      </c>
      <c r="G364" t="inlineStr">
        <is>
          <t>ESKILSTUNA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46304</v>
      </c>
      <c r="F365" t="inlineStr">
        <is>
          <t>SÖDERMANLANDS LÄN</t>
        </is>
      </c>
      <c r="G365" t="inlineStr">
        <is>
          <t>ESKILSTUNA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61829-2023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45266</v>
      </c>
      <c r="E366" s="1" t="n">
        <v>46304</v>
      </c>
      <c r="F366" t="inlineStr">
        <is>
          <t>SÖDERMANLANDS LÄN</t>
        </is>
      </c>
      <c r="G366" t="inlineStr">
        <is>
          <t>ESKILSTUNA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61831-2023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45266</v>
      </c>
      <c r="E367" s="1" t="n">
        <v>46304</v>
      </c>
      <c r="F367" t="inlineStr">
        <is>
          <t>SÖDERMANLANDS LÄN</t>
        </is>
      </c>
      <c r="G367" t="inlineStr">
        <is>
          <t>ESKILSTUNA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61367-2021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44499</v>
      </c>
      <c r="E368" s="1" t="n">
        <v>46304</v>
      </c>
      <c r="F368" t="inlineStr">
        <is>
          <t>SÖDERMANLANDS LÄN</t>
        </is>
      </c>
      <c r="G368" t="inlineStr">
        <is>
          <t>ESKILSTUNA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70560-2021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44536</v>
      </c>
      <c r="E369" s="1" t="n">
        <v>46304</v>
      </c>
      <c r="F369" t="inlineStr">
        <is>
          <t>SÖDERMANLANDS LÄN</t>
        </is>
      </c>
      <c r="G369" t="inlineStr">
        <is>
          <t>ESKILSTUNA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46304</v>
      </c>
      <c r="F370" t="inlineStr">
        <is>
          <t>SÖDERMANLANDS LÄN</t>
        </is>
      </c>
      <c r="G370" t="inlineStr">
        <is>
          <t>ESKILSTUNA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46304</v>
      </c>
      <c r="F371" t="inlineStr">
        <is>
          <t>SÖDERMANLANDS LÄN</t>
        </is>
      </c>
      <c r="G371" t="inlineStr">
        <is>
          <t>ESKILSTUNA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8920-2025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46304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Allmännings- och besparingsskogar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9646-2022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44617</v>
      </c>
      <c r="E373" s="1" t="n">
        <v>46304</v>
      </c>
      <c r="F373" t="inlineStr">
        <is>
          <t>SÖDERMANLANDS LÄN</t>
        </is>
      </c>
      <c r="G373" t="inlineStr">
        <is>
          <t>ESKILSTUNA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57061-2021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44482</v>
      </c>
      <c r="E374" s="1" t="n">
        <v>46304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26532-2022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44739</v>
      </c>
      <c r="E375" s="1" t="n">
        <v>46304</v>
      </c>
      <c r="F375" t="inlineStr">
        <is>
          <t>SÖDERMANLANDS LÄN</t>
        </is>
      </c>
      <c r="G375" t="inlineStr">
        <is>
          <t>ESKILSTUNA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46181</v>
      </c>
      <c r="E376" s="1" t="n">
        <v>46304</v>
      </c>
      <c r="F376" t="inlineStr">
        <is>
          <t>SÖDERMANLANDS LÄN</t>
        </is>
      </c>
      <c r="G376" t="inlineStr">
        <is>
          <t>ESKILSTUNA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44964</v>
      </c>
      <c r="E377" s="1" t="n">
        <v>46304</v>
      </c>
      <c r="F377" t="inlineStr">
        <is>
          <t>SÖDERMANLANDS LÄN</t>
        </is>
      </c>
      <c r="G377" t="inlineStr">
        <is>
          <t>ESKILSTUNA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46304</v>
      </c>
      <c r="F378" t="inlineStr">
        <is>
          <t>SÖDERMANLANDS LÄN</t>
        </is>
      </c>
      <c r="G378" t="inlineStr">
        <is>
          <t>ESKILSTUNA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46304</v>
      </c>
      <c r="F379" t="inlineStr">
        <is>
          <t>SÖDERMANLANDS LÄN</t>
        </is>
      </c>
      <c r="G379" t="inlineStr">
        <is>
          <t>ESKILSTUNA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27779-2026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46191</v>
      </c>
      <c r="E380" s="1" t="n">
        <v>46304</v>
      </c>
      <c r="F380" t="inlineStr">
        <is>
          <t>SÖDERMANLANDS LÄN</t>
        </is>
      </c>
      <c r="G380" t="inlineStr">
        <is>
          <t>ESKILSTUNA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57524-2022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44889</v>
      </c>
      <c r="E381" s="1" t="n">
        <v>46304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46304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Övriga Aktiebolag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20180-2022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44698</v>
      </c>
      <c r="E383" s="1" t="n">
        <v>46304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Kyrkan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27884-2026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46191</v>
      </c>
      <c r="E384" s="1" t="n">
        <v>46304</v>
      </c>
      <c r="F384" t="inlineStr">
        <is>
          <t>SÖDERMANLANDS LÄN</t>
        </is>
      </c>
      <c r="G384" t="inlineStr">
        <is>
          <t>ESKILSTUNA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46304</v>
      </c>
      <c r="F385" t="inlineStr">
        <is>
          <t>SÖDERMANLANDS LÄN</t>
        </is>
      </c>
      <c r="G385" t="inlineStr">
        <is>
          <t>ESKILSTUNA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13495-2024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45387</v>
      </c>
      <c r="E386" s="1" t="n">
        <v>46304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Kyrkan</t>
        </is>
      </c>
      <c r="I386" t="n">
        <v>6.9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47000-2022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44852</v>
      </c>
      <c r="E387" s="1" t="n">
        <v>46304</v>
      </c>
      <c r="F387" t="inlineStr">
        <is>
          <t>SÖDERMANLANDS LÄN</t>
        </is>
      </c>
      <c r="G387" t="inlineStr">
        <is>
          <t>ESKILSTUNA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25071-2022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44729</v>
      </c>
      <c r="E388" s="1" t="n">
        <v>46304</v>
      </c>
      <c r="F388" t="inlineStr">
        <is>
          <t>SÖDERMANLANDS LÄN</t>
        </is>
      </c>
      <c r="G388" t="inlineStr">
        <is>
          <t>ESKILSTUNA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29053-2026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46199</v>
      </c>
      <c r="E389" s="1" t="n">
        <v>46304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11522-2026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46304</v>
      </c>
      <c r="F390" t="inlineStr">
        <is>
          <t>SÖDERMANLANDS LÄN</t>
        </is>
      </c>
      <c r="G390" t="inlineStr">
        <is>
          <t>ESKILSTUNA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29051-2026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46199</v>
      </c>
      <c r="E391" s="1" t="n">
        <v>46304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27255-2022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44741</v>
      </c>
      <c r="E392" s="1" t="n">
        <v>46304</v>
      </c>
      <c r="F392" t="inlineStr">
        <is>
          <t>SÖDERMANLANDS LÄN</t>
        </is>
      </c>
      <c r="G392" t="inlineStr">
        <is>
          <t>ESKILSTUNA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45267</v>
      </c>
      <c r="E393" s="1" t="n">
        <v>46304</v>
      </c>
      <c r="F393" t="inlineStr">
        <is>
          <t>SÖDERMANLANDS LÄN</t>
        </is>
      </c>
      <c r="G393" t="inlineStr">
        <is>
          <t>ESKILSTUNA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46304</v>
      </c>
      <c r="F394" t="inlineStr">
        <is>
          <t>SÖDERMANLANDS LÄN</t>
        </is>
      </c>
      <c r="G394" t="inlineStr">
        <is>
          <t>ESKILSTUNA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45329</v>
      </c>
      <c r="E395" s="1" t="n">
        <v>46304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Kyrkan</t>
        </is>
      </c>
      <c r="I395" t="n">
        <v>12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46164</v>
      </c>
      <c r="E396" s="1" t="n">
        <v>46304</v>
      </c>
      <c r="F396" t="inlineStr">
        <is>
          <t>SÖDERMANLANDS LÄN</t>
        </is>
      </c>
      <c r="G396" t="inlineStr">
        <is>
          <t>ESKILSTUNA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22767-2026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46157</v>
      </c>
      <c r="E397" s="1" t="n">
        <v>46304</v>
      </c>
      <c r="F397" t="inlineStr">
        <is>
          <t>SÖDERMANLANDS LÄN</t>
        </is>
      </c>
      <c r="G397" t="inlineStr">
        <is>
          <t>ESKILSTUNA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44927-2023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45190</v>
      </c>
      <c r="E398" s="1" t="n">
        <v>46304</v>
      </c>
      <c r="F398" t="inlineStr">
        <is>
          <t>SÖDERMANLANDS LÄN</t>
        </is>
      </c>
      <c r="G398" t="inlineStr">
        <is>
          <t>ESKILSTUNA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45183</v>
      </c>
      <c r="E399" s="1" t="n">
        <v>46304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Allmännings- och besparingsskogar</t>
        </is>
      </c>
      <c r="I399" t="n">
        <v>15.8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46881-2022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44851</v>
      </c>
      <c r="E400" s="1" t="n">
        <v>46304</v>
      </c>
      <c r="F400" t="inlineStr">
        <is>
          <t>SÖDERMANLANDS LÄN</t>
        </is>
      </c>
      <c r="G400" t="inlineStr">
        <is>
          <t>ESKILSTUNA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46304</v>
      </c>
      <c r="F401" t="inlineStr">
        <is>
          <t>SÖDERMANLANDS LÄN</t>
        </is>
      </c>
      <c r="G401" t="inlineStr">
        <is>
          <t>ESKILSTUNA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10019-2024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45363</v>
      </c>
      <c r="E402" s="1" t="n">
        <v>46304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Allmännings- och besparingsskogar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55699-2024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46304</v>
      </c>
      <c r="F403" t="inlineStr">
        <is>
          <t>SÖDERMANLANDS LÄN</t>
        </is>
      </c>
      <c r="G403" t="inlineStr">
        <is>
          <t>ESKILSTUNA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65349-2021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44515</v>
      </c>
      <c r="E404" s="1" t="n">
        <v>46304</v>
      </c>
      <c r="F404" t="inlineStr">
        <is>
          <t>SÖDERMANLANDS LÄN</t>
        </is>
      </c>
      <c r="G404" t="inlineStr">
        <is>
          <t>ESKILSTUNA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15917-2022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44664</v>
      </c>
      <c r="E405" s="1" t="n">
        <v>46304</v>
      </c>
      <c r="F405" t="inlineStr">
        <is>
          <t>SÖDERMANLANDS LÄN</t>
        </is>
      </c>
      <c r="G405" t="inlineStr">
        <is>
          <t>ESKILSTUNA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31131-2026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46216</v>
      </c>
      <c r="E406" s="1" t="n">
        <v>46304</v>
      </c>
      <c r="F406" t="inlineStr">
        <is>
          <t>SÖDERMANLANDS LÄN</t>
        </is>
      </c>
      <c r="G406" t="inlineStr">
        <is>
          <t>ESKILSTUNA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33585-2022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44789</v>
      </c>
      <c r="E407" s="1" t="n">
        <v>46304</v>
      </c>
      <c r="F407" t="inlineStr">
        <is>
          <t>SÖDERMANLANDS LÄN</t>
        </is>
      </c>
      <c r="G407" t="inlineStr">
        <is>
          <t>ESKILSTUNA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31108-2026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46216</v>
      </c>
      <c r="E408" s="1" t="n">
        <v>46304</v>
      </c>
      <c r="F408" t="inlineStr">
        <is>
          <t>SÖDERMANLANDS LÄN</t>
        </is>
      </c>
      <c r="G408" t="inlineStr">
        <is>
          <t>ESKILSTUNA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53406-2023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45229</v>
      </c>
      <c r="E409" s="1" t="n">
        <v>46304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Allmännings- och besparingsskogar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45303</v>
      </c>
      <c r="E410" s="1" t="n">
        <v>46304</v>
      </c>
      <c r="F410" t="inlineStr">
        <is>
          <t>SÖDERMANLANDS LÄN</t>
        </is>
      </c>
      <c r="G410" t="inlineStr">
        <is>
          <t>ESKILSTUNA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46213</v>
      </c>
      <c r="E411" s="1" t="n">
        <v>46304</v>
      </c>
      <c r="F411" t="inlineStr">
        <is>
          <t>SÖDERMANLANDS LÄN</t>
        </is>
      </c>
      <c r="G411" t="inlineStr">
        <is>
          <t>ESKILSTUNA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61866-2022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44917</v>
      </c>
      <c r="E412" s="1" t="n">
        <v>46304</v>
      </c>
      <c r="F412" t="inlineStr">
        <is>
          <t>SÖDERMANLANDS LÄN</t>
        </is>
      </c>
      <c r="G412" t="inlineStr">
        <is>
          <t>ESKILSTUNA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58991-2022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44903</v>
      </c>
      <c r="E413" s="1" t="n">
        <v>46304</v>
      </c>
      <c r="F413" t="inlineStr">
        <is>
          <t>SÖDERMANLANDS LÄN</t>
        </is>
      </c>
      <c r="G413" t="inlineStr">
        <is>
          <t>ESKILSTUNA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31200-2026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46217</v>
      </c>
      <c r="E414" s="1" t="n">
        <v>46304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Kommuner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46217</v>
      </c>
      <c r="E415" s="1" t="n">
        <v>46304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Kommuner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31320-2026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46219</v>
      </c>
      <c r="E416" s="1" t="n">
        <v>46304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Sveaskog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55812-2022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44886</v>
      </c>
      <c r="E417" s="1" t="n">
        <v>46304</v>
      </c>
      <c r="F417" t="inlineStr">
        <is>
          <t>SÖDERMANLANDS LÄN</t>
        </is>
      </c>
      <c r="G417" t="inlineStr">
        <is>
          <t>ESKILSTUNA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44571</v>
      </c>
      <c r="E418" s="1" t="n">
        <v>46304</v>
      </c>
      <c r="F418" t="inlineStr">
        <is>
          <t>SÖDERMANLANDS LÄN</t>
        </is>
      </c>
      <c r="G418" t="inlineStr">
        <is>
          <t>ESKILSTUNA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1330-2024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45303</v>
      </c>
      <c r="E419" s="1" t="n">
        <v>46304</v>
      </c>
      <c r="F419" t="inlineStr">
        <is>
          <t>SÖDERMANLANDS LÄN</t>
        </is>
      </c>
      <c r="G419" t="inlineStr">
        <is>
          <t>ESKILSTUNA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1334-2024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45303</v>
      </c>
      <c r="E420" s="1" t="n">
        <v>46304</v>
      </c>
      <c r="F420" t="inlineStr">
        <is>
          <t>SÖDERMANLANDS LÄN</t>
        </is>
      </c>
      <c r="G420" t="inlineStr">
        <is>
          <t>ESKILSTUNA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45303</v>
      </c>
      <c r="E421" s="1" t="n">
        <v>46304</v>
      </c>
      <c r="F421" t="inlineStr">
        <is>
          <t>SÖDERMANLANDS LÄN</t>
        </is>
      </c>
      <c r="G421" t="inlineStr">
        <is>
          <t>ESKILSTUNA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45763</v>
      </c>
      <c r="E422" s="1" t="n">
        <v>46304</v>
      </c>
      <c r="F422" t="inlineStr">
        <is>
          <t>SÖDERMANLANDS LÄN</t>
        </is>
      </c>
      <c r="G422" t="inlineStr">
        <is>
          <t>ESKILSTUNA</t>
        </is>
      </c>
      <c r="I422" t="n">
        <v>15.6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26535-2022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44739</v>
      </c>
      <c r="E423" s="1" t="n">
        <v>46304</v>
      </c>
      <c r="F423" t="inlineStr">
        <is>
          <t>SÖDERMANLANDS LÄN</t>
        </is>
      </c>
      <c r="G423" t="inlineStr">
        <is>
          <t>ESKILSTUNA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39543-2023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45167</v>
      </c>
      <c r="E424" s="1" t="n">
        <v>46304</v>
      </c>
      <c r="F424" t="inlineStr">
        <is>
          <t>SÖDERMANLANDS LÄN</t>
        </is>
      </c>
      <c r="G424" t="inlineStr">
        <is>
          <t>ESKILSTUNA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12547-2022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44638</v>
      </c>
      <c r="E425" s="1" t="n">
        <v>46304</v>
      </c>
      <c r="F425" t="inlineStr">
        <is>
          <t>SÖDERMANLANDS LÄN</t>
        </is>
      </c>
      <c r="G425" t="inlineStr">
        <is>
          <t>ESKILSTUNA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49061-2023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46304</v>
      </c>
      <c r="F426" t="inlineStr">
        <is>
          <t>SÖDERMANLANDS LÄN</t>
        </is>
      </c>
      <c r="G426" t="inlineStr">
        <is>
          <t>ESKILSTUNA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13153-2026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46092</v>
      </c>
      <c r="E427" s="1" t="n">
        <v>46304</v>
      </c>
      <c r="F427" t="inlineStr">
        <is>
          <t>SÖDERMANLANDS LÄN</t>
        </is>
      </c>
      <c r="G427" t="inlineStr">
        <is>
          <t>ESKILSTUNA</t>
        </is>
      </c>
      <c r="I427" t="n">
        <v>7.8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68022-2021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44525</v>
      </c>
      <c r="E428" s="1" t="n">
        <v>46304</v>
      </c>
      <c r="F428" t="inlineStr">
        <is>
          <t>SÖDERMANLANDS LÄN</t>
        </is>
      </c>
      <c r="G428" t="inlineStr">
        <is>
          <t>ESKILSTUNA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61170-2021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44497</v>
      </c>
      <c r="E429" s="1" t="n">
        <v>46304</v>
      </c>
      <c r="F429" t="inlineStr">
        <is>
          <t>SÖDERMANLANDS LÄN</t>
        </is>
      </c>
      <c r="G429" t="inlineStr">
        <is>
          <t>ESKILSTUNA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43064-2023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45182</v>
      </c>
      <c r="E430" s="1" t="n">
        <v>46304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Allmännings- och besparingsskogar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29068-2022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44749</v>
      </c>
      <c r="E431" s="1" t="n">
        <v>46304</v>
      </c>
      <c r="F431" t="inlineStr">
        <is>
          <t>SÖDERMANLANDS LÄN</t>
        </is>
      </c>
      <c r="G431" t="inlineStr">
        <is>
          <t>ESKILSTUNA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44946</v>
      </c>
      <c r="E432" s="1" t="n">
        <v>46304</v>
      </c>
      <c r="F432" t="inlineStr">
        <is>
          <t>SÖDERMANLANDS LÄN</t>
        </is>
      </c>
      <c r="G432" t="inlineStr">
        <is>
          <t>ESKILSTUNA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37769-2023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45159</v>
      </c>
      <c r="E433" s="1" t="n">
        <v>46304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Kommuner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28011-2022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44746</v>
      </c>
      <c r="E434" s="1" t="n">
        <v>46304</v>
      </c>
      <c r="F434" t="inlineStr">
        <is>
          <t>SÖDERMANLANDS LÄN</t>
        </is>
      </c>
      <c r="G434" t="inlineStr">
        <is>
          <t>ESKILSTUNA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37882-2026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46279</v>
      </c>
      <c r="E435" s="1" t="n">
        <v>46304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Sveaskog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20348-2023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45056</v>
      </c>
      <c r="E436" s="1" t="n">
        <v>46304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46237</v>
      </c>
      <c r="E437" s="1" t="n">
        <v>46304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Sveaskog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22605-2023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45071</v>
      </c>
      <c r="E438" s="1" t="n">
        <v>46304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Kyrkan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32373-2026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46238</v>
      </c>
      <c r="E439" s="1" t="n">
        <v>46304</v>
      </c>
      <c r="F439" t="inlineStr">
        <is>
          <t>SÖDERMANLANDS LÄN</t>
        </is>
      </c>
      <c r="G439" t="inlineStr">
        <is>
          <t>ESKILSTUNA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32365-2026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46238</v>
      </c>
      <c r="E440" s="1" t="n">
        <v>46304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Sveaskog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45183</v>
      </c>
      <c r="E441" s="1" t="n">
        <v>46304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46304</v>
      </c>
      <c r="F442" t="inlineStr">
        <is>
          <t>SÖDERMANLANDS LÄN</t>
        </is>
      </c>
      <c r="G442" t="inlineStr">
        <is>
          <t>ESKILSTUNA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46239</v>
      </c>
      <c r="E443" s="1" t="n">
        <v>46304</v>
      </c>
      <c r="F443" t="inlineStr">
        <is>
          <t>SÖDERMANLANDS LÄN</t>
        </is>
      </c>
      <c r="G443" t="inlineStr">
        <is>
          <t>ESKILSTUNA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46241</v>
      </c>
      <c r="E444" s="1" t="n">
        <v>46304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60276-2024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46304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13826-2025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45737</v>
      </c>
      <c r="E446" s="1" t="n">
        <v>46304</v>
      </c>
      <c r="F446" t="inlineStr">
        <is>
          <t>SÖDERMANLANDS LÄN</t>
        </is>
      </c>
      <c r="G446" t="inlineStr">
        <is>
          <t>ESKILSTUNA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10352-2024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45365</v>
      </c>
      <c r="E447" s="1" t="n">
        <v>46304</v>
      </c>
      <c r="F447" t="inlineStr">
        <is>
          <t>SÖDERMANLANDS LÄN</t>
        </is>
      </c>
      <c r="G447" t="inlineStr">
        <is>
          <t>ESKILSTUNA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4334-2023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44953</v>
      </c>
      <c r="E448" s="1" t="n">
        <v>46304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9.6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60246-2024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45642</v>
      </c>
      <c r="E449" s="1" t="n">
        <v>46304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4954-2022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44593</v>
      </c>
      <c r="E450" s="1" t="n">
        <v>46304</v>
      </c>
      <c r="F450" t="inlineStr">
        <is>
          <t>SÖDERMANLANDS LÄN</t>
        </is>
      </c>
      <c r="G450" t="inlineStr">
        <is>
          <t>ESKILSTUNA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19285-2023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45049</v>
      </c>
      <c r="E451" s="1" t="n">
        <v>46304</v>
      </c>
      <c r="F451" t="inlineStr">
        <is>
          <t>SÖDERMANLANDS LÄN</t>
        </is>
      </c>
      <c r="G451" t="inlineStr">
        <is>
          <t>ESKILSTUNA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46287</v>
      </c>
      <c r="E452" s="1" t="n">
        <v>46304</v>
      </c>
      <c r="F452" t="inlineStr">
        <is>
          <t>SÖDERMANLANDS LÄN</t>
        </is>
      </c>
      <c r="G452" t="inlineStr">
        <is>
          <t>ESKILSTUNA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46244</v>
      </c>
      <c r="E453" s="1" t="n">
        <v>46304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Kommuner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46287</v>
      </c>
      <c r="E454" s="1" t="n">
        <v>46304</v>
      </c>
      <c r="F454" t="inlineStr">
        <is>
          <t>SÖDERMANLANDS LÄN</t>
        </is>
      </c>
      <c r="G454" t="inlineStr">
        <is>
          <t>ESKILSTUNA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46245</v>
      </c>
      <c r="E455" s="1" t="n">
        <v>46304</v>
      </c>
      <c r="F455" t="inlineStr">
        <is>
          <t>SÖDERMANLANDS LÄN</t>
        </is>
      </c>
      <c r="G455" t="inlineStr">
        <is>
          <t>ESKILSTUNA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46246</v>
      </c>
      <c r="E456" s="1" t="n">
        <v>46304</v>
      </c>
      <c r="F456" t="inlineStr">
        <is>
          <t>SÖDERMANLANDS LÄN</t>
        </is>
      </c>
      <c r="G456" t="inlineStr">
        <is>
          <t>ESKILSTUNA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24652-2025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45798</v>
      </c>
      <c r="E457" s="1" t="n">
        <v>46304</v>
      </c>
      <c r="F457" t="inlineStr">
        <is>
          <t>SÖDERMANLANDS LÄN</t>
        </is>
      </c>
      <c r="G457" t="inlineStr">
        <is>
          <t>ESKILSTUNA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24662-2025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45798</v>
      </c>
      <c r="E458" s="1" t="n">
        <v>46304</v>
      </c>
      <c r="F458" t="inlineStr">
        <is>
          <t>SÖDERMANLANDS LÄN</t>
        </is>
      </c>
      <c r="G458" t="inlineStr">
        <is>
          <t>ESKILSTUNA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24667-2025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45798</v>
      </c>
      <c r="E459" s="1" t="n">
        <v>46304</v>
      </c>
      <c r="F459" t="inlineStr">
        <is>
          <t>SÖDERMANLANDS LÄN</t>
        </is>
      </c>
      <c r="G459" t="inlineStr">
        <is>
          <t>ESKILSTUNA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24534-2025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45798</v>
      </c>
      <c r="E460" s="1" t="n">
        <v>46304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Sveaskog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24535-2025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45798</v>
      </c>
      <c r="E461" s="1" t="n">
        <v>46304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Sveaskog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24536-2025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45798</v>
      </c>
      <c r="E462" s="1" t="n">
        <v>46304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Sveaskog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43488-2024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45568</v>
      </c>
      <c r="E463" s="1" t="n">
        <v>46304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43489-2024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45568</v>
      </c>
      <c r="E464" s="1" t="n">
        <v>46304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24537-2025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45798</v>
      </c>
      <c r="E465" s="1" t="n">
        <v>46304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46245</v>
      </c>
      <c r="E466" s="1" t="n">
        <v>46304</v>
      </c>
      <c r="F466" t="inlineStr">
        <is>
          <t>SÖDERMANLANDS LÄN</t>
        </is>
      </c>
      <c r="G466" t="inlineStr">
        <is>
          <t>ESKILSTUNA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39700-2026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46289</v>
      </c>
      <c r="E467" s="1" t="n">
        <v>46304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Kyrkan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30096-2025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45826</v>
      </c>
      <c r="E468" s="1" t="n">
        <v>46304</v>
      </c>
      <c r="F468" t="inlineStr">
        <is>
          <t>SÖDERMANLANDS LÄN</t>
        </is>
      </c>
      <c r="G468" t="inlineStr">
        <is>
          <t>ESKILSTUNA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46304</v>
      </c>
      <c r="F469" t="inlineStr">
        <is>
          <t>SÖDERMANLANDS LÄN</t>
        </is>
      </c>
      <c r="G469" t="inlineStr">
        <is>
          <t>ESKILSTUNA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45826</v>
      </c>
      <c r="E470" s="1" t="n">
        <v>46304</v>
      </c>
      <c r="F470" t="inlineStr">
        <is>
          <t>SÖDERMANLANDS LÄN</t>
        </is>
      </c>
      <c r="G470" t="inlineStr">
        <is>
          <t>ESKILSTUNA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45826</v>
      </c>
      <c r="E471" s="1" t="n">
        <v>46304</v>
      </c>
      <c r="F471" t="inlineStr">
        <is>
          <t>SÖDERMANLANDS LÄN</t>
        </is>
      </c>
      <c r="G471" t="inlineStr">
        <is>
          <t>ESKILSTUNA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46304</v>
      </c>
      <c r="F472" t="inlineStr">
        <is>
          <t>SÖDERMANLANDS LÄN</t>
        </is>
      </c>
      <c r="G472" t="inlineStr">
        <is>
          <t>ESKILSTUNA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46304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46304</v>
      </c>
      <c r="F474" t="inlineStr">
        <is>
          <t>SÖDERMANLANDS LÄN</t>
        </is>
      </c>
      <c r="G474" t="inlineStr">
        <is>
          <t>ESKILSTUNA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46304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46304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46304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46304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46304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46304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46304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46304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46304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46304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46304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46304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2026-10-09T02:09:18Z</dcterms:created>
  <dcterms:modified xmlns:dcterms="http://purl.org/dc/terms/" xmlns:xsi="http://www.w3.org/2001/XMLSchema-instance" xsi:type="dcterms:W3CDTF">2026-10-09T02:09:18Z</dcterms:modified>
</cp:coreProperties>
</file>