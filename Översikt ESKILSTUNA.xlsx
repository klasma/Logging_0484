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46233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46233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46233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46233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46233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46233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46233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46233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46233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46233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46233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46233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46233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46233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46233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46233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46233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46233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46233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46233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59822-2025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46233</v>
      </c>
      <c r="F37" t="inlineStr">
        <is>
          <t>SÖDERMANLANDS LÄN</t>
        </is>
      </c>
      <c r="G37" t="inlineStr">
        <is>
          <t>ESKILSTUNA</t>
        </is>
      </c>
      <c r="I37" t="n">
        <v>8.5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Stubbspretmossa
Timmerticka</t>
        </is>
      </c>
      <c r="W37">
        <f>HYPERLINK("https://klasma.github.io/Logging_0484/artfynd/A 59822-2025 artfynd.xlsx", "A 59822-2025")</f>
        <v/>
      </c>
      <c r="X37">
        <f>HYPERLINK("https://klasma.github.io/Logging_0484/kartor/A 59822-2025 karta.png", "A 59822-2025")</f>
        <v/>
      </c>
      <c r="Y37">
        <f>HYPERLINK("https://klasma.github.io/Logging_0484/kartor_geotiff/A 59822-2025 georefererad karta.tif", "A 59822-2025")</f>
        <v/>
      </c>
      <c r="AA37">
        <f>HYPERLINK("https://klasma.github.io/Logging_0484/klagomål/A 59822-2025 FSC-klagomål.docx", "A 59822-2025")</f>
        <v/>
      </c>
      <c r="AB37">
        <f>HYPERLINK("https://klasma.github.io/Logging_0484/klagomålsmail/A 59822-2025 FSC-klagomål mail.docx", "A 59822-2025")</f>
        <v/>
      </c>
      <c r="AC37">
        <f>HYPERLINK("https://klasma.github.io/Logging_0484/tillsyn/A 59822-2025 tillsynsbegäran.docx", "A 59822-2025")</f>
        <v/>
      </c>
      <c r="AD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46233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46233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46233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46233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44664-2022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46233</v>
      </c>
      <c r="F42" t="inlineStr">
        <is>
          <t>SÖDERMANLANDS LÄN</t>
        </is>
      </c>
      <c r="G42" t="inlineStr">
        <is>
          <t>ESKILSTUNA</t>
        </is>
      </c>
      <c r="I42" t="n">
        <v>20.8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1</v>
      </c>
      <c r="V42" s="2" t="inlineStr">
        <is>
          <t>Knärot
Blåmossa</t>
        </is>
      </c>
      <c r="W42">
        <f>HYPERLINK("https://klasma.github.io/Logging_0484/artfynd/A 44664-2022 artfynd.xlsx", "A 44664-2022")</f>
        <v/>
      </c>
      <c r="X42">
        <f>HYPERLINK("https://klasma.github.io/Logging_0484/kartor/A 44664-2022 karta.png", "A 44664-2022")</f>
        <v/>
      </c>
      <c r="Y42">
        <f>HYPERLINK("https://klasma.github.io/Logging_0484/kartor_geotiff/A 44664-2022 georefererad karta.tif", "A 44664-2022")</f>
        <v/>
      </c>
      <c r="Z42">
        <f>HYPERLINK("https://klasma.github.io/Logging_0484/knärot/A 44664-2022 karta knärot.png", "A 44664-2022")</f>
        <v/>
      </c>
      <c r="AA42">
        <f>HYPERLINK("https://klasma.github.io/Logging_0484/klagomål/A 44664-2022 FSC-klagomål.docx", "A 44664-2022")</f>
        <v/>
      </c>
      <c r="AB42">
        <f>HYPERLINK("https://klasma.github.io/Logging_0484/klagomålsmail/A 44664-2022 FSC-klagomål mail.docx", "A 44664-2022")</f>
        <v/>
      </c>
      <c r="AC42">
        <f>HYPERLINK("https://klasma.github.io/Logging_0484/tillsyn/A 44664-2022 tillsynsbegäran.docx", "A 44664-2022")</f>
        <v/>
      </c>
      <c r="AD42">
        <f>HYPERLINK("https://klasma.github.io/Logging_0484/tillsynsmail/A 44664-2022 tillsynsbegäran mail.docx", "A 44664-2022")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46233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46233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46233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46233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46233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46233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46233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46233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46233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46233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46233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46233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46233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46233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46233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46233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46233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HYPERLINK("https://klasma.github.io/Logging_0484/artfynd/A 12984-2024 artfynd.xlsx", "A 12984-2024")</f>
        <v/>
      </c>
      <c r="X60">
        <f>HYPERLINK("https://klasma.github.io/Logging_0484/kartor/A 12984-2024 karta.png", "A 12984-2024")</f>
        <v/>
      </c>
      <c r="Y60">
        <f>HYPERLINK("https://klasma.github.io/Logging_0484/kartor_geotiff/A 12984-2024 georefererad karta.tif", "A 12984-2024")</f>
        <v/>
      </c>
      <c r="AA60">
        <f>HYPERLINK("https://klasma.github.io/Logging_0484/klagomål/A 12984-2024 FSC-klagomål.docx", "A 12984-2024")</f>
        <v/>
      </c>
      <c r="AB60">
        <f>HYPERLINK("https://klasma.github.io/Logging_0484/klagomålsmail/A 12984-2024 FSC-klagomål mail.docx", "A 12984-2024")</f>
        <v/>
      </c>
      <c r="AC60">
        <f>HYPERLINK("https://klasma.github.io/Logging_0484/tillsyn/A 12984-2024 tillsynsbegäran.docx", "A 12984-2024")</f>
        <v/>
      </c>
      <c r="AD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46233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46233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HYPERLINK("https://klasma.github.io/Logging_0484/artfynd/A 43547-2022 artfynd.xlsx", "A 43547-2022")</f>
        <v/>
      </c>
      <c r="X62">
        <f>HYPERLINK("https://klasma.github.io/Logging_0484/kartor/A 43547-2022 karta.png", "A 43547-2022")</f>
        <v/>
      </c>
      <c r="Y62">
        <f>HYPERLINK("https://klasma.github.io/Logging_0484/kartor_geotiff/A 43547-2022 georefererad karta.tif", "A 43547-2022")</f>
        <v/>
      </c>
      <c r="Z62">
        <f>HYPERLINK("https://klasma.github.io/Logging_0484/knärot/A 43547-2022 karta knärot.png", "A 43547-2022")</f>
        <v/>
      </c>
      <c r="AA62">
        <f>HYPERLINK("https://klasma.github.io/Logging_0484/klagomål/A 43547-2022 FSC-klagomål.docx", "A 43547-2022")</f>
        <v/>
      </c>
      <c r="AB62">
        <f>HYPERLINK("https://klasma.github.io/Logging_0484/klagomålsmail/A 43547-2022 FSC-klagomål mail.docx", "A 43547-2022")</f>
        <v/>
      </c>
      <c r="AC62">
        <f>HYPERLINK("https://klasma.github.io/Logging_0484/tillsyn/A 43547-2022 tillsynsbegäran.docx", "A 43547-2022")</f>
        <v/>
      </c>
      <c r="AD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46233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Grönsångare</t>
        </is>
      </c>
      <c r="W63">
        <f>HYPERLINK("https://klasma.github.io/Logging_0484/artfynd/A 47648-2022 artfynd.xlsx", "A 47648-2022")</f>
        <v/>
      </c>
      <c r="X63">
        <f>HYPERLINK("https://klasma.github.io/Logging_0484/kartor/A 47648-2022 karta.png", "A 47648-2022")</f>
        <v/>
      </c>
      <c r="Y63">
        <f>HYPERLINK("https://klasma.github.io/Logging_0484/kartor_geotiff/A 47648-2022 georefererad karta.tif", "A 47648-2022")</f>
        <v/>
      </c>
      <c r="AA63">
        <f>HYPERLINK("https://klasma.github.io/Logging_0484/klagomål/A 47648-2022 FSC-klagomål.docx", "A 47648-2022")</f>
        <v/>
      </c>
      <c r="AB63">
        <f>HYPERLINK("https://klasma.github.io/Logging_0484/klagomålsmail/A 47648-2022 FSC-klagomål mail.docx", "A 47648-2022")</f>
        <v/>
      </c>
      <c r="AC63">
        <f>HYPERLINK("https://klasma.github.io/Logging_0484/tillsyn/A 47648-2022 tillsynsbegäran.docx", "A 47648-2022")</f>
        <v/>
      </c>
      <c r="AD63">
        <f>HYPERLINK("https://klasma.github.io/Logging_0484/tillsynsmail/A 47648-2022 tillsynsbegäran mail.docx", "A 47648-2022")</f>
        <v/>
      </c>
      <c r="AE63">
        <f>HYPERLINK("https://klasma.github.io/Logging_0484/fåglar/A 47648-2022 prioriterade fågelarter.docx", "A 47648-2022")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46233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46233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46233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8518-2026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46233</v>
      </c>
      <c r="F67" t="inlineStr">
        <is>
          <t>SÖDERMANLANDS LÄN</t>
        </is>
      </c>
      <c r="G67" t="inlineStr">
        <is>
          <t>ESKILSTUNA</t>
        </is>
      </c>
      <c r="I67" t="n">
        <v>8.9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Igelkott</t>
        </is>
      </c>
      <c r="W67">
        <f>HYPERLINK("https://klasma.github.io/Logging_0484/artfynd/A 8518-2026 artfynd.xlsx", "A 8518-2026")</f>
        <v/>
      </c>
      <c r="X67">
        <f>HYPERLINK("https://klasma.github.io/Logging_0484/kartor/A 8518-2026 karta.png", "A 8518-2026")</f>
        <v/>
      </c>
      <c r="Y67">
        <f>HYPERLINK("https://klasma.github.io/Logging_0484/kartor_geotiff/A 8518-2026 georefererad karta.tif", "A 8518-2026")</f>
        <v/>
      </c>
      <c r="AA67">
        <f>HYPERLINK("https://klasma.github.io/Logging_0484/klagomål/A 8518-2026 FSC-klagomål.docx", "A 8518-2026")</f>
        <v/>
      </c>
      <c r="AB67">
        <f>HYPERLINK("https://klasma.github.io/Logging_0484/klagomålsmail/A 8518-2026 FSC-klagomål mail.docx", "A 8518-2026")</f>
        <v/>
      </c>
      <c r="AC67">
        <f>HYPERLINK("https://klasma.github.io/Logging_0484/tillsyn/A 8518-2026 tillsynsbegäran.docx", "A 8518-2026")</f>
        <v/>
      </c>
      <c r="AD67">
        <f>HYPERLINK("https://klasma.github.io/Logging_0484/tillsynsmail/A 8518-2026 tillsynsbegäran mail.docx", "A 8518-2026")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46233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46233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46233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46233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57349-2021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44483</v>
      </c>
      <c r="E72" s="1" t="n">
        <v>46233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Gullviva</t>
        </is>
      </c>
      <c r="W72">
        <f>HYPERLINK("https://klasma.github.io/Logging_0484/artfynd/A 57349-2021 artfynd.xlsx", "A 57349-2021")</f>
        <v/>
      </c>
      <c r="X72">
        <f>HYPERLINK("https://klasma.github.io/Logging_0484/kartor/A 57349-2021 karta.png", "A 57349-2021")</f>
        <v/>
      </c>
      <c r="Y72">
        <f>HYPERLINK("https://klasma.github.io/Logging_0484/kartor_geotiff/A 57349-2021 georefererad karta.tif", "A 57349-2021")</f>
        <v/>
      </c>
      <c r="AA72">
        <f>HYPERLINK("https://klasma.github.io/Logging_0484/klagomål/A 57349-2021 FSC-klagomål.docx", "A 57349-2021")</f>
        <v/>
      </c>
      <c r="AB72">
        <f>HYPERLINK("https://klasma.github.io/Logging_0484/klagomålsmail/A 57349-2021 FSC-klagomål mail.docx", "A 57349-2021")</f>
        <v/>
      </c>
      <c r="AC72">
        <f>HYPERLINK("https://klasma.github.io/Logging_0484/tillsyn/A 57349-2021 tillsynsbegäran.docx", "A 57349-2021")</f>
        <v/>
      </c>
      <c r="AD72">
        <f>HYPERLINK("https://klasma.github.io/Logging_0484/tillsynsmail/A 57349-2021 tillsynsbegäran mail.docx", "A 57349-2021")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46233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46233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Motaggsvamp</t>
        </is>
      </c>
      <c r="W74">
        <f>HYPERLINK("https://klasma.github.io/Logging_0484/artfynd/A 68018-2021 artfynd.xlsx", "A 68018-2021")</f>
        <v/>
      </c>
      <c r="X74">
        <f>HYPERLINK("https://klasma.github.io/Logging_0484/kartor/A 68018-2021 karta.png", "A 68018-2021")</f>
        <v/>
      </c>
      <c r="Y74">
        <f>HYPERLINK("https://klasma.github.io/Logging_0484/kartor_geotiff/A 68018-2021 georefererad karta.tif", "A 68018-2021")</f>
        <v/>
      </c>
      <c r="AA74">
        <f>HYPERLINK("https://klasma.github.io/Logging_0484/klagomål/A 68018-2021 FSC-klagomål.docx", "A 68018-2021")</f>
        <v/>
      </c>
      <c r="AB74">
        <f>HYPERLINK("https://klasma.github.io/Logging_0484/klagomålsmail/A 68018-2021 FSC-klagomål mail.docx", "A 68018-2021")</f>
        <v/>
      </c>
      <c r="AC74">
        <f>HYPERLINK("https://klasma.github.io/Logging_0484/tillsyn/A 68018-2021 tillsynsbegäran.docx", "A 68018-2021")</f>
        <v/>
      </c>
      <c r="AD74">
        <f>HYPERLINK("https://klasma.github.io/Logging_0484/tillsynsmail/A 68018-2021 tillsynsbegäran mail.docx", "A 68018-2021")</f>
        <v/>
      </c>
    </row>
    <row r="75" ht="15" customHeight="1">
      <c r="A75" t="inlineStr">
        <is>
          <t>A 51345-2024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46233</v>
      </c>
      <c r="F75" t="inlineStr">
        <is>
          <t>SÖDERMANLANDS LÄN</t>
        </is>
      </c>
      <c r="G75" t="inlineStr">
        <is>
          <t>ESKILSTUNA</t>
        </is>
      </c>
      <c r="I75" t="n">
        <v>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Revlummer</t>
        </is>
      </c>
      <c r="W75">
        <f>HYPERLINK("https://klasma.github.io/Logging_0484/artfynd/A 51345-2024 artfynd.xlsx", "A 51345-2024")</f>
        <v/>
      </c>
      <c r="X75">
        <f>HYPERLINK("https://klasma.github.io/Logging_0484/kartor/A 51345-2024 karta.png", "A 51345-2024")</f>
        <v/>
      </c>
      <c r="Y75">
        <f>HYPERLINK("https://klasma.github.io/Logging_0484/kartor_geotiff/A 51345-2024 georefererad karta.tif", "A 51345-2024")</f>
        <v/>
      </c>
      <c r="AA75">
        <f>HYPERLINK("https://klasma.github.io/Logging_0484/klagomål/A 51345-2024 FSC-klagomål.docx", "A 51345-2024")</f>
        <v/>
      </c>
      <c r="AB75">
        <f>HYPERLINK("https://klasma.github.io/Logging_0484/klagomålsmail/A 51345-2024 FSC-klagomål mail.docx", "A 51345-2024")</f>
        <v/>
      </c>
      <c r="AC75">
        <f>HYPERLINK("https://klasma.github.io/Logging_0484/tillsyn/A 51345-2024 tillsynsbegäran.docx", "A 51345-2024")</f>
        <v/>
      </c>
      <c r="AD75">
        <f>HYPERLINK("https://klasma.github.io/Logging_0484/tillsynsmail/A 51345-2024 tillsynsbegäran mail.docx", "A 51345-2024")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46233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27892-2026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46233</v>
      </c>
      <c r="F77" t="inlineStr">
        <is>
          <t>SÖDERMANLANDS LÄN</t>
        </is>
      </c>
      <c r="G77" t="inlineStr">
        <is>
          <t>ESKILSTUNA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Nattviol</t>
        </is>
      </c>
      <c r="W77">
        <f>HYPERLINK("https://klasma.github.io/Logging_0484/artfynd/A 27892-2026 artfynd.xlsx", "A 27892-2026")</f>
        <v/>
      </c>
      <c r="X77">
        <f>HYPERLINK("https://klasma.github.io/Logging_0484/kartor/A 27892-2026 karta.png", "A 27892-2026")</f>
        <v/>
      </c>
      <c r="Y77">
        <f>HYPERLINK("https://klasma.github.io/Logging_0484/kartor_geotiff/A 27892-2026 georefererad karta.tif", "A 27892-2026")</f>
        <v/>
      </c>
      <c r="AA77">
        <f>HYPERLINK("https://klasma.github.io/Logging_0484/klagomål/A 27892-2026 FSC-klagomål.docx", "A 27892-2026")</f>
        <v/>
      </c>
      <c r="AB77">
        <f>HYPERLINK("https://klasma.github.io/Logging_0484/klagomålsmail/A 27892-2026 FSC-klagomål mail.docx", "A 27892-2026")</f>
        <v/>
      </c>
      <c r="AC77">
        <f>HYPERLINK("https://klasma.github.io/Logging_0484/tillsyn/A 27892-2026 tillsynsbegäran.docx", "A 27892-2026")</f>
        <v/>
      </c>
      <c r="AD77">
        <f>HYPERLINK("https://klasma.github.io/Logging_0484/tillsynsmail/A 27892-2026 tillsynsbegäran mail.docx", "A 27892-2026")</f>
        <v/>
      </c>
    </row>
    <row r="78" ht="15" customHeight="1">
      <c r="A78" t="inlineStr">
        <is>
          <t>A 30975-2023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46233</v>
      </c>
      <c r="F78" t="inlineStr">
        <is>
          <t>SÖDERMANLANDS LÄN</t>
        </is>
      </c>
      <c r="G78" t="inlineStr">
        <is>
          <t>ESKILSTUNA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Bombmurkla</t>
        </is>
      </c>
      <c r="W78">
        <f>HYPERLINK("https://klasma.github.io/Logging_0484/artfynd/A 30975-2023 artfynd.xlsx", "A 30975-2023")</f>
        <v/>
      </c>
      <c r="X78">
        <f>HYPERLINK("https://klasma.github.io/Logging_0484/kartor/A 30975-2023 karta.png", "A 30975-2023")</f>
        <v/>
      </c>
      <c r="Y78">
        <f>HYPERLINK("https://klasma.github.io/Logging_0484/kartor_geotiff/A 30975-2023 georefererad karta.tif", "A 30975-2023")</f>
        <v/>
      </c>
      <c r="AA78">
        <f>HYPERLINK("https://klasma.github.io/Logging_0484/klagomål/A 30975-2023 FSC-klagomål.docx", "A 30975-2023")</f>
        <v/>
      </c>
      <c r="AB78">
        <f>HYPERLINK("https://klasma.github.io/Logging_0484/klagomålsmail/A 30975-2023 FSC-klagomål mail.docx", "A 30975-2023")</f>
        <v/>
      </c>
      <c r="AC78">
        <f>HYPERLINK("https://klasma.github.io/Logging_0484/tillsyn/A 30975-2023 tillsynsbegäran.docx", "A 30975-2023")</f>
        <v/>
      </c>
      <c r="AD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46233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29047-2026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46199</v>
      </c>
      <c r="E80" s="1" t="n">
        <v>46233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HYPERLINK("https://klasma.github.io/Logging_0484/artfynd/A 29047-2026 artfynd.xlsx", "A 29047-2026")</f>
        <v/>
      </c>
      <c r="X80">
        <f>HYPERLINK("https://klasma.github.io/Logging_0484/kartor/A 29047-2026 karta.png", "A 29047-2026")</f>
        <v/>
      </c>
      <c r="Y80">
        <f>HYPERLINK("https://klasma.github.io/Logging_0484/kartor_geotiff/A 29047-2026 georefererad karta.tif", "A 29047-2026")</f>
        <v/>
      </c>
      <c r="AA80">
        <f>HYPERLINK("https://klasma.github.io/Logging_0484/klagomål/A 29047-2026 FSC-klagomål.docx", "A 29047-2026")</f>
        <v/>
      </c>
      <c r="AB80">
        <f>HYPERLINK("https://klasma.github.io/Logging_0484/klagomålsmail/A 29047-2026 FSC-klagomål mail.docx", "A 29047-2026")</f>
        <v/>
      </c>
      <c r="AC80">
        <f>HYPERLINK("https://klasma.github.io/Logging_0484/tillsyn/A 29047-2026 tillsynsbegäran.docx", "A 29047-2026")</f>
        <v/>
      </c>
      <c r="AD80">
        <f>HYPERLINK("https://klasma.github.io/Logging_0484/tillsynsmail/A 29047-2026 tillsynsbegäran mail.docx", "A 29047-2026")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46233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46233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46233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46233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42012-2021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46233</v>
      </c>
      <c r="F85" t="inlineStr">
        <is>
          <t>SÖDERMANLANDS LÄN</t>
        </is>
      </c>
      <c r="G85" t="inlineStr">
        <is>
          <t>ESKILSTUNA</t>
        </is>
      </c>
      <c r="I85" t="n">
        <v>7.9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 sköldmossa</t>
        </is>
      </c>
      <c r="W85">
        <f>HYPERLINK("https://klasma.github.io/Logging_0484/artfynd/A 42012-2021 artfynd.xlsx", "A 42012-2021")</f>
        <v/>
      </c>
      <c r="X85">
        <f>HYPERLINK("https://klasma.github.io/Logging_0484/kartor/A 42012-2021 karta.png", "A 42012-2021")</f>
        <v/>
      </c>
      <c r="Y85">
        <f>HYPERLINK("https://klasma.github.io/Logging_0484/kartor_geotiff/A 42012-2021 georefererad karta.tif", "A 42012-2021")</f>
        <v/>
      </c>
      <c r="AA85">
        <f>HYPERLINK("https://klasma.github.io/Logging_0484/klagomål/A 42012-2021 FSC-klagomål.docx", "A 42012-2021")</f>
        <v/>
      </c>
      <c r="AB85">
        <f>HYPERLINK("https://klasma.github.io/Logging_0484/klagomålsmail/A 42012-2021 FSC-klagomål mail.docx", "A 42012-2021")</f>
        <v/>
      </c>
      <c r="AC85">
        <f>HYPERLINK("https://klasma.github.io/Logging_0484/tillsyn/A 42012-2021 tillsynsbegäran.docx", "A 42012-2021")</f>
        <v/>
      </c>
      <c r="AD85">
        <f>HYPERLINK("https://klasma.github.io/Logging_0484/tillsynsmail/A 42012-2021 tillsynsbegäran mail.docx", "A 42012-2021")</f>
        <v/>
      </c>
    </row>
    <row r="86" ht="15" customHeight="1">
      <c r="A86" t="inlineStr">
        <is>
          <t>A 48676-2021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44452</v>
      </c>
      <c r="E86" s="1" t="n">
        <v>46233</v>
      </c>
      <c r="F86" t="inlineStr">
        <is>
          <t>SÖDERMANLANDS LÄN</t>
        </is>
      </c>
      <c r="G86" t="inlineStr">
        <is>
          <t>ESKILSTUNA</t>
        </is>
      </c>
      <c r="I86" t="n">
        <v>8.4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Bronshjon</t>
        </is>
      </c>
      <c r="W86">
        <f>HYPERLINK("https://klasma.github.io/Logging_0484/artfynd/A 48676-2021 artfynd.xlsx", "A 48676-2021")</f>
        <v/>
      </c>
      <c r="X86">
        <f>HYPERLINK("https://klasma.github.io/Logging_0484/kartor/A 48676-2021 karta.png", "A 48676-2021")</f>
        <v/>
      </c>
      <c r="Y86">
        <f>HYPERLINK("https://klasma.github.io/Logging_0484/kartor_geotiff/A 48676-2021 georefererad karta.tif", "A 48676-2021")</f>
        <v/>
      </c>
      <c r="AA86">
        <f>HYPERLINK("https://klasma.github.io/Logging_0484/klagomål/A 48676-2021 FSC-klagomål.docx", "A 48676-2021")</f>
        <v/>
      </c>
      <c r="AB86">
        <f>HYPERLINK("https://klasma.github.io/Logging_0484/klagomålsmail/A 48676-2021 FSC-klagomål mail.docx", "A 48676-2021")</f>
        <v/>
      </c>
      <c r="AC86">
        <f>HYPERLINK("https://klasma.github.io/Logging_0484/tillsyn/A 48676-2021 tillsynsbegäran.docx", "A 48676-2021")</f>
        <v/>
      </c>
      <c r="AD86">
        <f>HYPERLINK("https://klasma.github.io/Logging_0484/tillsynsmail/A 48676-2021 tillsynsbegäran mail.docx", "A 48676-2021")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46233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46233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26008-2026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46233</v>
      </c>
      <c r="F89" t="inlineStr">
        <is>
          <t>SÖDERMANLANDS LÄN</t>
        </is>
      </c>
      <c r="G89" t="inlineStr">
        <is>
          <t>ESKILSTUNA</t>
        </is>
      </c>
      <c r="I89" t="n">
        <v>2.8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8</v>
      </c>
      <c r="U89" t="n">
        <v>0</v>
      </c>
      <c r="V89" s="2" t="inlineStr">
        <is>
          <t>Svart trolldruva</t>
        </is>
      </c>
      <c r="W89">
        <f>HYPERLINK("https://klasma.github.io/Logging_0484/artfynd/A 26008-2026 artfynd.xlsx", "A 26008-2026")</f>
        <v/>
      </c>
      <c r="X89">
        <f>HYPERLINK("https://klasma.github.io/Logging_0484/kartor/A 26008-2026 karta.png", "A 26008-2026")</f>
        <v/>
      </c>
      <c r="Y89">
        <f>HYPERLINK("https://klasma.github.io/Logging_0484/kartor_geotiff/A 26008-2026 georefererad karta.tif", "A 26008-2026")</f>
        <v/>
      </c>
      <c r="AA89">
        <f>HYPERLINK("https://klasma.github.io/Logging_0484/klagomål/A 26008-2026 FSC-klagomål.docx", "A 26008-2026")</f>
        <v/>
      </c>
      <c r="AB89">
        <f>HYPERLINK("https://klasma.github.io/Logging_0484/klagomålsmail/A 26008-2026 FSC-klagomål mail.docx", "A 26008-2026")</f>
        <v/>
      </c>
      <c r="AC89">
        <f>HYPERLINK("https://klasma.github.io/Logging_0484/tillsyn/A 26008-2026 tillsynsbegäran.docx", "A 26008-2026")</f>
        <v/>
      </c>
      <c r="AD89">
        <f>HYPERLINK("https://klasma.github.io/Logging_0484/tillsynsmail/A 26008-2026 tillsynsbegäran mail.docx", "A 26008-2026")</f>
        <v/>
      </c>
    </row>
    <row r="90" ht="15" customHeight="1">
      <c r="A90" t="inlineStr">
        <is>
          <t>A 26094-2026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46233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HYPERLINK("https://klasma.github.io/Logging_0484/artfynd/A 26094-2026 artfynd.xlsx", "A 26094-2026")</f>
        <v/>
      </c>
      <c r="X90">
        <f>HYPERLINK("https://klasma.github.io/Logging_0484/kartor/A 26094-2026 karta.png", "A 26094-2026")</f>
        <v/>
      </c>
      <c r="Y90">
        <f>HYPERLINK("https://klasma.github.io/Logging_0484/kartor_geotiff/A 26094-2026 georefererad karta.tif", "A 26094-2026")</f>
        <v/>
      </c>
      <c r="AA90">
        <f>HYPERLINK("https://klasma.github.io/Logging_0484/klagomål/A 26094-2026 FSC-klagomål.docx", "A 26094-2026")</f>
        <v/>
      </c>
      <c r="AB90">
        <f>HYPERLINK("https://klasma.github.io/Logging_0484/klagomålsmail/A 26094-2026 FSC-klagomål mail.docx", "A 26094-2026")</f>
        <v/>
      </c>
      <c r="AC90">
        <f>HYPERLINK("https://klasma.github.io/Logging_0484/tillsyn/A 26094-2026 tillsynsbegäran.docx", "A 26094-2026")</f>
        <v/>
      </c>
      <c r="AD90">
        <f>HYPERLINK("https://klasma.github.io/Logging_0484/tillsynsmail/A 26094-2026 tillsynsbegäran mail.docx", "A 26094-2026")</f>
        <v/>
      </c>
      <c r="AE90">
        <f>HYPERLINK("https://klasma.github.io/Logging_0484/fåglar/A 26094-2026 prioriterade fågelarter.docx", "A 26094-2026")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46233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HYPERLINK("https://klasma.github.io/Logging_0484/artfynd/A 14327-2023 artfynd.xlsx", "A 14327-2023")</f>
        <v/>
      </c>
      <c r="X91">
        <f>HYPERLINK("https://klasma.github.io/Logging_0484/kartor/A 14327-2023 karta.png", "A 14327-2023")</f>
        <v/>
      </c>
      <c r="Y91">
        <f>HYPERLINK("https://klasma.github.io/Logging_0484/kartor_geotiff/A 14327-2023 georefererad karta.tif", "A 14327-2023")</f>
        <v/>
      </c>
      <c r="AA91">
        <f>HYPERLINK("https://klasma.github.io/Logging_0484/klagomål/A 14327-2023 FSC-klagomål.docx", "A 14327-2023")</f>
        <v/>
      </c>
      <c r="AB91">
        <f>HYPERLINK("https://klasma.github.io/Logging_0484/klagomålsmail/A 14327-2023 FSC-klagomål mail.docx", "A 14327-2023")</f>
        <v/>
      </c>
      <c r="AC91">
        <f>HYPERLINK("https://klasma.github.io/Logging_0484/tillsyn/A 14327-2023 tillsynsbegäran.docx", "A 14327-2023")</f>
        <v/>
      </c>
      <c r="AD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46233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46233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46233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46233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46233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46233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46233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46233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46233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46233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46233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46233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46233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46233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46233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46233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46233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46233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46233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46233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46233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46233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46233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46233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46233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46233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46233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46233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46233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46233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46233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46233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46233</v>
      </c>
      <c r="F124" t="inlineStr">
        <is>
          <t>SÖDERMANLANDS LÄN</t>
        </is>
      </c>
      <c r="G124" t="inlineStr">
        <is>
          <t>ESKILSTUNA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46233</v>
      </c>
      <c r="F125" t="inlineStr">
        <is>
          <t>SÖDERMANLANDS LÄN</t>
        </is>
      </c>
      <c r="G125" t="inlineStr">
        <is>
          <t>ESKILSTUNA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46233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46233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70082-2021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46233</v>
      </c>
      <c r="F128" t="inlineStr">
        <is>
          <t>SÖDERMANLANDS LÄN</t>
        </is>
      </c>
      <c r="G128" t="inlineStr">
        <is>
          <t>ESKILSTUNA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46233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46233</v>
      </c>
      <c r="F130" t="inlineStr">
        <is>
          <t>SÖDERMANLANDS LÄN</t>
        </is>
      </c>
      <c r="G130" t="inlineStr">
        <is>
          <t>ESKILSTUNA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46233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46233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46233</v>
      </c>
      <c r="F133" t="inlineStr">
        <is>
          <t>SÖDERMANLANDS LÄN</t>
        </is>
      </c>
      <c r="G133" t="inlineStr">
        <is>
          <t>ESKILSTUNA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46233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46233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46233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44734</v>
      </c>
      <c r="E137" s="1" t="n">
        <v>46233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44588</v>
      </c>
      <c r="E138" s="1" t="n">
        <v>46233</v>
      </c>
      <c r="F138" t="inlineStr">
        <is>
          <t>SÖDERMANLANDS LÄN</t>
        </is>
      </c>
      <c r="G138" t="inlineStr">
        <is>
          <t>ESKILSTUNA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46233</v>
      </c>
      <c r="F139" t="inlineStr">
        <is>
          <t>SÖDERMANLANDS LÄN</t>
        </is>
      </c>
      <c r="G139" t="inlineStr">
        <is>
          <t>ESKILSTUNA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46233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46233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46233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46233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46233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46233</v>
      </c>
      <c r="F145" t="inlineStr">
        <is>
          <t>SÖDERMANLANDS LÄN</t>
        </is>
      </c>
      <c r="G145" t="inlineStr">
        <is>
          <t>ESKILSTUNA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46233</v>
      </c>
      <c r="F146" t="inlineStr">
        <is>
          <t>SÖDERMANLANDS LÄN</t>
        </is>
      </c>
      <c r="G146" t="inlineStr">
        <is>
          <t>ESKILSTUNA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46233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46233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46233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46233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44654</v>
      </c>
      <c r="E151" s="1" t="n">
        <v>46233</v>
      </c>
      <c r="F151" t="inlineStr">
        <is>
          <t>SÖDERMANLANDS LÄN</t>
        </is>
      </c>
      <c r="G151" t="inlineStr">
        <is>
          <t>ESKILSTUNA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46233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43396-2021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44432</v>
      </c>
      <c r="E153" s="1" t="n">
        <v>46233</v>
      </c>
      <c r="F153" t="inlineStr">
        <is>
          <t>SÖDERMANLANDS LÄN</t>
        </is>
      </c>
      <c r="G153" t="inlineStr">
        <is>
          <t>ESKILSTUNA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44490</v>
      </c>
      <c r="E154" s="1" t="n">
        <v>46233</v>
      </c>
      <c r="F154" t="inlineStr">
        <is>
          <t>SÖDERMANLANDS LÄN</t>
        </is>
      </c>
      <c r="G154" t="inlineStr">
        <is>
          <t>ESKILSTUNA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44435</v>
      </c>
      <c r="E155" s="1" t="n">
        <v>46233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46233</v>
      </c>
      <c r="F156" t="inlineStr">
        <is>
          <t>SÖDERMANLANDS LÄN</t>
        </is>
      </c>
      <c r="G156" t="inlineStr">
        <is>
          <t>ESKILSTUNA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44578</v>
      </c>
      <c r="E157" s="1" t="n">
        <v>46233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46233</v>
      </c>
      <c r="F158" t="inlineStr">
        <is>
          <t>SÖDERMANLANDS LÄN</t>
        </is>
      </c>
      <c r="G158" t="inlineStr">
        <is>
          <t>ESKILSTUNA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44426</v>
      </c>
      <c r="E159" s="1" t="n">
        <v>46233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46233</v>
      </c>
      <c r="F160" t="inlineStr">
        <is>
          <t>SÖDERMANLANDS LÄN</t>
        </is>
      </c>
      <c r="G160" t="inlineStr">
        <is>
          <t>ESKILSTUNA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46233</v>
      </c>
      <c r="F161" t="inlineStr">
        <is>
          <t>SÖDERMANLANDS LÄN</t>
        </is>
      </c>
      <c r="G161" t="inlineStr">
        <is>
          <t>ESKILSTUNA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46233</v>
      </c>
      <c r="F162" t="inlineStr">
        <is>
          <t>SÖDERMANLANDS LÄN</t>
        </is>
      </c>
      <c r="G162" t="inlineStr">
        <is>
          <t>ESKILSTUNA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44782</v>
      </c>
      <c r="E163" s="1" t="n">
        <v>46233</v>
      </c>
      <c r="F163" t="inlineStr">
        <is>
          <t>SÖDERMANLANDS LÄN</t>
        </is>
      </c>
      <c r="G163" t="inlineStr">
        <is>
          <t>ESKILSTUNA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46233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46233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44748</v>
      </c>
      <c r="E166" s="1" t="n">
        <v>46233</v>
      </c>
      <c r="F166" t="inlineStr">
        <is>
          <t>SÖDERMANLANDS LÄN</t>
        </is>
      </c>
      <c r="G166" t="inlineStr">
        <is>
          <t>ESKILSTUNA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46233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46233</v>
      </c>
      <c r="F168" t="inlineStr">
        <is>
          <t>SÖDERMANLANDS LÄN</t>
        </is>
      </c>
      <c r="G168" t="inlineStr">
        <is>
          <t>ESKILSTUNA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46233</v>
      </c>
      <c r="F169" t="inlineStr">
        <is>
          <t>SÖDERMANLANDS LÄN</t>
        </is>
      </c>
      <c r="G169" t="inlineStr">
        <is>
          <t>ESKILSTUNA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46233</v>
      </c>
      <c r="F170" t="inlineStr">
        <is>
          <t>SÖDERMANLANDS LÄN</t>
        </is>
      </c>
      <c r="G170" t="inlineStr">
        <is>
          <t>ESKILSTUNA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45429</v>
      </c>
      <c r="E171" s="1" t="n">
        <v>46233</v>
      </c>
      <c r="F171" t="inlineStr">
        <is>
          <t>SÖDERMANLANDS LÄN</t>
        </is>
      </c>
      <c r="G171" t="inlineStr">
        <is>
          <t>ESKILSTUNA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46233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46233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57304-2023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45245</v>
      </c>
      <c r="E174" s="1" t="n">
        <v>46233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46233</v>
      </c>
      <c r="F175" t="inlineStr">
        <is>
          <t>SÖDERMANLANDS LÄN</t>
        </is>
      </c>
      <c r="G175" t="inlineStr">
        <is>
          <t>ESKILSTUNA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44799</v>
      </c>
      <c r="E176" s="1" t="n">
        <v>46233</v>
      </c>
      <c r="F176" t="inlineStr">
        <is>
          <t>SÖDERMANLANDS LÄN</t>
        </is>
      </c>
      <c r="G176" t="inlineStr">
        <is>
          <t>ESKILSTUNA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46233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46233</v>
      </c>
      <c r="F178" t="inlineStr">
        <is>
          <t>SÖDERMANLANDS LÄN</t>
        </is>
      </c>
      <c r="G178" t="inlineStr">
        <is>
          <t>ESKILSTUNA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46233</v>
      </c>
      <c r="F179" t="inlineStr">
        <is>
          <t>SÖDERMANLANDS LÄN</t>
        </is>
      </c>
      <c r="G179" t="inlineStr">
        <is>
          <t>ESKILSTUNA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46233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45363</v>
      </c>
      <c r="E181" s="1" t="n">
        <v>46233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46233</v>
      </c>
      <c r="F182" t="inlineStr">
        <is>
          <t>SÖDERMANLANDS LÄN</t>
        </is>
      </c>
      <c r="G182" t="inlineStr">
        <is>
          <t>ESKILSTUNA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46233</v>
      </c>
      <c r="F183" t="inlineStr">
        <is>
          <t>SÖDERMANLANDS LÄN</t>
        </is>
      </c>
      <c r="G183" t="inlineStr">
        <is>
          <t>ESKILSTUNA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45464</v>
      </c>
      <c r="E184" s="1" t="n">
        <v>46233</v>
      </c>
      <c r="F184" t="inlineStr">
        <is>
          <t>SÖDERMANLANDS LÄN</t>
        </is>
      </c>
      <c r="G184" t="inlineStr">
        <is>
          <t>ESKILSTUNA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44979</v>
      </c>
      <c r="E185" s="1" t="n">
        <v>46233</v>
      </c>
      <c r="F185" t="inlineStr">
        <is>
          <t>SÖDERMANLANDS LÄN</t>
        </is>
      </c>
      <c r="G185" t="inlineStr">
        <is>
          <t>ESKILSTUNA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46233</v>
      </c>
      <c r="F186" t="inlineStr">
        <is>
          <t>SÖDERMANLANDS LÄN</t>
        </is>
      </c>
      <c r="G186" t="inlineStr">
        <is>
          <t>ESKILSTUNA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46233</v>
      </c>
      <c r="F187" t="inlineStr">
        <is>
          <t>SÖDERMANLANDS LÄN</t>
        </is>
      </c>
      <c r="G187" t="inlineStr">
        <is>
          <t>ESKILSTUNA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65349-2021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46233</v>
      </c>
      <c r="F188" t="inlineStr">
        <is>
          <t>SÖDERMANLANDS LÄN</t>
        </is>
      </c>
      <c r="G188" t="inlineStr">
        <is>
          <t>ESKILSTUNA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45012</v>
      </c>
      <c r="E189" s="1" t="n">
        <v>46233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Kommuner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46233</v>
      </c>
      <c r="F190" t="inlineStr">
        <is>
          <t>SÖDERMANLANDS LÄN</t>
        </is>
      </c>
      <c r="G190" t="inlineStr">
        <is>
          <t>ESKILSTUNA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46233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46233</v>
      </c>
      <c r="F192" t="inlineStr">
        <is>
          <t>SÖDERMANLANDS LÄN</t>
        </is>
      </c>
      <c r="G192" t="inlineStr">
        <is>
          <t>ESKILSTUNA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44571</v>
      </c>
      <c r="E193" s="1" t="n">
        <v>46233</v>
      </c>
      <c r="F193" t="inlineStr">
        <is>
          <t>SÖDERMANLANDS LÄN</t>
        </is>
      </c>
      <c r="G193" t="inlineStr">
        <is>
          <t>ESKILSTUNA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46233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46233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46233</v>
      </c>
      <c r="F196" t="inlineStr">
        <is>
          <t>SÖDERMANLANDS LÄN</t>
        </is>
      </c>
      <c r="G196" t="inlineStr">
        <is>
          <t>ESKILSTUNA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46233</v>
      </c>
      <c r="F197" t="inlineStr">
        <is>
          <t>SÖDERMANLANDS LÄN</t>
        </is>
      </c>
      <c r="G197" t="inlineStr">
        <is>
          <t>ESKILSTUNA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46233</v>
      </c>
      <c r="F198" t="inlineStr">
        <is>
          <t>SÖDERMANLANDS LÄN</t>
        </is>
      </c>
      <c r="G198" t="inlineStr">
        <is>
          <t>ESKILSTUNA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46233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44626</v>
      </c>
      <c r="E200" s="1" t="n">
        <v>46233</v>
      </c>
      <c r="F200" t="inlineStr">
        <is>
          <t>SÖDERMANLANDS LÄN</t>
        </is>
      </c>
      <c r="G200" t="inlineStr">
        <is>
          <t>ESKILSTUNA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61367-2021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44499</v>
      </c>
      <c r="E201" s="1" t="n">
        <v>46233</v>
      </c>
      <c r="F201" t="inlineStr">
        <is>
          <t>SÖDERMANLANDS LÄN</t>
        </is>
      </c>
      <c r="G201" t="inlineStr">
        <is>
          <t>ESKILSTUNA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46233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46233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46043</v>
      </c>
      <c r="E204" s="1" t="n">
        <v>46233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46233</v>
      </c>
      <c r="F205" t="inlineStr">
        <is>
          <t>SÖDERMANLANDS LÄN</t>
        </is>
      </c>
      <c r="G205" t="inlineStr">
        <is>
          <t>ESKILSTUNA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46233</v>
      </c>
      <c r="F206" t="inlineStr">
        <is>
          <t>SÖDERMANLANDS LÄN</t>
        </is>
      </c>
      <c r="G206" t="inlineStr">
        <is>
          <t>ESKILSTUNA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46233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46233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30096-2025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45826</v>
      </c>
      <c r="E209" s="1" t="n">
        <v>46233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46233</v>
      </c>
      <c r="F210" t="inlineStr">
        <is>
          <t>SÖDERMANLANDS LÄN</t>
        </is>
      </c>
      <c r="G210" t="inlineStr">
        <is>
          <t>ESKILSTUNA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46233</v>
      </c>
      <c r="F211" t="inlineStr">
        <is>
          <t>SÖDERMANLANDS LÄN</t>
        </is>
      </c>
      <c r="G211" t="inlineStr">
        <is>
          <t>ESKILSTUNA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46233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46233</v>
      </c>
      <c r="F213" t="inlineStr">
        <is>
          <t>SÖDERMANLANDS LÄN</t>
        </is>
      </c>
      <c r="G213" t="inlineStr">
        <is>
          <t>ESKILSTUNA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46233</v>
      </c>
      <c r="F214" t="inlineStr">
        <is>
          <t>SÖDERMANLANDS LÄN</t>
        </is>
      </c>
      <c r="G214" t="inlineStr">
        <is>
          <t>ESKILSTUNA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46233</v>
      </c>
      <c r="F215" t="inlineStr">
        <is>
          <t>SÖDERMANLANDS LÄN</t>
        </is>
      </c>
      <c r="G215" t="inlineStr">
        <is>
          <t>ESKILSTUNA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46233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Kyrkan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46233</v>
      </c>
      <c r="F217" t="inlineStr">
        <is>
          <t>SÖDERMANLANDS LÄN</t>
        </is>
      </c>
      <c r="G217" t="inlineStr">
        <is>
          <t>ESKILSTUNA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46233</v>
      </c>
      <c r="F218" t="inlineStr">
        <is>
          <t>SÖDERMANLANDS LÄN</t>
        </is>
      </c>
      <c r="G218" t="inlineStr">
        <is>
          <t>ESKILSTUNA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46233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46233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44889</v>
      </c>
      <c r="E221" s="1" t="n">
        <v>46233</v>
      </c>
      <c r="F221" t="inlineStr">
        <is>
          <t>SÖDERMANLANDS LÄN</t>
        </is>
      </c>
      <c r="G221" t="inlineStr">
        <is>
          <t>ESKILSTUNA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44617</v>
      </c>
      <c r="E222" s="1" t="n">
        <v>46233</v>
      </c>
      <c r="F222" t="inlineStr">
        <is>
          <t>SÖDERMANLANDS LÄN</t>
        </is>
      </c>
      <c r="G222" t="inlineStr">
        <is>
          <t>ESKILSTUNA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12547-2022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44638</v>
      </c>
      <c r="E223" s="1" t="n">
        <v>46233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46233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46233</v>
      </c>
      <c r="F225" t="inlineStr">
        <is>
          <t>SÖDERMANLANDS LÄN</t>
        </is>
      </c>
      <c r="G225" t="inlineStr">
        <is>
          <t>ESKILSTUNA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51801-2025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45950</v>
      </c>
      <c r="E226" s="1" t="n">
        <v>46233</v>
      </c>
      <c r="F226" t="inlineStr">
        <is>
          <t>SÖDERMANLANDS LÄN</t>
        </is>
      </c>
      <c r="G226" t="inlineStr">
        <is>
          <t>ESKILSTUNA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46233</v>
      </c>
      <c r="F227" t="inlineStr">
        <is>
          <t>SÖDERMANLANDS LÄN</t>
        </is>
      </c>
      <c r="G227" t="inlineStr">
        <is>
          <t>ESKILSTUNA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46233</v>
      </c>
      <c r="F228" t="inlineStr">
        <is>
          <t>SÖDERMANLANDS LÄN</t>
        </is>
      </c>
      <c r="G228" t="inlineStr">
        <is>
          <t>ESKILSTUNA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46233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46233</v>
      </c>
      <c r="F230" t="inlineStr">
        <is>
          <t>SÖDERMANLANDS LÄN</t>
        </is>
      </c>
      <c r="G230" t="inlineStr">
        <is>
          <t>ESKILSTUNA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61829-2023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45266</v>
      </c>
      <c r="E231" s="1" t="n">
        <v>46233</v>
      </c>
      <c r="F231" t="inlineStr">
        <is>
          <t>SÖDERMANLANDS LÄN</t>
        </is>
      </c>
      <c r="G231" t="inlineStr">
        <is>
          <t>ESKILSTUNA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46233</v>
      </c>
      <c r="F232" t="inlineStr">
        <is>
          <t>SÖDERMANLANDS LÄN</t>
        </is>
      </c>
      <c r="G232" t="inlineStr">
        <is>
          <t>ESKILSTUNA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46233</v>
      </c>
      <c r="F233" t="inlineStr">
        <is>
          <t>SÖDERMANLANDS LÄN</t>
        </is>
      </c>
      <c r="G233" t="inlineStr">
        <is>
          <t>ESKILSTUNA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46233</v>
      </c>
      <c r="F234" t="inlineStr">
        <is>
          <t>SÖDERMANLANDS LÄN</t>
        </is>
      </c>
      <c r="G234" t="inlineStr">
        <is>
          <t>ESKILSTUNA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46233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44698</v>
      </c>
      <c r="E236" s="1" t="n">
        <v>46233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46233</v>
      </c>
      <c r="F237" t="inlineStr">
        <is>
          <t>SÖDERMANLANDS LÄN</t>
        </is>
      </c>
      <c r="G237" t="inlineStr">
        <is>
          <t>ESKILSTUNA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46233</v>
      </c>
      <c r="F238" t="inlineStr">
        <is>
          <t>SÖDERMANLANDS LÄN</t>
        </is>
      </c>
      <c r="G238" t="inlineStr">
        <is>
          <t>ESKILSTUNA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46233</v>
      </c>
      <c r="F239" t="inlineStr">
        <is>
          <t>SÖDERMANLANDS LÄN</t>
        </is>
      </c>
      <c r="G239" t="inlineStr">
        <is>
          <t>ESKILSTUNA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46233</v>
      </c>
      <c r="F240" t="inlineStr">
        <is>
          <t>SÖDERMANLANDS LÄN</t>
        </is>
      </c>
      <c r="G240" t="inlineStr">
        <is>
          <t>ESKILSTUNA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46233</v>
      </c>
      <c r="F241" t="inlineStr">
        <is>
          <t>SÖDERMANLANDS LÄN</t>
        </is>
      </c>
      <c r="G241" t="inlineStr">
        <is>
          <t>ESKILSTUNA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28011-2022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46233</v>
      </c>
      <c r="F242" t="inlineStr">
        <is>
          <t>SÖDERMANLANDS LÄN</t>
        </is>
      </c>
      <c r="G242" t="inlineStr">
        <is>
          <t>ESKILSTUNA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46233</v>
      </c>
      <c r="F243" t="inlineStr">
        <is>
          <t>SÖDERMANLANDS LÄN</t>
        </is>
      </c>
      <c r="G243" t="inlineStr">
        <is>
          <t>ESKILSTUNA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46233</v>
      </c>
      <c r="F244" t="inlineStr">
        <is>
          <t>SÖDERMANLANDS LÄN</t>
        </is>
      </c>
      <c r="G244" t="inlineStr">
        <is>
          <t>ESKILSTUNA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46233</v>
      </c>
      <c r="F245" t="inlineStr">
        <is>
          <t>SÖDERMANLANDS LÄN</t>
        </is>
      </c>
      <c r="G245" t="inlineStr">
        <is>
          <t>ESKILSTUNA</t>
        </is>
      </c>
      <c r="I245" t="n">
        <v>16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46233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Kyrkan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46233</v>
      </c>
      <c r="F247" t="inlineStr">
        <is>
          <t>SÖDERMANLANDS LÄN</t>
        </is>
      </c>
      <c r="G247" t="inlineStr">
        <is>
          <t>ESKILSTUNA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46233</v>
      </c>
      <c r="F248" t="inlineStr">
        <is>
          <t>SÖDERMANLANDS LÄN</t>
        </is>
      </c>
      <c r="G248" t="inlineStr">
        <is>
          <t>ESKILSTUNA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44983</v>
      </c>
      <c r="E249" s="1" t="n">
        <v>46233</v>
      </c>
      <c r="F249" t="inlineStr">
        <is>
          <t>SÖDERMANLANDS LÄN</t>
        </is>
      </c>
      <c r="G249" t="inlineStr">
        <is>
          <t>ESKILSTUNA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61866-2022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46233</v>
      </c>
      <c r="F250" t="inlineStr">
        <is>
          <t>SÖDERMANLANDS LÄN</t>
        </is>
      </c>
      <c r="G250" t="inlineStr">
        <is>
          <t>ESKILSTUNA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46233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46233</v>
      </c>
      <c r="F252" t="inlineStr">
        <is>
          <t>SÖDERMANLANDS LÄN</t>
        </is>
      </c>
      <c r="G252" t="inlineStr">
        <is>
          <t>ESKILSTUNA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13295-2023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46233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46233</v>
      </c>
      <c r="F254" t="inlineStr">
        <is>
          <t>SÖDERMANLANDS LÄN</t>
        </is>
      </c>
      <c r="G254" t="inlineStr">
        <is>
          <t>ESKILSTUNA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44490</v>
      </c>
      <c r="E255" s="1" t="n">
        <v>46233</v>
      </c>
      <c r="F255" t="inlineStr">
        <is>
          <t>SÖDERMANLANDS LÄN</t>
        </is>
      </c>
      <c r="G255" t="inlineStr">
        <is>
          <t>ESKILSTUNA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46233</v>
      </c>
      <c r="F256" t="inlineStr">
        <is>
          <t>SÖDERMANLANDS LÄN</t>
        </is>
      </c>
      <c r="G256" t="inlineStr">
        <is>
          <t>ESKILSTUNA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46233</v>
      </c>
      <c r="F257" t="inlineStr">
        <is>
          <t>SÖDERMANLANDS LÄN</t>
        </is>
      </c>
      <c r="G257" t="inlineStr">
        <is>
          <t>ESKILSTUNA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44741</v>
      </c>
      <c r="E258" s="1" t="n">
        <v>46233</v>
      </c>
      <c r="F258" t="inlineStr">
        <is>
          <t>SÖDERMANLANDS LÄN</t>
        </is>
      </c>
      <c r="G258" t="inlineStr">
        <is>
          <t>ESKILSTUNA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61367-2021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44499</v>
      </c>
      <c r="E259" s="1" t="n">
        <v>46233</v>
      </c>
      <c r="F259" t="inlineStr">
        <is>
          <t>SÖDERMANLANDS LÄN</t>
        </is>
      </c>
      <c r="G259" t="inlineStr">
        <is>
          <t>ESKILSTUNA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65595-2021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46233</v>
      </c>
      <c r="F260" t="inlineStr">
        <is>
          <t>SÖDERMANLANDS LÄN</t>
        </is>
      </c>
      <c r="G260" t="inlineStr">
        <is>
          <t>ESKILSTUNA</t>
        </is>
      </c>
      <c r="I260" t="n">
        <v>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46233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Allmännings- och besparingsskogar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46233</v>
      </c>
      <c r="F262" t="inlineStr">
        <is>
          <t>SÖDERMANLANDS LÄN</t>
        </is>
      </c>
      <c r="G262" t="inlineStr">
        <is>
          <t>ESKILSTUNA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38895-2023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45163</v>
      </c>
      <c r="E263" s="1" t="n">
        <v>46233</v>
      </c>
      <c r="F263" t="inlineStr">
        <is>
          <t>SÖDERMANLANDS LÄN</t>
        </is>
      </c>
      <c r="G263" t="inlineStr">
        <is>
          <t>ESKILSTUNA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45713</v>
      </c>
      <c r="E264" s="1" t="n">
        <v>46233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44832</v>
      </c>
      <c r="E265" s="1" t="n">
        <v>46233</v>
      </c>
      <c r="F265" t="inlineStr">
        <is>
          <t>SÖDERMANLANDS LÄN</t>
        </is>
      </c>
      <c r="G265" t="inlineStr">
        <is>
          <t>ESKILSTUNA</t>
        </is>
      </c>
      <c r="I265" t="n">
        <v>19.9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46233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44019-2021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44434</v>
      </c>
      <c r="E267" s="1" t="n">
        <v>46233</v>
      </c>
      <c r="F267" t="inlineStr">
        <is>
          <t>SÖDERMANLANDS LÄN</t>
        </is>
      </c>
      <c r="G267" t="inlineStr">
        <is>
          <t>ESKILSTUNA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46233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46233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46233</v>
      </c>
      <c r="F270" t="inlineStr">
        <is>
          <t>SÖDERMANLANDS LÄN</t>
        </is>
      </c>
      <c r="G270" t="inlineStr">
        <is>
          <t>ESKILSTUNA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46233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46233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46233</v>
      </c>
      <c r="F273" t="inlineStr">
        <is>
          <t>SÖDERMANLANDS LÄN</t>
        </is>
      </c>
      <c r="G273" t="inlineStr">
        <is>
          <t>ESKILSTUNA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68022-2021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46233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46233</v>
      </c>
      <c r="F275" t="inlineStr">
        <is>
          <t>SÖDERMANLANDS LÄN</t>
        </is>
      </c>
      <c r="G275" t="inlineStr">
        <is>
          <t>ESKILSTUNA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46233</v>
      </c>
      <c r="F276" t="inlineStr">
        <is>
          <t>SÖDERMANLANDS LÄN</t>
        </is>
      </c>
      <c r="G276" t="inlineStr">
        <is>
          <t>ESKILSTUNA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46233</v>
      </c>
      <c r="F277" t="inlineStr">
        <is>
          <t>SÖDERMANLANDS LÄN</t>
        </is>
      </c>
      <c r="G277" t="inlineStr">
        <is>
          <t>ESKILSTUNA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46233</v>
      </c>
      <c r="F278" t="inlineStr">
        <is>
          <t>SÖDERMANLANDS LÄN</t>
        </is>
      </c>
      <c r="G278" t="inlineStr">
        <is>
          <t>ESKILSTUNA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44671</v>
      </c>
      <c r="E279" s="1" t="n">
        <v>46233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46233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52830-2021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46233</v>
      </c>
      <c r="F281" t="inlineStr">
        <is>
          <t>SÖDERMANLANDS LÄN</t>
        </is>
      </c>
      <c r="G281" t="inlineStr">
        <is>
          <t>ESKILSTUNA</t>
        </is>
      </c>
      <c r="I281" t="n">
        <v>8.6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46233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46233</v>
      </c>
      <c r="F283" t="inlineStr">
        <is>
          <t>SÖDERMANLANDS LÄN</t>
        </is>
      </c>
      <c r="G283" t="inlineStr">
        <is>
          <t>ESKILSTUNA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46233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46233</v>
      </c>
      <c r="F285" t="inlineStr">
        <is>
          <t>SÖDERMANLANDS LÄN</t>
        </is>
      </c>
      <c r="G285" t="inlineStr">
        <is>
          <t>ESKILSTUNA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46233</v>
      </c>
      <c r="F286" t="inlineStr">
        <is>
          <t>SÖDERMANLANDS LÄN</t>
        </is>
      </c>
      <c r="G286" t="inlineStr">
        <is>
          <t>ESKILSTUNA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46233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46233</v>
      </c>
      <c r="F288" t="inlineStr">
        <is>
          <t>SÖDERMANLANDS LÄN</t>
        </is>
      </c>
      <c r="G288" t="inlineStr">
        <is>
          <t>ESKILSTUNA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46233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46233</v>
      </c>
      <c r="F290" t="inlineStr">
        <is>
          <t>SÖDERMANLANDS LÄN</t>
        </is>
      </c>
      <c r="G290" t="inlineStr">
        <is>
          <t>ESKILSTUNA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41997-2021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44426</v>
      </c>
      <c r="E291" s="1" t="n">
        <v>46233</v>
      </c>
      <c r="F291" t="inlineStr">
        <is>
          <t>SÖDERMANLANDS LÄN</t>
        </is>
      </c>
      <c r="G291" t="inlineStr">
        <is>
          <t>ESKILSTUNA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65614-2021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46233</v>
      </c>
      <c r="F292" t="inlineStr">
        <is>
          <t>SÖDERMANLANDS LÄN</t>
        </is>
      </c>
      <c r="G292" t="inlineStr">
        <is>
          <t>ESKILSTUNA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44916</v>
      </c>
      <c r="E293" s="1" t="n">
        <v>46233</v>
      </c>
      <c r="F293" t="inlineStr">
        <is>
          <t>SÖDERMANLANDS LÄN</t>
        </is>
      </c>
      <c r="G293" t="inlineStr">
        <is>
          <t>ESKILSTUNA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44888</v>
      </c>
      <c r="E294" s="1" t="n">
        <v>46233</v>
      </c>
      <c r="F294" t="inlineStr">
        <is>
          <t>SÖDERMANLANDS LÄN</t>
        </is>
      </c>
      <c r="G294" t="inlineStr">
        <is>
          <t>ESKILSTUNA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50310-2022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44865</v>
      </c>
      <c r="E295" s="1" t="n">
        <v>46233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Kyrkan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46233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46233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46233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46233</v>
      </c>
      <c r="F299" t="inlineStr">
        <is>
          <t>SÖDERMANLANDS LÄN</t>
        </is>
      </c>
      <c r="G299" t="inlineStr">
        <is>
          <t>ESKILSTUNA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46233</v>
      </c>
      <c r="F300" t="inlineStr">
        <is>
          <t>SÖDERMANLANDS LÄN</t>
        </is>
      </c>
      <c r="G300" t="inlineStr">
        <is>
          <t>ESKILSTUNA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46233</v>
      </c>
      <c r="F301" t="inlineStr">
        <is>
          <t>SÖDERMANLANDS LÄN</t>
        </is>
      </c>
      <c r="G301" t="inlineStr">
        <is>
          <t>ESKILSTUNA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46233</v>
      </c>
      <c r="F302" t="inlineStr">
        <is>
          <t>SÖDERMANLANDS LÄN</t>
        </is>
      </c>
      <c r="G302" t="inlineStr">
        <is>
          <t>ESKILSTUNA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46233</v>
      </c>
      <c r="F303" t="inlineStr">
        <is>
          <t>SÖDERMANLANDS LÄN</t>
        </is>
      </c>
      <c r="G303" t="inlineStr">
        <is>
          <t>ESKILSTUNA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46233</v>
      </c>
      <c r="F304" t="inlineStr">
        <is>
          <t>SÖDERMANLANDS LÄN</t>
        </is>
      </c>
      <c r="G304" t="inlineStr">
        <is>
          <t>ESKILSTUNA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46233</v>
      </c>
      <c r="F305" t="inlineStr">
        <is>
          <t>SÖDERMANLANDS LÄN</t>
        </is>
      </c>
      <c r="G305" t="inlineStr">
        <is>
          <t>ESKILSTUNA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45429</v>
      </c>
      <c r="E306" s="1" t="n">
        <v>46233</v>
      </c>
      <c r="F306" t="inlineStr">
        <is>
          <t>SÖDERMANLANDS LÄN</t>
        </is>
      </c>
      <c r="G306" t="inlineStr">
        <is>
          <t>ESKILSTUNA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46233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46233</v>
      </c>
      <c r="F308" t="inlineStr">
        <is>
          <t>SÖDERMANLANDS LÄN</t>
        </is>
      </c>
      <c r="G308" t="inlineStr">
        <is>
          <t>ESKILSTUNA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45079</v>
      </c>
      <c r="E309" s="1" t="n">
        <v>46233</v>
      </c>
      <c r="F309" t="inlineStr">
        <is>
          <t>SÖDERMANLANDS LÄN</t>
        </is>
      </c>
      <c r="G309" t="inlineStr">
        <is>
          <t>ESKILSTUNA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44490</v>
      </c>
      <c r="E310" s="1" t="n">
        <v>46233</v>
      </c>
      <c r="F310" t="inlineStr">
        <is>
          <t>SÖDERMANLANDS LÄN</t>
        </is>
      </c>
      <c r="G310" t="inlineStr">
        <is>
          <t>ESKILSTUNA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46233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57538-2022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46233</v>
      </c>
      <c r="F312" t="inlineStr">
        <is>
          <t>SÖDERMANLANDS LÄN</t>
        </is>
      </c>
      <c r="G312" t="inlineStr">
        <is>
          <t>ESKILSTUNA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55699-2024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46233</v>
      </c>
      <c r="F313" t="inlineStr">
        <is>
          <t>SÖDERMANLANDS LÄN</t>
        </is>
      </c>
      <c r="G313" t="inlineStr">
        <is>
          <t>ESKILSTUNA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44930</v>
      </c>
      <c r="E314" s="1" t="n">
        <v>46233</v>
      </c>
      <c r="F314" t="inlineStr">
        <is>
          <t>SÖDERMANLANDS LÄN</t>
        </is>
      </c>
      <c r="G314" t="inlineStr">
        <is>
          <t>ESKILSTUNA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18105-2026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46125</v>
      </c>
      <c r="E315" s="1" t="n">
        <v>46233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Sveaskog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61170-2021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44497</v>
      </c>
      <c r="E316" s="1" t="n">
        <v>46233</v>
      </c>
      <c r="F316" t="inlineStr">
        <is>
          <t>SÖDERMANLANDS LÄN</t>
        </is>
      </c>
      <c r="G316" t="inlineStr">
        <is>
          <t>ESKILSTUNA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45099</v>
      </c>
      <c r="E317" s="1" t="n">
        <v>46233</v>
      </c>
      <c r="F317" t="inlineStr">
        <is>
          <t>SÖDERMANLANDS LÄN</t>
        </is>
      </c>
      <c r="G317" t="inlineStr">
        <is>
          <t>ESKILSTUNA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46233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13153-2026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46092</v>
      </c>
      <c r="E319" s="1" t="n">
        <v>46233</v>
      </c>
      <c r="F319" t="inlineStr">
        <is>
          <t>SÖDERMANLANDS LÄN</t>
        </is>
      </c>
      <c r="G319" t="inlineStr">
        <is>
          <t>ESKILSTUNA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46233</v>
      </c>
      <c r="F320" t="inlineStr">
        <is>
          <t>SÖDERMANLANDS LÄN</t>
        </is>
      </c>
      <c r="G320" t="inlineStr">
        <is>
          <t>ESKILSTUNA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46233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46233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Övriga Aktiebolag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46233</v>
      </c>
      <c r="F323" t="inlineStr">
        <is>
          <t>SÖDERMANLANDS LÄN</t>
        </is>
      </c>
      <c r="G323" t="inlineStr">
        <is>
          <t>ESKILSTUNA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45271</v>
      </c>
      <c r="E324" s="1" t="n">
        <v>46233</v>
      </c>
      <c r="F324" t="inlineStr">
        <is>
          <t>SÖDERMANLANDS LÄN</t>
        </is>
      </c>
      <c r="G324" t="inlineStr">
        <is>
          <t>ESKILSTUNA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46233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70265-2021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44536</v>
      </c>
      <c r="E326" s="1" t="n">
        <v>46233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46233</v>
      </c>
      <c r="F327" t="inlineStr">
        <is>
          <t>SÖDERMANLANDS LÄN</t>
        </is>
      </c>
      <c r="G327" t="inlineStr">
        <is>
          <t>ESKILSTUNA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46233</v>
      </c>
      <c r="F328" t="inlineStr">
        <is>
          <t>SÖDERMANLANDS LÄN</t>
        </is>
      </c>
      <c r="G328" t="inlineStr">
        <is>
          <t>ESKILSTUNA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46608-2024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45582</v>
      </c>
      <c r="E329" s="1" t="n">
        <v>46233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68020-2021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44525</v>
      </c>
      <c r="E330" s="1" t="n">
        <v>46233</v>
      </c>
      <c r="F330" t="inlineStr">
        <is>
          <t>SÖDERMANLANDS LÄN</t>
        </is>
      </c>
      <c r="G330" t="inlineStr">
        <is>
          <t>ESKILSTUNA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46233</v>
      </c>
      <c r="F331" t="inlineStr">
        <is>
          <t>SÖDERMANLANDS LÄN</t>
        </is>
      </c>
      <c r="G331" t="inlineStr">
        <is>
          <t>ESKILSTUNA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46233</v>
      </c>
      <c r="F332" t="inlineStr">
        <is>
          <t>SÖDERMANLANDS LÄN</t>
        </is>
      </c>
      <c r="G332" t="inlineStr">
        <is>
          <t>ESKILSTUNA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46233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Kyrkan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46233</v>
      </c>
      <c r="F334" t="inlineStr">
        <is>
          <t>SÖDERMANLANDS LÄN</t>
        </is>
      </c>
      <c r="G334" t="inlineStr">
        <is>
          <t>ESKILSTUNA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50484-2025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45945</v>
      </c>
      <c r="E335" s="1" t="n">
        <v>46233</v>
      </c>
      <c r="F335" t="inlineStr">
        <is>
          <t>SÖDERMANLANDS LÄN</t>
        </is>
      </c>
      <c r="G335" t="inlineStr">
        <is>
          <t>ESKILSTUNA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45069</v>
      </c>
      <c r="E336" s="1" t="n">
        <v>46233</v>
      </c>
      <c r="F336" t="inlineStr">
        <is>
          <t>SÖDERMANLANDS LÄN</t>
        </is>
      </c>
      <c r="G336" t="inlineStr">
        <is>
          <t>ESKILSTUNA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44626</v>
      </c>
      <c r="E337" s="1" t="n">
        <v>46233</v>
      </c>
      <c r="F337" t="inlineStr">
        <is>
          <t>SÖDERMANLANDS LÄN</t>
        </is>
      </c>
      <c r="G337" t="inlineStr">
        <is>
          <t>ESKILSTUNA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44927-2023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45190</v>
      </c>
      <c r="E338" s="1" t="n">
        <v>46233</v>
      </c>
      <c r="F338" t="inlineStr">
        <is>
          <t>SÖDERMANLANDS LÄN</t>
        </is>
      </c>
      <c r="G338" t="inlineStr">
        <is>
          <t>ESKILSTUNA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46233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22605-2023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45071</v>
      </c>
      <c r="E340" s="1" t="n">
        <v>46233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44572</v>
      </c>
      <c r="E341" s="1" t="n">
        <v>46233</v>
      </c>
      <c r="F341" t="inlineStr">
        <is>
          <t>SÖDERMANLANDS LÄN</t>
        </is>
      </c>
      <c r="G341" t="inlineStr">
        <is>
          <t>ESKILSTUNA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46233</v>
      </c>
      <c r="F342" t="inlineStr">
        <is>
          <t>SÖDERMANLANDS LÄN</t>
        </is>
      </c>
      <c r="G342" t="inlineStr">
        <is>
          <t>ESKILSTUNA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44606</v>
      </c>
      <c r="E343" s="1" t="n">
        <v>46233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Kyrkan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44701</v>
      </c>
      <c r="E344" s="1" t="n">
        <v>46233</v>
      </c>
      <c r="F344" t="inlineStr">
        <is>
          <t>SÖDERMANLANDS LÄN</t>
        </is>
      </c>
      <c r="G344" t="inlineStr">
        <is>
          <t>ESKILSTUNA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46233</v>
      </c>
      <c r="F345" t="inlineStr">
        <is>
          <t>SÖDERMANLANDS LÄN</t>
        </is>
      </c>
      <c r="G345" t="inlineStr">
        <is>
          <t>ESKILSTUNA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45643</v>
      </c>
      <c r="E346" s="1" t="n">
        <v>46233</v>
      </c>
      <c r="F346" t="inlineStr">
        <is>
          <t>SÖDERMANLANDS LÄN</t>
        </is>
      </c>
      <c r="G346" t="inlineStr">
        <is>
          <t>ESKILSTUNA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45387</v>
      </c>
      <c r="E347" s="1" t="n">
        <v>46233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Kyrkan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46233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46233</v>
      </c>
      <c r="F349" t="inlineStr">
        <is>
          <t>SÖDERMANLANDS LÄN</t>
        </is>
      </c>
      <c r="G349" t="inlineStr">
        <is>
          <t>ESKILSTUNA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46233</v>
      </c>
      <c r="F350" t="inlineStr">
        <is>
          <t>SÖDERMANLANDS LÄN</t>
        </is>
      </c>
      <c r="G350" t="inlineStr">
        <is>
          <t>ESKILSTUNA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46233</v>
      </c>
      <c r="F351" t="inlineStr">
        <is>
          <t>SÖDERMANLANDS LÄN</t>
        </is>
      </c>
      <c r="G351" t="inlineStr">
        <is>
          <t>ESKILSTUNA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27779-2026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46191</v>
      </c>
      <c r="E352" s="1" t="n">
        <v>46233</v>
      </c>
      <c r="F352" t="inlineStr">
        <is>
          <t>SÖDERMANLANDS LÄN</t>
        </is>
      </c>
      <c r="G352" t="inlineStr">
        <is>
          <t>ESKILSTUNA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55763-2022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46233</v>
      </c>
      <c r="F353" t="inlineStr">
        <is>
          <t>SÖDERMANLANDS LÄN</t>
        </is>
      </c>
      <c r="G353" t="inlineStr">
        <is>
          <t>ESKILSTUNA</t>
        </is>
      </c>
      <c r="I353" t="n">
        <v>15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46233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15.8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46150</v>
      </c>
      <c r="E355" s="1" t="n">
        <v>46233</v>
      </c>
      <c r="F355" t="inlineStr">
        <is>
          <t>SÖDERMANLANDS LÄN</t>
        </is>
      </c>
      <c r="G355" t="inlineStr">
        <is>
          <t>ESKILSTUNA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45237</v>
      </c>
      <c r="E356" s="1" t="n">
        <v>46233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4200-2025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45685</v>
      </c>
      <c r="E357" s="1" t="n">
        <v>46233</v>
      </c>
      <c r="F357" t="inlineStr">
        <is>
          <t>SÖDERMANLANDS LÄN</t>
        </is>
      </c>
      <c r="G357" t="inlineStr">
        <is>
          <t>ESKILSTUNA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46233</v>
      </c>
      <c r="F358" t="inlineStr">
        <is>
          <t>SÖDERMANLANDS LÄN</t>
        </is>
      </c>
      <c r="G358" t="inlineStr">
        <is>
          <t>ESKILSTUNA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45723</v>
      </c>
      <c r="E359" s="1" t="n">
        <v>46233</v>
      </c>
      <c r="F359" t="inlineStr">
        <is>
          <t>SÖDERMANLANDS LÄN</t>
        </is>
      </c>
      <c r="G359" t="inlineStr">
        <is>
          <t>ESKILSTUNA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45240</v>
      </c>
      <c r="E360" s="1" t="n">
        <v>46233</v>
      </c>
      <c r="F360" t="inlineStr">
        <is>
          <t>SÖDERMANLANDS LÄN</t>
        </is>
      </c>
      <c r="G360" t="inlineStr">
        <is>
          <t>ESKILSTUNA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44729</v>
      </c>
      <c r="E361" s="1" t="n">
        <v>46233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61831-2023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45266</v>
      </c>
      <c r="E362" s="1" t="n">
        <v>46233</v>
      </c>
      <c r="F362" t="inlineStr">
        <is>
          <t>SÖDERMANLANDS LÄN</t>
        </is>
      </c>
      <c r="G362" t="inlineStr">
        <is>
          <t>ESKILSTUNA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29068-2022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44749</v>
      </c>
      <c r="E363" s="1" t="n">
        <v>46233</v>
      </c>
      <c r="F363" t="inlineStr">
        <is>
          <t>SÖDERMANLANDS LÄN</t>
        </is>
      </c>
      <c r="G363" t="inlineStr">
        <is>
          <t>ESKILSTUNA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46197</v>
      </c>
      <c r="E364" s="1" t="n">
        <v>46233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1330-2024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45303</v>
      </c>
      <c r="E365" s="1" t="n">
        <v>46233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1334-2024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45303</v>
      </c>
      <c r="E366" s="1" t="n">
        <v>46233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46233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29750-2022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44755</v>
      </c>
      <c r="E368" s="1" t="n">
        <v>46233</v>
      </c>
      <c r="F368" t="inlineStr">
        <is>
          <t>SÖDERMANLANDS LÄN</t>
        </is>
      </c>
      <c r="G368" t="inlineStr">
        <is>
          <t>ESKILSTUNA</t>
        </is>
      </c>
      <c r="I368" t="n">
        <v>20.1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45715</v>
      </c>
      <c r="E369" s="1" t="n">
        <v>46233</v>
      </c>
      <c r="F369" t="inlineStr">
        <is>
          <t>SÖDERMANLANDS LÄN</t>
        </is>
      </c>
      <c r="G369" t="inlineStr">
        <is>
          <t>ESKILSTUNA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30968-2022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44768</v>
      </c>
      <c r="E370" s="1" t="n">
        <v>46233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Sveaskog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29051-2026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46199</v>
      </c>
      <c r="E371" s="1" t="n">
        <v>46233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46157</v>
      </c>
      <c r="E372" s="1" t="n">
        <v>46233</v>
      </c>
      <c r="F372" t="inlineStr">
        <is>
          <t>SÖDERMANLANDS LÄN</t>
        </is>
      </c>
      <c r="G372" t="inlineStr">
        <is>
          <t>ESKILSTUNA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45225</v>
      </c>
      <c r="E373" s="1" t="n">
        <v>46233</v>
      </c>
      <c r="F373" t="inlineStr">
        <is>
          <t>SÖDERMANLANDS LÄN</t>
        </is>
      </c>
      <c r="G373" t="inlineStr">
        <is>
          <t>ESKILSTUNA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46233</v>
      </c>
      <c r="F374" t="inlineStr">
        <is>
          <t>SÖDERMANLANDS LÄN</t>
        </is>
      </c>
      <c r="G374" t="inlineStr">
        <is>
          <t>ESKILSTUNA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46233</v>
      </c>
      <c r="F375" t="inlineStr">
        <is>
          <t>SÖDERMANLANDS LÄN</t>
        </is>
      </c>
      <c r="G375" t="inlineStr">
        <is>
          <t>ESKILSTUNA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46157</v>
      </c>
      <c r="E376" s="1" t="n">
        <v>46233</v>
      </c>
      <c r="F376" t="inlineStr">
        <is>
          <t>SÖDERMANLANDS LÄN</t>
        </is>
      </c>
      <c r="G376" t="inlineStr">
        <is>
          <t>ESKILSTUNA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46233</v>
      </c>
      <c r="F377" t="inlineStr">
        <is>
          <t>SÖDERMANLANDS LÄN</t>
        </is>
      </c>
      <c r="G377" t="inlineStr">
        <is>
          <t>ESKILSTUNA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29053-2026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46199</v>
      </c>
      <c r="E378" s="1" t="n">
        <v>46233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46233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Kommuner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61830-2023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46233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46233</v>
      </c>
      <c r="F381" t="inlineStr">
        <is>
          <t>SÖDERMANLANDS LÄN</t>
        </is>
      </c>
      <c r="G381" t="inlineStr">
        <is>
          <t>ESKILSTUNA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46233</v>
      </c>
      <c r="F382" t="inlineStr">
        <is>
          <t>SÖDERMANLANDS LÄN</t>
        </is>
      </c>
      <c r="G382" t="inlineStr">
        <is>
          <t>ESKILSTUNA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46233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9711-2025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45715</v>
      </c>
      <c r="E384" s="1" t="n">
        <v>46233</v>
      </c>
      <c r="F384" t="inlineStr">
        <is>
          <t>SÖDERMANLANDS LÄN</t>
        </is>
      </c>
      <c r="G384" t="inlineStr">
        <is>
          <t>ESKILSTUNA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45897</v>
      </c>
      <c r="E385" s="1" t="n">
        <v>46233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44582</v>
      </c>
      <c r="E386" s="1" t="n">
        <v>46233</v>
      </c>
      <c r="F386" t="inlineStr">
        <is>
          <t>SÖDERMANLANDS LÄN</t>
        </is>
      </c>
      <c r="G386" t="inlineStr">
        <is>
          <t>ESKILSTUNA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46233</v>
      </c>
      <c r="F387" t="inlineStr">
        <is>
          <t>SÖDERMANLANDS LÄN</t>
        </is>
      </c>
      <c r="G387" t="inlineStr">
        <is>
          <t>ESKILSTUNA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52203-2025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45953</v>
      </c>
      <c r="E388" s="1" t="n">
        <v>46233</v>
      </c>
      <c r="F388" t="inlineStr">
        <is>
          <t>SÖDERMANLANDS LÄN</t>
        </is>
      </c>
      <c r="G388" t="inlineStr">
        <is>
          <t>ESKILSTUNA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46233</v>
      </c>
      <c r="F389" t="inlineStr">
        <is>
          <t>SÖDERMANLANDS LÄN</t>
        </is>
      </c>
      <c r="G389" t="inlineStr">
        <is>
          <t>ESKILSTUNA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44803</v>
      </c>
      <c r="E390" s="1" t="n">
        <v>46233</v>
      </c>
      <c r="F390" t="inlineStr">
        <is>
          <t>SÖDERMANLANDS LÄN</t>
        </is>
      </c>
      <c r="G390" t="inlineStr">
        <is>
          <t>ESKILSTUNA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36153-2022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44803</v>
      </c>
      <c r="E391" s="1" t="n">
        <v>46233</v>
      </c>
      <c r="F391" t="inlineStr">
        <is>
          <t>SÖDERMANLANDS LÄN</t>
        </is>
      </c>
      <c r="G391" t="inlineStr">
        <is>
          <t>ESKILSTUNA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46233</v>
      </c>
      <c r="F392" t="inlineStr">
        <is>
          <t>SÖDERMANLANDS LÄN</t>
        </is>
      </c>
      <c r="G392" t="inlineStr">
        <is>
          <t>ESKILSTUNA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44615-2022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44839</v>
      </c>
      <c r="E393" s="1" t="n">
        <v>46233</v>
      </c>
      <c r="F393" t="inlineStr">
        <is>
          <t>SÖDERMANLANDS LÄN</t>
        </is>
      </c>
      <c r="G393" t="inlineStr">
        <is>
          <t>ESKILSTUNA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45763</v>
      </c>
      <c r="E394" s="1" t="n">
        <v>46233</v>
      </c>
      <c r="F394" t="inlineStr">
        <is>
          <t>SÖDERMANLANDS LÄN</t>
        </is>
      </c>
      <c r="G394" t="inlineStr">
        <is>
          <t>ESKILSTUNA</t>
        </is>
      </c>
      <c r="I394" t="n">
        <v>15.6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46233</v>
      </c>
      <c r="F395" t="inlineStr">
        <is>
          <t>SÖDERMANLANDS LÄN</t>
        </is>
      </c>
      <c r="G395" t="inlineStr">
        <is>
          <t>ESKILSTUNA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46164</v>
      </c>
      <c r="E396" s="1" t="n">
        <v>46233</v>
      </c>
      <c r="F396" t="inlineStr">
        <is>
          <t>SÖDERMANLANDS LÄN</t>
        </is>
      </c>
      <c r="G396" t="inlineStr">
        <is>
          <t>ESKILSTUNA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44874</v>
      </c>
      <c r="E397" s="1" t="n">
        <v>46233</v>
      </c>
      <c r="F397" t="inlineStr">
        <is>
          <t>SÖDERMANLANDS LÄN</t>
        </is>
      </c>
      <c r="G397" t="inlineStr">
        <is>
          <t>ESKILSTUNA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46233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22388-2026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46154</v>
      </c>
      <c r="E399" s="1" t="n">
        <v>46233</v>
      </c>
      <c r="F399" t="inlineStr">
        <is>
          <t>SÖDERMANLANDS LÄN</t>
        </is>
      </c>
      <c r="G399" t="inlineStr">
        <is>
          <t>ESKILSTUNA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28582-2023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46233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45005</v>
      </c>
      <c r="E401" s="1" t="n">
        <v>46233</v>
      </c>
      <c r="F401" t="inlineStr">
        <is>
          <t>SÖDERMANLANDS LÄN</t>
        </is>
      </c>
      <c r="G401" t="inlineStr">
        <is>
          <t>ESKILSTUNA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46233</v>
      </c>
      <c r="F402" t="inlineStr">
        <is>
          <t>SÖDERMANLANDS LÄN</t>
        </is>
      </c>
      <c r="G402" t="inlineStr">
        <is>
          <t>ESKILSTUNA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46233</v>
      </c>
      <c r="F403" t="inlineStr">
        <is>
          <t>SÖDERMANLANDS LÄN</t>
        </is>
      </c>
      <c r="G403" t="inlineStr">
        <is>
          <t>ESKILSTUNA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46233</v>
      </c>
      <c r="F404" t="inlineStr">
        <is>
          <t>SÖDERMANLANDS LÄN</t>
        </is>
      </c>
      <c r="G404" t="inlineStr">
        <is>
          <t>ESKILSTUNA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44819</v>
      </c>
      <c r="E405" s="1" t="n">
        <v>46233</v>
      </c>
      <c r="F405" t="inlineStr">
        <is>
          <t>SÖDERMANLANDS LÄN</t>
        </is>
      </c>
      <c r="G405" t="inlineStr">
        <is>
          <t>ESKILSTUNA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48671-2021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44452</v>
      </c>
      <c r="E406" s="1" t="n">
        <v>46233</v>
      </c>
      <c r="F406" t="inlineStr">
        <is>
          <t>SÖDERMANLANDS LÄN</t>
        </is>
      </c>
      <c r="G406" t="inlineStr">
        <is>
          <t>ESKILSTUNA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44468</v>
      </c>
      <c r="E407" s="1" t="n">
        <v>46233</v>
      </c>
      <c r="F407" t="inlineStr">
        <is>
          <t>SÖDERMANLANDS LÄN</t>
        </is>
      </c>
      <c r="G407" t="inlineStr">
        <is>
          <t>ESKILSTUNA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46233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Övriga Aktiebolag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46233</v>
      </c>
      <c r="F409" t="inlineStr">
        <is>
          <t>SÖDERMANLANDS LÄN</t>
        </is>
      </c>
      <c r="G409" t="inlineStr">
        <is>
          <t>ESKILSTUNA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46233</v>
      </c>
      <c r="F410" t="inlineStr">
        <is>
          <t>SÖDERMANLANDS LÄN</t>
        </is>
      </c>
      <c r="G410" t="inlineStr">
        <is>
          <t>ESKILSTUNA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46216</v>
      </c>
      <c r="E411" s="1" t="n">
        <v>46233</v>
      </c>
      <c r="F411" t="inlineStr">
        <is>
          <t>SÖDERMANLANDS LÄN</t>
        </is>
      </c>
      <c r="G411" t="inlineStr">
        <is>
          <t>ESKILSTUNA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31131-2026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46216</v>
      </c>
      <c r="E412" s="1" t="n">
        <v>46233</v>
      </c>
      <c r="F412" t="inlineStr">
        <is>
          <t>SÖDERMANLANDS LÄN</t>
        </is>
      </c>
      <c r="G412" t="inlineStr">
        <is>
          <t>ESKILSTUNA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13626-2023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45006</v>
      </c>
      <c r="E413" s="1" t="n">
        <v>46233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46213</v>
      </c>
      <c r="E414" s="1" t="n">
        <v>46233</v>
      </c>
      <c r="F414" t="inlineStr">
        <is>
          <t>SÖDERMANLANDS LÄN</t>
        </is>
      </c>
      <c r="G414" t="inlineStr">
        <is>
          <t>ESKILSTUNA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46233</v>
      </c>
      <c r="F415" t="inlineStr">
        <is>
          <t>SÖDERMANLANDS LÄN</t>
        </is>
      </c>
      <c r="G415" t="inlineStr">
        <is>
          <t>ESKILSTUNA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46217</v>
      </c>
      <c r="E416" s="1" t="n">
        <v>46233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Kommuner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46233</v>
      </c>
      <c r="F417" t="inlineStr">
        <is>
          <t>SÖDERMANLANDS LÄN</t>
        </is>
      </c>
      <c r="G417" t="inlineStr">
        <is>
          <t>ESKILSTUNA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46217</v>
      </c>
      <c r="E418" s="1" t="n">
        <v>46233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Kommuner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45004</v>
      </c>
      <c r="E419" s="1" t="n">
        <v>46233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46872-2022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44851</v>
      </c>
      <c r="E420" s="1" t="n">
        <v>46233</v>
      </c>
      <c r="F420" t="inlineStr">
        <is>
          <t>SÖDERMANLANDS LÄN</t>
        </is>
      </c>
      <c r="G420" t="inlineStr">
        <is>
          <t>ESKILSTUNA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46796-2023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46233</v>
      </c>
      <c r="F421" t="inlineStr">
        <is>
          <t>SÖDERMANLANDS LÄN</t>
        </is>
      </c>
      <c r="G421" t="inlineStr">
        <is>
          <t>ESKILSTUNA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46219</v>
      </c>
      <c r="E422" s="1" t="n">
        <v>46233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46233</v>
      </c>
      <c r="F423" t="inlineStr">
        <is>
          <t>SÖDERMANLANDS LÄN</t>
        </is>
      </c>
      <c r="G423" t="inlineStr">
        <is>
          <t>ESKILSTUNA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44729</v>
      </c>
      <c r="E424" s="1" t="n">
        <v>46233</v>
      </c>
      <c r="F424" t="inlineStr">
        <is>
          <t>SÖDERMANLANDS LÄN</t>
        </is>
      </c>
      <c r="G424" t="inlineStr">
        <is>
          <t>ESKILSTUNA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46233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46233</v>
      </c>
      <c r="F426" t="inlineStr">
        <is>
          <t>SÖDERMANLANDS LÄN</t>
        </is>
      </c>
      <c r="G426" t="inlineStr">
        <is>
          <t>ESKILSTUNA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44946</v>
      </c>
      <c r="E427" s="1" t="n">
        <v>46233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46233</v>
      </c>
      <c r="F428" t="inlineStr">
        <is>
          <t>SÖDERMANLANDS LÄN</t>
        </is>
      </c>
      <c r="G428" t="inlineStr">
        <is>
          <t>ESKILSTUNA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44592</v>
      </c>
      <c r="E429" s="1" t="n">
        <v>46233</v>
      </c>
      <c r="F429" t="inlineStr">
        <is>
          <t>SÖDERMANLANDS LÄN</t>
        </is>
      </c>
      <c r="G429" t="inlineStr">
        <is>
          <t>ESKILSTUNA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45061</v>
      </c>
      <c r="E430" s="1" t="n">
        <v>46233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35076-2022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44797</v>
      </c>
      <c r="E431" s="1" t="n">
        <v>46233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46233</v>
      </c>
      <c r="F432" t="inlineStr">
        <is>
          <t>SÖDERMANLANDS LÄN</t>
        </is>
      </c>
      <c r="G432" t="inlineStr">
        <is>
          <t>ESKILSTUNA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46233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Kyrkan</t>
        </is>
      </c>
      <c r="I433" t="n">
        <v>12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46233</v>
      </c>
      <c r="F434" t="inlineStr">
        <is>
          <t>SÖDERMANLANDS LÄN</t>
        </is>
      </c>
      <c r="G434" t="inlineStr">
        <is>
          <t>ESKILSTUNA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46233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46233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46233</v>
      </c>
      <c r="F437" t="inlineStr">
        <is>
          <t>SÖDERMANLANDS LÄN</t>
        </is>
      </c>
      <c r="G437" t="inlineStr">
        <is>
          <t>ESKILSTUNA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45303</v>
      </c>
      <c r="E438" s="1" t="n">
        <v>46233</v>
      </c>
      <c r="F438" t="inlineStr">
        <is>
          <t>SÖDERMANLANDS LÄN</t>
        </is>
      </c>
      <c r="G438" t="inlineStr">
        <is>
          <t>ESKILSTUNA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44804</v>
      </c>
      <c r="E439" s="1" t="n">
        <v>46233</v>
      </c>
      <c r="F439" t="inlineStr">
        <is>
          <t>SÖDERMANLANDS LÄN</t>
        </is>
      </c>
      <c r="G439" t="inlineStr">
        <is>
          <t>ESKILSTUNA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46233</v>
      </c>
      <c r="F440" t="inlineStr">
        <is>
          <t>SÖDERMANLANDS LÄN</t>
        </is>
      </c>
      <c r="G440" t="inlineStr">
        <is>
          <t>ESKILSTUNA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45167</v>
      </c>
      <c r="E441" s="1" t="n">
        <v>46233</v>
      </c>
      <c r="F441" t="inlineStr">
        <is>
          <t>SÖDERMANLANDS LÄN</t>
        </is>
      </c>
      <c r="G441" t="inlineStr">
        <is>
          <t>ESKILSTUNA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44732</v>
      </c>
      <c r="E442" s="1" t="n">
        <v>46233</v>
      </c>
      <c r="F442" t="inlineStr">
        <is>
          <t>SÖDERMANLANDS LÄN</t>
        </is>
      </c>
      <c r="G442" t="inlineStr">
        <is>
          <t>ESKILSTUNA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46233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46233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46233</v>
      </c>
      <c r="F445" t="inlineStr">
        <is>
          <t>SÖDERMANLANDS LÄN</t>
        </is>
      </c>
      <c r="G445" t="inlineStr">
        <is>
          <t>ESKILSTUNA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33255-2024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45518</v>
      </c>
      <c r="E446" s="1" t="n">
        <v>46233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46233</v>
      </c>
      <c r="F447" t="inlineStr">
        <is>
          <t>SÖDERMANLANDS LÄN</t>
        </is>
      </c>
      <c r="G447" t="inlineStr">
        <is>
          <t>ESKILSTUNA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46233</v>
      </c>
      <c r="F448" t="inlineStr">
        <is>
          <t>SÖDERMANLANDS LÄN</t>
        </is>
      </c>
      <c r="G448" t="inlineStr">
        <is>
          <t>ESKILSTUNA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46233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1346-2024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46233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46233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44965</v>
      </c>
      <c r="E452" s="1" t="n">
        <v>46233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11705-2022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44634</v>
      </c>
      <c r="E453" s="1" t="n">
        <v>46233</v>
      </c>
      <c r="F453" t="inlineStr">
        <is>
          <t>SÖDERMANLANDS LÄN</t>
        </is>
      </c>
      <c r="G453" t="inlineStr">
        <is>
          <t>ESKILSTUNA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46233</v>
      </c>
      <c r="F454" t="inlineStr">
        <is>
          <t>SÖDERMANLANDS LÄN</t>
        </is>
      </c>
      <c r="G454" t="inlineStr">
        <is>
          <t>ESKILSTUNA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45882-2022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44844</v>
      </c>
      <c r="E455" s="1" t="n">
        <v>46233</v>
      </c>
      <c r="F455" t="inlineStr">
        <is>
          <t>SÖDERMANLANDS LÄN</t>
        </is>
      </c>
      <c r="G455" t="inlineStr">
        <is>
          <t>ESKILSTUNA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44844</v>
      </c>
      <c r="E456" s="1" t="n">
        <v>46233</v>
      </c>
      <c r="F456" t="inlineStr">
        <is>
          <t>SÖDERMANLANDS LÄN</t>
        </is>
      </c>
      <c r="G456" t="inlineStr">
        <is>
          <t>ESKILSTUNA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44942</v>
      </c>
      <c r="E457" s="1" t="n">
        <v>46233</v>
      </c>
      <c r="F457" t="inlineStr">
        <is>
          <t>SÖDERMANLANDS LÄN</t>
        </is>
      </c>
      <c r="G457" t="inlineStr">
        <is>
          <t>ESKILSTUNA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45514</v>
      </c>
      <c r="E458" s="1" t="n">
        <v>46233</v>
      </c>
      <c r="F458" t="inlineStr">
        <is>
          <t>SÖDERMANLANDS LÄN</t>
        </is>
      </c>
      <c r="G458" t="inlineStr">
        <is>
          <t>ESKILSTUNA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45058</v>
      </c>
      <c r="E459" s="1" t="n">
        <v>46233</v>
      </c>
      <c r="F459" t="inlineStr">
        <is>
          <t>SÖDERMANLANDS LÄN</t>
        </is>
      </c>
      <c r="G459" t="inlineStr">
        <is>
          <t>ESKILSTUNA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33585-2022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44789</v>
      </c>
      <c r="E460" s="1" t="n">
        <v>46233</v>
      </c>
      <c r="F460" t="inlineStr">
        <is>
          <t>SÖDERMANLANDS LÄN</t>
        </is>
      </c>
      <c r="G460" t="inlineStr">
        <is>
          <t>ESKILSTUNA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45341</v>
      </c>
      <c r="E461" s="1" t="n">
        <v>46233</v>
      </c>
      <c r="F461" t="inlineStr">
        <is>
          <t>SÖDERMANLANDS LÄN</t>
        </is>
      </c>
      <c r="G461" t="inlineStr">
        <is>
          <t>ESKILSTUNA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46233</v>
      </c>
      <c r="F462" t="inlineStr">
        <is>
          <t>SÖDERMANLANDS LÄN</t>
        </is>
      </c>
      <c r="G462" t="inlineStr">
        <is>
          <t>ESKILSTUNA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15592-2023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45020</v>
      </c>
      <c r="E463" s="1" t="n">
        <v>46233</v>
      </c>
      <c r="F463" t="inlineStr">
        <is>
          <t>SÖDERMANLANDS LÄN</t>
        </is>
      </c>
      <c r="G463" t="inlineStr">
        <is>
          <t>ESKILSTUNA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46233</v>
      </c>
      <c r="F464" t="inlineStr">
        <is>
          <t>SÖDERMANLANDS LÄN</t>
        </is>
      </c>
      <c r="G464" t="inlineStr">
        <is>
          <t>ESKILSTUNA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46233</v>
      </c>
      <c r="F465" t="inlineStr">
        <is>
          <t>SÖDERMANLANDS LÄN</t>
        </is>
      </c>
      <c r="G465" t="inlineStr">
        <is>
          <t>ESKILSTUNA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46233</v>
      </c>
      <c r="F466" t="inlineStr">
        <is>
          <t>SÖDERMANLANDS LÄN</t>
        </is>
      </c>
      <c r="G466" t="inlineStr">
        <is>
          <t>ESKILSTUNA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45637</v>
      </c>
      <c r="E467" s="1" t="n">
        <v>46233</v>
      </c>
      <c r="F467" t="inlineStr">
        <is>
          <t>SÖDERMANLANDS LÄN</t>
        </is>
      </c>
      <c r="G467" t="inlineStr">
        <is>
          <t>ESKILSTUNA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46233</v>
      </c>
      <c r="F468" t="inlineStr">
        <is>
          <t>SÖDERMANLANDS LÄN</t>
        </is>
      </c>
      <c r="G468" t="inlineStr">
        <is>
          <t>ESKILSTUNA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53181-2024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45611</v>
      </c>
      <c r="E469" s="1" t="n">
        <v>46233</v>
      </c>
      <c r="F469" t="inlineStr">
        <is>
          <t>SÖDERMANLANDS LÄN</t>
        </is>
      </c>
      <c r="G469" t="inlineStr">
        <is>
          <t>ESKILSTUNA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1538-2025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45670</v>
      </c>
      <c r="E470" s="1" t="n">
        <v>46233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70560-2021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44536</v>
      </c>
      <c r="E471" s="1" t="n">
        <v>46233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46233</v>
      </c>
      <c r="F472" t="inlineStr">
        <is>
          <t>SÖDERMANLANDS LÄN</t>
        </is>
      </c>
      <c r="G472" t="inlineStr">
        <is>
          <t>ESKILSTUNA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46233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46233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46233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46233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46233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46233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46233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46233</v>
      </c>
      <c r="F480" t="inlineStr">
        <is>
          <t>SÖDERMANLANDS LÄN</t>
        </is>
      </c>
      <c r="G480" t="inlineStr">
        <is>
          <t>ESKILSTUNA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24537-2025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45798</v>
      </c>
      <c r="E481" s="1" t="n">
        <v>46233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24534-2025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45798</v>
      </c>
      <c r="E482" s="1" t="n">
        <v>46233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24535-2025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45798</v>
      </c>
      <c r="E483" s="1" t="n">
        <v>46233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24536-2025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46233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46233</v>
      </c>
      <c r="F485" t="inlineStr">
        <is>
          <t>SÖDERMANLANDS LÄN</t>
        </is>
      </c>
      <c r="G485" t="inlineStr">
        <is>
          <t>ESKILSTUNA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45798</v>
      </c>
      <c r="E486" s="1" t="n">
        <v>46233</v>
      </c>
      <c r="F486" t="inlineStr">
        <is>
          <t>SÖDERMANLANDS LÄN</t>
        </is>
      </c>
      <c r="G486" t="inlineStr">
        <is>
          <t>ESKILSTUNA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24667-2025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46233</v>
      </c>
      <c r="F487" t="inlineStr">
        <is>
          <t>SÖDERMANLANDS LÄN</t>
        </is>
      </c>
      <c r="G487" t="inlineStr">
        <is>
          <t>ESKILSTUNA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43488-2024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46233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43489-2024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46233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1333-2020</t>
        </is>
      </c>
      <c r="B490" t="inlineStr">
        <is>
          <t>samrådsanmälan</t>
        </is>
      </c>
      <c r="C490" t="inlineStr">
        <is>
          <t>Åtgärd i nyckelbiotop</t>
        </is>
      </c>
      <c r="D490" s="1" t="n">
        <v>43993</v>
      </c>
      <c r="E490" s="1" t="n">
        <v>46233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383-2023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44959</v>
      </c>
      <c r="E491" s="1" t="n">
        <v>46233</v>
      </c>
      <c r="F491" t="inlineStr">
        <is>
          <t>SÖDERMANLANDS LÄN</t>
        </is>
      </c>
      <c r="G491" t="inlineStr">
        <is>
          <t>ESKILSTUNA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6471-2021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44449</v>
      </c>
      <c r="E492" s="1" t="n">
        <v>46233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3665-2023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45217</v>
      </c>
      <c r="E493" s="1" t="n">
        <v>46233</v>
      </c>
      <c r="F493" t="inlineStr">
        <is>
          <t>SÖDERMANLANDS LÄN</t>
        </is>
      </c>
      <c r="G493" t="inlineStr">
        <is>
          <t>ESKILSTUNA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4583-2023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45282</v>
      </c>
      <c r="E494" s="1" t="n">
        <v>46233</v>
      </c>
      <c r="F494" t="inlineStr">
        <is>
          <t>SÖDERMANLANDS LÄN</t>
        </is>
      </c>
      <c r="G494" t="inlineStr">
        <is>
          <t>ESKILSTUNA</t>
        </is>
      </c>
      <c r="I494" t="n">
        <v>31.4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46233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1602-2025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46233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45686</v>
      </c>
      <c r="E497" s="1" t="n">
        <v>46233</v>
      </c>
      <c r="F497" t="inlineStr">
        <is>
          <t>SÖDERMANLANDS LÄN</t>
        </is>
      </c>
      <c r="G497" t="inlineStr">
        <is>
          <t>ESKILSTUNA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2917-2024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45504</v>
      </c>
      <c r="E498" s="1" t="n">
        <v>46233</v>
      </c>
      <c r="F498" t="inlineStr">
        <is>
          <t>SÖDERMANLANDS LÄN</t>
        </is>
      </c>
      <c r="G498" t="inlineStr">
        <is>
          <t>ESKILSTUNA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1920-2025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45826</v>
      </c>
      <c r="E499" s="1" t="n">
        <v>46233</v>
      </c>
      <c r="F499" t="inlineStr">
        <is>
          <t>SÖDERMANLANDS LÄN</t>
        </is>
      </c>
      <c r="G499" t="inlineStr">
        <is>
          <t>ESKILSTUNA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1030-2026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46125</v>
      </c>
      <c r="E500" s="1" t="n">
        <v>46233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1871-2026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46233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>
      <c r="A502" t="inlineStr">
        <is>
          <t>S 1870-2026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46233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2026-07-30T01:51:06Z</dcterms:created>
  <dcterms:modified xmlns:dcterms="http://purl.org/dc/terms/" xmlns:xsi="http://www.w3.org/2001/XMLSchema-instance" xsi:type="dcterms:W3CDTF">2026-07-30T01:51:06Z</dcterms:modified>
</cp:coreProperties>
</file>