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46273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46273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46273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46273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46273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46273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46273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46273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46273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46273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46273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46273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46273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46273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46273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46273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17362-2024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45414</v>
      </c>
      <c r="E36" s="1" t="n">
        <v>46273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3.4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 dropplav
Sotlav</t>
        </is>
      </c>
      <c r="W36">
        <f>HYPERLINK("https://klasma.github.io/Logging_0484/artfynd/A 17362-2024 artfynd.xlsx", "A 17362-2024")</f>
        <v/>
      </c>
      <c r="X36">
        <f>HYPERLINK("https://klasma.github.io/Logging_0484/kartor/A 17362-2024 karta.png", "A 17362-2024")</f>
        <v/>
      </c>
      <c r="Y36">
        <f>HYPERLINK("https://klasma.github.io/Logging_0484/kartor_geotiff/A 17362-2024 georefererad karta.tif", "A 17362-2024")</f>
        <v/>
      </c>
      <c r="AA36">
        <f>HYPERLINK("https://klasma.github.io/Logging_0484/klagomål/A 17362-2024 FSC-klagomål.docx", "A 17362-2024")</f>
        <v/>
      </c>
      <c r="AB36">
        <f>HYPERLINK("https://klasma.github.io/Logging_0484/klagomålsmail/A 17362-2024 FSC-klagomål mail.docx", "A 17362-2024")</f>
        <v/>
      </c>
      <c r="AC36">
        <f>HYPERLINK("https://klasma.github.io/Logging_0484/tillsyn/A 17362-2024 tillsynsbegäran.docx", "A 17362-2024")</f>
        <v/>
      </c>
      <c r="AD36">
        <f>HYPERLINK("https://klasma.github.io/Logging_0484/tillsynsmail/A 17362-2024 tillsynsbegäran mail.docx", "A 17362-2024")</f>
        <v/>
      </c>
    </row>
    <row r="37" ht="15" customHeight="1">
      <c r="A37" t="inlineStr">
        <is>
          <t>A 22760-2026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46157</v>
      </c>
      <c r="E37" s="1" t="n">
        <v>46273</v>
      </c>
      <c r="F37" t="inlineStr">
        <is>
          <t>SÖDERMANLANDS LÄN</t>
        </is>
      </c>
      <c r="G37" t="inlineStr">
        <is>
          <t>ESKILSTUNA</t>
        </is>
      </c>
      <c r="I37" t="n">
        <v>4.4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Solvända</t>
        </is>
      </c>
      <c r="W37">
        <f>HYPERLINK("https://klasma.github.io/Logging_0484/artfynd/A 22760-2026 artfynd.xlsx", "A 22760-2026")</f>
        <v/>
      </c>
      <c r="X37">
        <f>HYPERLINK("https://klasma.github.io/Logging_0484/kartor/A 22760-2026 karta.png", "A 22760-2026")</f>
        <v/>
      </c>
      <c r="Y37">
        <f>HYPERLINK("https://klasma.github.io/Logging_0484/kartor_geotiff/A 22760-2026 georefererad karta.tif", "A 22760-2026")</f>
        <v/>
      </c>
      <c r="AA37">
        <f>HYPERLINK("https://klasma.github.io/Logging_0484/klagomål/A 22760-2026 FSC-klagomål.docx", "A 22760-2026")</f>
        <v/>
      </c>
      <c r="AB37">
        <f>HYPERLINK("https://klasma.github.io/Logging_0484/klagomålsmail/A 22760-2026 FSC-klagomål mail.docx", "A 22760-2026")</f>
        <v/>
      </c>
      <c r="AC37">
        <f>HYPERLINK("https://klasma.github.io/Logging_0484/tillsyn/A 22760-2026 tillsynsbegäran.docx", "A 22760-2026")</f>
        <v/>
      </c>
      <c r="AD37">
        <f>HYPERLINK("https://klasma.github.io/Logging_0484/tillsynsmail/A 22760-2026 tillsynsbegäran mail.docx", "A 22760-2026")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46273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26095-2026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46273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Svinrot
Spillkråka</t>
        </is>
      </c>
      <c r="W39">
        <f>HYPERLINK("https://klasma.github.io/Logging_0484/artfynd/A 26095-2026 artfynd.xlsx", "A 26095-2026")</f>
        <v/>
      </c>
      <c r="X39">
        <f>HYPERLINK("https://klasma.github.io/Logging_0484/kartor/A 26095-2026 karta.png", "A 26095-2026")</f>
        <v/>
      </c>
      <c r="Y39">
        <f>HYPERLINK("https://klasma.github.io/Logging_0484/kartor_geotiff/A 26095-2026 georefererad karta.tif", "A 26095-2026")</f>
        <v/>
      </c>
      <c r="AA39">
        <f>HYPERLINK("https://klasma.github.io/Logging_0484/klagomål/A 26095-2026 FSC-klagomål.docx", "A 26095-2026")</f>
        <v/>
      </c>
      <c r="AB39">
        <f>HYPERLINK("https://klasma.github.io/Logging_0484/klagomålsmail/A 26095-2026 FSC-klagomål mail.docx", "A 26095-2026")</f>
        <v/>
      </c>
      <c r="AC39">
        <f>HYPERLINK("https://klasma.github.io/Logging_0484/tillsyn/A 26095-2026 tillsynsbegäran.docx", "A 26095-2026")</f>
        <v/>
      </c>
      <c r="AD39">
        <f>HYPERLINK("https://klasma.github.io/Logging_0484/tillsynsmail/A 26095-2026 tillsynsbegäran mail.docx", "A 26095-2026")</f>
        <v/>
      </c>
      <c r="AE39">
        <f>HYPERLINK("https://klasma.github.io/Logging_0484/fåglar/A 26095-2026 prioriterade fågelarter.docx", "A 26095-2026")</f>
        <v/>
      </c>
    </row>
    <row r="40" ht="15" customHeight="1">
      <c r="A40" t="inlineStr">
        <is>
          <t>A 26105-2026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46273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Backsippa
Backtimjan</t>
        </is>
      </c>
      <c r="W40">
        <f>HYPERLINK("https://klasma.github.io/Logging_0484/artfynd/A 26105-2026 artfynd.xlsx", "A 26105-2026")</f>
        <v/>
      </c>
      <c r="X40">
        <f>HYPERLINK("https://klasma.github.io/Logging_0484/kartor/A 26105-2026 karta.png", "A 26105-2026")</f>
        <v/>
      </c>
      <c r="Y40">
        <f>HYPERLINK("https://klasma.github.io/Logging_0484/kartor_geotiff/A 26105-2026 georefererad karta.tif", "A 26105-2026")</f>
        <v/>
      </c>
      <c r="AA40">
        <f>HYPERLINK("https://klasma.github.io/Logging_0484/klagomål/A 26105-2026 FSC-klagomål.docx", "A 26105-2026")</f>
        <v/>
      </c>
      <c r="AB40">
        <f>HYPERLINK("https://klasma.github.io/Logging_0484/klagomålsmail/A 26105-2026 FSC-klagomål mail.docx", "A 26105-2026")</f>
        <v/>
      </c>
      <c r="AC40">
        <f>HYPERLINK("https://klasma.github.io/Logging_0484/tillsyn/A 26105-2026 tillsynsbegäran.docx", "A 26105-2026")</f>
        <v/>
      </c>
      <c r="AD40">
        <f>HYPERLINK("https://klasma.github.io/Logging_0484/tillsynsmail/A 26105-2026 tillsynsbegäran mail.docx", "A 26105-2026")</f>
        <v/>
      </c>
    </row>
    <row r="41" ht="15" customHeight="1">
      <c r="A41" t="inlineStr">
        <is>
          <t>A 61105-2025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46273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Krusfrö
Tibast</t>
        </is>
      </c>
      <c r="W41">
        <f>HYPERLINK("https://klasma.github.io/Logging_0484/artfynd/A 61105-2025 artfynd.xlsx", "A 61105-2025")</f>
        <v/>
      </c>
      <c r="X41">
        <f>HYPERLINK("https://klasma.github.io/Logging_0484/kartor/A 61105-2025 karta.png", "A 61105-2025")</f>
        <v/>
      </c>
      <c r="Y41">
        <f>HYPERLINK("https://klasma.github.io/Logging_0484/kartor_geotiff/A 61105-2025 georefererad karta.tif", "A 61105-2025")</f>
        <v/>
      </c>
      <c r="AA41">
        <f>HYPERLINK("https://klasma.github.io/Logging_0484/klagomål/A 61105-2025 FSC-klagomål.docx", "A 61105-2025")</f>
        <v/>
      </c>
      <c r="AB41">
        <f>HYPERLINK("https://klasma.github.io/Logging_0484/klagomålsmail/A 61105-2025 FSC-klagomål mail.docx", "A 61105-2025")</f>
        <v/>
      </c>
      <c r="AC41">
        <f>HYPERLINK("https://klasma.github.io/Logging_0484/tillsyn/A 61105-2025 tillsynsbegäran.docx", "A 61105-2025")</f>
        <v/>
      </c>
      <c r="AD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46273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46273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46273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1</v>
      </c>
      <c r="V44" s="2" t="inlineStr">
        <is>
          <t>Knärot
Blåmossa</t>
        </is>
      </c>
      <c r="W44">
        <f>HYPERLINK("https://klasma.github.io/Logging_0484/artfynd/A 44664-2022 artfynd.xlsx", "A 44664-2022")</f>
        <v/>
      </c>
      <c r="X44">
        <f>HYPERLINK("https://klasma.github.io/Logging_0484/kartor/A 44664-2022 karta.png", "A 44664-2022")</f>
        <v/>
      </c>
      <c r="Y44">
        <f>HYPERLINK("https://klasma.github.io/Logging_0484/kartor_geotiff/A 44664-2022 georefererad karta.tif", "A 44664-2022")</f>
        <v/>
      </c>
      <c r="Z44">
        <f>HYPERLINK("https://klasma.github.io/Logging_0484/knärot/A 44664-2022 karta knärot.png", "A 44664-2022")</f>
        <v/>
      </c>
      <c r="AA44">
        <f>HYPERLINK("https://klasma.github.io/Logging_0484/klagomål/A 44664-2022 FSC-klagomål.docx", "A 44664-2022")</f>
        <v/>
      </c>
      <c r="AB44">
        <f>HYPERLINK("https://klasma.github.io/Logging_0484/klagomålsmail/A 44664-2022 FSC-klagomål mail.docx", "A 44664-2022")</f>
        <v/>
      </c>
      <c r="AC44">
        <f>HYPERLINK("https://klasma.github.io/Logging_0484/tillsyn/A 44664-2022 tillsynsbegäran.docx", "A 44664-2022")</f>
        <v/>
      </c>
      <c r="AD44">
        <f>HYPERLINK("https://klasma.github.io/Logging_0484/tillsynsmail/A 44664-2022 tillsynsbegäran mail.docx", "A 44664-2022")</f>
        <v/>
      </c>
    </row>
    <row r="45" ht="15" customHeight="1">
      <c r="A45" t="inlineStr">
        <is>
          <t>A 65380-2021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46273</v>
      </c>
      <c r="F45" t="inlineStr">
        <is>
          <t>SÖDERMANLANDS LÄN</t>
        </is>
      </c>
      <c r="G45" t="inlineStr">
        <is>
          <t>ESKILSTUNA</t>
        </is>
      </c>
      <c r="H45" t="inlineStr">
        <is>
          <t>Kyrkan</t>
        </is>
      </c>
      <c r="I45" t="n">
        <v>5.4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Älg
Blåsippa</t>
        </is>
      </c>
      <c r="W45">
        <f>HYPERLINK("https://klasma.github.io/Logging_0484/artfynd/A 65380-2021 artfynd.xlsx", "A 65380-2021")</f>
        <v/>
      </c>
      <c r="X45">
        <f>HYPERLINK("https://klasma.github.io/Logging_0484/kartor/A 65380-2021 karta.png", "A 65380-2021")</f>
        <v/>
      </c>
      <c r="Y45">
        <f>HYPERLINK("https://klasma.github.io/Logging_0484/kartor_geotiff/A 65380-2021 georefererad karta.tif", "A 65380-2021")</f>
        <v/>
      </c>
      <c r="AA45">
        <f>HYPERLINK("https://klasma.github.io/Logging_0484/klagomål/A 65380-2021 FSC-klagomål.docx", "A 65380-2021")</f>
        <v/>
      </c>
      <c r="AB45">
        <f>HYPERLINK("https://klasma.github.io/Logging_0484/klagomålsmail/A 65380-2021 FSC-klagomål mail.docx", "A 65380-2021")</f>
        <v/>
      </c>
      <c r="AC45">
        <f>HYPERLINK("https://klasma.github.io/Logging_0484/tillsyn/A 65380-2021 tillsynsbegäran.docx", "A 65380-2021")</f>
        <v/>
      </c>
      <c r="AD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46273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4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Grovticka
Svavelriska</t>
        </is>
      </c>
      <c r="W46">
        <f>HYPERLINK("https://klasma.github.io/Logging_0484/artfynd/A 32314-2023 artfynd.xlsx", "A 32314-2023")</f>
        <v/>
      </c>
      <c r="X46">
        <f>HYPERLINK("https://klasma.github.io/Logging_0484/kartor/A 32314-2023 karta.png", "A 32314-2023")</f>
        <v/>
      </c>
      <c r="Y46">
        <f>HYPERLINK("https://klasma.github.io/Logging_0484/kartor_geotiff/A 32314-2023 georefererad karta.tif", "A 32314-2023")</f>
        <v/>
      </c>
      <c r="AA46">
        <f>HYPERLINK("https://klasma.github.io/Logging_0484/klagomål/A 32314-2023 FSC-klagomål.docx", "A 32314-2023")</f>
        <v/>
      </c>
      <c r="AB46">
        <f>HYPERLINK("https://klasma.github.io/Logging_0484/klagomålsmail/A 32314-2023 FSC-klagomål mail.docx", "A 32314-2023")</f>
        <v/>
      </c>
      <c r="AC46">
        <f>HYPERLINK("https://klasma.github.io/Logging_0484/tillsyn/A 32314-2023 tillsynsbegäran.docx", "A 32314-2023")</f>
        <v/>
      </c>
      <c r="AD46">
        <f>HYPERLINK("https://klasma.github.io/Logging_0484/tillsynsmail/A 32314-2023 tillsynsbegäran mail.docx", "A 32314-2023")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46273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19494-2024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46273</v>
      </c>
      <c r="F48" t="inlineStr">
        <is>
          <t>SÖDERMANLANDS LÄN</t>
        </is>
      </c>
      <c r="G48" t="inlineStr">
        <is>
          <t>ESKILSTUNA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 trolldruva
Blåsippa</t>
        </is>
      </c>
      <c r="W48">
        <f>HYPERLINK("https://klasma.github.io/Logging_0484/artfynd/A 19494-2024 artfynd.xlsx", "A 19494-2024")</f>
        <v/>
      </c>
      <c r="X48">
        <f>HYPERLINK("https://klasma.github.io/Logging_0484/kartor/A 19494-2024 karta.png", "A 19494-2024")</f>
        <v/>
      </c>
      <c r="Y48">
        <f>HYPERLINK("https://klasma.github.io/Logging_0484/kartor_geotiff/A 19494-2024 georefererad karta.tif", "A 19494-2024")</f>
        <v/>
      </c>
      <c r="AA48">
        <f>HYPERLINK("https://klasma.github.io/Logging_0484/klagomål/A 19494-2024 FSC-klagomål.docx", "A 19494-2024")</f>
        <v/>
      </c>
      <c r="AB48">
        <f>HYPERLINK("https://klasma.github.io/Logging_0484/klagomålsmail/A 19494-2024 FSC-klagomål mail.docx", "A 19494-2024")</f>
        <v/>
      </c>
      <c r="AC48">
        <f>HYPERLINK("https://klasma.github.io/Logging_0484/tillsyn/A 19494-2024 tillsynsbegäran.docx", "A 19494-2024")</f>
        <v/>
      </c>
      <c r="AD48">
        <f>HYPERLINK("https://klasma.github.io/Logging_0484/tillsynsmail/A 19494-2024 tillsynsbegäran mail.docx", "A 19494-2024")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46273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46273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46273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46273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46273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46273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46273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46273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46273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46273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46273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46273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46273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46273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26148-2022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46273</v>
      </c>
      <c r="F64" t="inlineStr">
        <is>
          <t>SÖDERMANLANDS LÄN</t>
        </is>
      </c>
      <c r="G64" t="inlineStr">
        <is>
          <t>ESKILSTUNA</t>
        </is>
      </c>
      <c r="I64" t="n">
        <v>3.3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26148-2022 artfynd.xlsx", "A 26148-2022")</f>
        <v/>
      </c>
      <c r="X64">
        <f>HYPERLINK("https://klasma.github.io/Logging_0484/kartor/A 26148-2022 karta.png", "A 26148-2022")</f>
        <v/>
      </c>
      <c r="Y64">
        <f>HYPERLINK("https://klasma.github.io/Logging_0484/kartor_geotiff/A 26148-2022 georefererad karta.tif", "A 26148-2022")</f>
        <v/>
      </c>
      <c r="AA64">
        <f>HYPERLINK("https://klasma.github.io/Logging_0484/klagomål/A 26148-2022 FSC-klagomål.docx", "A 26148-2022")</f>
        <v/>
      </c>
      <c r="AB64">
        <f>HYPERLINK("https://klasma.github.io/Logging_0484/klagomålsmail/A 26148-2022 FSC-klagomål mail.docx", "A 26148-2022")</f>
        <v/>
      </c>
      <c r="AC64">
        <f>HYPERLINK("https://klasma.github.io/Logging_0484/tillsyn/A 26148-2022 tillsynsbegäran.docx", "A 26148-2022")</f>
        <v/>
      </c>
      <c r="AD64">
        <f>HYPERLINK("https://klasma.github.io/Logging_0484/tillsynsmail/A 26148-2022 tillsynsbegäran mail.docx", "A 26148-2022")</f>
        <v/>
      </c>
      <c r="AE64">
        <f>HYPERLINK("https://klasma.github.io/Logging_0484/fåglar/A 26148-2022 prioriterade fågelarter.docx", "A 26148-2022")</f>
        <v/>
      </c>
    </row>
    <row r="65" ht="15" customHeight="1">
      <c r="A65" t="inlineStr">
        <is>
          <t>A 59070-2022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46273</v>
      </c>
      <c r="F65" t="inlineStr">
        <is>
          <t>SÖDERMANLANDS LÄN</t>
        </is>
      </c>
      <c r="G65" t="inlineStr">
        <is>
          <t>ESKILSTUNA</t>
        </is>
      </c>
      <c r="I65" t="n">
        <v>6.6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HYPERLINK("https://klasma.github.io/Logging_0484/artfynd/A 59070-2022 artfynd.xlsx", "A 59070-2022")</f>
        <v/>
      </c>
      <c r="X65">
        <f>HYPERLINK("https://klasma.github.io/Logging_0484/kartor/A 59070-2022 karta.png", "A 59070-2022")</f>
        <v/>
      </c>
      <c r="Y65">
        <f>HYPERLINK("https://klasma.github.io/Logging_0484/kartor_geotiff/A 59070-2022 georefererad karta.tif", "A 59070-2022")</f>
        <v/>
      </c>
      <c r="AA65">
        <f>HYPERLINK("https://klasma.github.io/Logging_0484/klagomål/A 59070-2022 FSC-klagomål.docx", "A 59070-2022")</f>
        <v/>
      </c>
      <c r="AB65">
        <f>HYPERLINK("https://klasma.github.io/Logging_0484/klagomålsmail/A 59070-2022 FSC-klagomål mail.docx", "A 59070-2022")</f>
        <v/>
      </c>
      <c r="AC65">
        <f>HYPERLINK("https://klasma.github.io/Logging_0484/tillsyn/A 59070-2022 tillsynsbegäran.docx", "A 59070-2022")</f>
        <v/>
      </c>
      <c r="AD65">
        <f>HYPERLINK("https://klasma.github.io/Logging_0484/tillsynsmail/A 59070-2022 tillsynsbegäran mail.docx", "A 59070-2022")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46273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46273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26097-2026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46273</v>
      </c>
      <c r="F68" t="inlineStr">
        <is>
          <t>SÖDERMANLANDS LÄN</t>
        </is>
      </c>
      <c r="G68" t="inlineStr">
        <is>
          <t>ESKILSTUNA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Svinrot</t>
        </is>
      </c>
      <c r="W68">
        <f>HYPERLINK("https://klasma.github.io/Logging_0484/artfynd/A 26097-2026 artfynd.xlsx", "A 26097-2026")</f>
        <v/>
      </c>
      <c r="X68">
        <f>HYPERLINK("https://klasma.github.io/Logging_0484/kartor/A 26097-2026 karta.png", "A 26097-2026")</f>
        <v/>
      </c>
      <c r="Y68">
        <f>HYPERLINK("https://klasma.github.io/Logging_0484/kartor_geotiff/A 26097-2026 georefererad karta.tif", "A 26097-2026")</f>
        <v/>
      </c>
      <c r="AA68">
        <f>HYPERLINK("https://klasma.github.io/Logging_0484/klagomål/A 26097-2026 FSC-klagomål.docx", "A 26097-2026")</f>
        <v/>
      </c>
      <c r="AB68">
        <f>HYPERLINK("https://klasma.github.io/Logging_0484/klagomålsmail/A 26097-2026 FSC-klagomål mail.docx", "A 26097-2026")</f>
        <v/>
      </c>
      <c r="AC68">
        <f>HYPERLINK("https://klasma.github.io/Logging_0484/tillsyn/A 26097-2026 tillsynsbegäran.docx", "A 26097-2026")</f>
        <v/>
      </c>
      <c r="AD68">
        <f>HYPERLINK("https://klasma.github.io/Logging_0484/tillsynsmail/A 26097-2026 tillsynsbegäran mail.docx", "A 26097-2026")</f>
        <v/>
      </c>
    </row>
    <row r="69" ht="15" customHeight="1">
      <c r="A69" t="inlineStr">
        <is>
          <t>A 26008-2026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46273</v>
      </c>
      <c r="F69" t="inlineStr">
        <is>
          <t>SÖDERMANLANDS LÄN</t>
        </is>
      </c>
      <c r="G69" t="inlineStr">
        <is>
          <t>ESKILSTUNA</t>
        </is>
      </c>
      <c r="I69" t="n">
        <v>2.8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8</v>
      </c>
      <c r="U69" t="n">
        <v>0</v>
      </c>
      <c r="V69" s="2" t="inlineStr">
        <is>
          <t>Svart trolldruva</t>
        </is>
      </c>
      <c r="W69">
        <f>HYPERLINK("https://klasma.github.io/Logging_0484/artfynd/A 26008-2026 artfynd.xlsx", "A 26008-2026")</f>
        <v/>
      </c>
      <c r="X69">
        <f>HYPERLINK("https://klasma.github.io/Logging_0484/kartor/A 26008-2026 karta.png", "A 26008-2026")</f>
        <v/>
      </c>
      <c r="Y69">
        <f>HYPERLINK("https://klasma.github.io/Logging_0484/kartor_geotiff/A 26008-2026 georefererad karta.tif", "A 26008-2026")</f>
        <v/>
      </c>
      <c r="AA69">
        <f>HYPERLINK("https://klasma.github.io/Logging_0484/klagomål/A 26008-2026 FSC-klagomål.docx", "A 26008-2026")</f>
        <v/>
      </c>
      <c r="AB69">
        <f>HYPERLINK("https://klasma.github.io/Logging_0484/klagomålsmail/A 26008-2026 FSC-klagomål mail.docx", "A 26008-2026")</f>
        <v/>
      </c>
      <c r="AC69">
        <f>HYPERLINK("https://klasma.github.io/Logging_0484/tillsyn/A 26008-2026 tillsynsbegäran.docx", "A 26008-2026")</f>
        <v/>
      </c>
      <c r="AD69">
        <f>HYPERLINK("https://klasma.github.io/Logging_0484/tillsynsmail/A 26008-2026 tillsynsbegäran mail.docx", "A 26008-2026")</f>
        <v/>
      </c>
    </row>
    <row r="70" ht="15" customHeight="1">
      <c r="A70" t="inlineStr">
        <is>
          <t>A 26094-2026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46273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3.4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HYPERLINK("https://klasma.github.io/Logging_0484/artfynd/A 26094-2026 artfynd.xlsx", "A 26094-2026")</f>
        <v/>
      </c>
      <c r="X70">
        <f>HYPERLINK("https://klasma.github.io/Logging_0484/kartor/A 26094-2026 karta.png", "A 26094-2026")</f>
        <v/>
      </c>
      <c r="Y70">
        <f>HYPERLINK("https://klasma.github.io/Logging_0484/kartor_geotiff/A 26094-2026 georefererad karta.tif", "A 26094-2026")</f>
        <v/>
      </c>
      <c r="AA70">
        <f>HYPERLINK("https://klasma.github.io/Logging_0484/klagomål/A 26094-2026 FSC-klagomål.docx", "A 26094-2026")</f>
        <v/>
      </c>
      <c r="AB70">
        <f>HYPERLINK("https://klasma.github.io/Logging_0484/klagomålsmail/A 26094-2026 FSC-klagomål mail.docx", "A 26094-2026")</f>
        <v/>
      </c>
      <c r="AC70">
        <f>HYPERLINK("https://klasma.github.io/Logging_0484/tillsyn/A 26094-2026 tillsynsbegäran.docx", "A 26094-2026")</f>
        <v/>
      </c>
      <c r="AD70">
        <f>HYPERLINK("https://klasma.github.io/Logging_0484/tillsynsmail/A 26094-2026 tillsynsbegäran mail.docx", "A 26094-2026")</f>
        <v/>
      </c>
      <c r="AE70">
        <f>HYPERLINK("https://klasma.github.io/Logging_0484/fåglar/A 26094-2026 prioriterade fågelarter.docx", "A 26094-2026")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46273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68018-2021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46273</v>
      </c>
      <c r="F72" t="inlineStr">
        <is>
          <t>SÖDERMANLANDS LÄN</t>
        </is>
      </c>
      <c r="G72" t="inlineStr">
        <is>
          <t>ESKILSTUNA</t>
        </is>
      </c>
      <c r="I72" t="n">
        <v>0.8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Motaggsvamp</t>
        </is>
      </c>
      <c r="W72">
        <f>HYPERLINK("https://klasma.github.io/Logging_0484/artfynd/A 68018-2021 artfynd.xlsx", "A 68018-2021")</f>
        <v/>
      </c>
      <c r="X72">
        <f>HYPERLINK("https://klasma.github.io/Logging_0484/kartor/A 68018-2021 karta.png", "A 68018-2021")</f>
        <v/>
      </c>
      <c r="Y72">
        <f>HYPERLINK("https://klasma.github.io/Logging_0484/kartor_geotiff/A 68018-2021 georefererad karta.tif", "A 68018-2021")</f>
        <v/>
      </c>
      <c r="AA72">
        <f>HYPERLINK("https://klasma.github.io/Logging_0484/klagomål/A 68018-2021 FSC-klagomål.docx", "A 68018-2021")</f>
        <v/>
      </c>
      <c r="AB72">
        <f>HYPERLINK("https://klasma.github.io/Logging_0484/klagomålsmail/A 68018-2021 FSC-klagomål mail.docx", "A 68018-2021")</f>
        <v/>
      </c>
      <c r="AC72">
        <f>HYPERLINK("https://klasma.github.io/Logging_0484/tillsyn/A 68018-2021 tillsynsbegäran.docx", "A 68018-2021")</f>
        <v/>
      </c>
      <c r="AD72">
        <f>HYPERLINK("https://klasma.github.io/Logging_0484/tillsynsmail/A 68018-2021 tillsynsbegäran mail.docx", "A 68018-2021")</f>
        <v/>
      </c>
    </row>
    <row r="73" ht="15" customHeight="1">
      <c r="A73" t="inlineStr">
        <is>
          <t>A 27892-2026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46191</v>
      </c>
      <c r="E73" s="1" t="n">
        <v>46273</v>
      </c>
      <c r="F73" t="inlineStr">
        <is>
          <t>SÖDERMANLANDS LÄN</t>
        </is>
      </c>
      <c r="G73" t="inlineStr">
        <is>
          <t>ESKILSTUNA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Nattviol</t>
        </is>
      </c>
      <c r="W73">
        <f>HYPERLINK("https://klasma.github.io/Logging_0484/artfynd/A 27892-2026 artfynd.xlsx", "A 27892-2026")</f>
        <v/>
      </c>
      <c r="X73">
        <f>HYPERLINK("https://klasma.github.io/Logging_0484/kartor/A 27892-2026 karta.png", "A 27892-2026")</f>
        <v/>
      </c>
      <c r="Y73">
        <f>HYPERLINK("https://klasma.github.io/Logging_0484/kartor_geotiff/A 27892-2026 georefererad karta.tif", "A 27892-2026")</f>
        <v/>
      </c>
      <c r="AA73">
        <f>HYPERLINK("https://klasma.github.io/Logging_0484/klagomål/A 27892-2026 FSC-klagomål.docx", "A 27892-2026")</f>
        <v/>
      </c>
      <c r="AB73">
        <f>HYPERLINK("https://klasma.github.io/Logging_0484/klagomålsmail/A 27892-2026 FSC-klagomål mail.docx", "A 27892-2026")</f>
        <v/>
      </c>
      <c r="AC73">
        <f>HYPERLINK("https://klasma.github.io/Logging_0484/tillsyn/A 27892-2026 tillsynsbegäran.docx", "A 27892-2026")</f>
        <v/>
      </c>
      <c r="AD73">
        <f>HYPERLINK("https://klasma.github.io/Logging_0484/tillsynsmail/A 27892-2026 tillsynsbegäran mail.docx", "A 27892-2026")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46273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46273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33004-2026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46273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Kommuner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HYPERLINK("https://klasma.github.io/Logging_0484/artfynd/A 33004-2026 artfynd.xlsx", "A 33004-2026")</f>
        <v/>
      </c>
      <c r="X76">
        <f>HYPERLINK("https://klasma.github.io/Logging_0484/kartor/A 33004-2026 karta.png", "A 33004-2026")</f>
        <v/>
      </c>
      <c r="Y76">
        <f>HYPERLINK("https://klasma.github.io/Logging_0484/kartor_geotiff/A 33004-2026 georefererad karta.tif", "A 33004-2026")</f>
        <v/>
      </c>
      <c r="AA76">
        <f>HYPERLINK("https://klasma.github.io/Logging_0484/klagomål/A 33004-2026 FSC-klagomål.docx", "A 33004-2026")</f>
        <v/>
      </c>
      <c r="AB76">
        <f>HYPERLINK("https://klasma.github.io/Logging_0484/klagomålsmail/A 33004-2026 FSC-klagomål mail.docx", "A 33004-2026")</f>
        <v/>
      </c>
      <c r="AC76">
        <f>HYPERLINK("https://klasma.github.io/Logging_0484/tillsyn/A 33004-2026 tillsynsbegäran.docx", "A 33004-2026")</f>
        <v/>
      </c>
      <c r="AD76">
        <f>HYPERLINK("https://klasma.github.io/Logging_0484/tillsynsmail/A 33004-2026 tillsynsbegäran mail.docx", "A 33004-2026")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46273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30975-2023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46273</v>
      </c>
      <c r="F78" t="inlineStr">
        <is>
          <t>SÖDERMANLANDS LÄN</t>
        </is>
      </c>
      <c r="G78" t="inlineStr">
        <is>
          <t>ESKILSTUNA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Bombmurkla</t>
        </is>
      </c>
      <c r="W78">
        <f>HYPERLINK("https://klasma.github.io/Logging_0484/artfynd/A 30975-2023 artfynd.xlsx", "A 30975-2023")</f>
        <v/>
      </c>
      <c r="X78">
        <f>HYPERLINK("https://klasma.github.io/Logging_0484/kartor/A 30975-2023 karta.png", "A 30975-2023")</f>
        <v/>
      </c>
      <c r="Y78">
        <f>HYPERLINK("https://klasma.github.io/Logging_0484/kartor_geotiff/A 30975-2023 georefererad karta.tif", "A 30975-2023")</f>
        <v/>
      </c>
      <c r="AA78">
        <f>HYPERLINK("https://klasma.github.io/Logging_0484/klagomål/A 30975-2023 FSC-klagomål.docx", "A 30975-2023")</f>
        <v/>
      </c>
      <c r="AB78">
        <f>HYPERLINK("https://klasma.github.io/Logging_0484/klagomålsmail/A 30975-2023 FSC-klagomål mail.docx", "A 30975-2023")</f>
        <v/>
      </c>
      <c r="AC78">
        <f>HYPERLINK("https://klasma.github.io/Logging_0484/tillsyn/A 30975-2023 tillsynsbegäran.docx", "A 30975-2023")</f>
        <v/>
      </c>
      <c r="AD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46273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46273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15608-2026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46273</v>
      </c>
      <c r="F81" t="inlineStr">
        <is>
          <t>SÖDERMANLANDS LÄN</t>
        </is>
      </c>
      <c r="G81" t="inlineStr">
        <is>
          <t>ESKILSTUNA</t>
        </is>
      </c>
      <c r="I81" t="n">
        <v>9.6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Igelkott</t>
        </is>
      </c>
      <c r="W81">
        <f>HYPERLINK("https://klasma.github.io/Logging_0484/artfynd/A 15608-2026 artfynd.xlsx", "A 15608-2026")</f>
        <v/>
      </c>
      <c r="X81">
        <f>HYPERLINK("https://klasma.github.io/Logging_0484/kartor/A 15608-2026 karta.png", "A 15608-2026")</f>
        <v/>
      </c>
      <c r="Y81">
        <f>HYPERLINK("https://klasma.github.io/Logging_0484/kartor_geotiff/A 15608-2026 georefererad karta.tif", "A 15608-2026")</f>
        <v/>
      </c>
      <c r="AA81">
        <f>HYPERLINK("https://klasma.github.io/Logging_0484/klagomål/A 15608-2026 FSC-klagomål.docx", "A 15608-2026")</f>
        <v/>
      </c>
      <c r="AB81">
        <f>HYPERLINK("https://klasma.github.io/Logging_0484/klagomålsmail/A 15608-2026 FSC-klagomål mail.docx", "A 15608-2026")</f>
        <v/>
      </c>
      <c r="AC81">
        <f>HYPERLINK("https://klasma.github.io/Logging_0484/tillsyn/A 15608-2026 tillsynsbegäran.docx", "A 15608-2026")</f>
        <v/>
      </c>
      <c r="AD81">
        <f>HYPERLINK("https://klasma.github.io/Logging_0484/tillsynsmail/A 15608-2026 tillsynsbegäran mail.docx", "A 15608-2026")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46273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46273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46273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46273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48676-2021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44452</v>
      </c>
      <c r="E86" s="1" t="n">
        <v>46273</v>
      </c>
      <c r="F86" t="inlineStr">
        <is>
          <t>SÖDERMANLANDS LÄN</t>
        </is>
      </c>
      <c r="G86" t="inlineStr">
        <is>
          <t>ESKILSTUNA</t>
        </is>
      </c>
      <c r="I86" t="n">
        <v>8.4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Bronshjon</t>
        </is>
      </c>
      <c r="W86">
        <f>HYPERLINK("https://klasma.github.io/Logging_0484/artfynd/A 48676-2021 artfynd.xlsx", "A 48676-2021")</f>
        <v/>
      </c>
      <c r="X86">
        <f>HYPERLINK("https://klasma.github.io/Logging_0484/kartor/A 48676-2021 karta.png", "A 48676-2021")</f>
        <v/>
      </c>
      <c r="Y86">
        <f>HYPERLINK("https://klasma.github.io/Logging_0484/kartor_geotiff/A 48676-2021 georefererad karta.tif", "A 48676-2021")</f>
        <v/>
      </c>
      <c r="AA86">
        <f>HYPERLINK("https://klasma.github.io/Logging_0484/klagomål/A 48676-2021 FSC-klagomål.docx", "A 48676-2021")</f>
        <v/>
      </c>
      <c r="AB86">
        <f>HYPERLINK("https://klasma.github.io/Logging_0484/klagomålsmail/A 48676-2021 FSC-klagomål mail.docx", "A 48676-2021")</f>
        <v/>
      </c>
      <c r="AC86">
        <f>HYPERLINK("https://klasma.github.io/Logging_0484/tillsyn/A 48676-2021 tillsynsbegäran.docx", "A 48676-2021")</f>
        <v/>
      </c>
      <c r="AD86">
        <f>HYPERLINK("https://klasma.github.io/Logging_0484/tillsynsmail/A 48676-2021 tillsynsbegäran mail.docx", "A 48676-2021")</f>
        <v/>
      </c>
    </row>
    <row r="87" ht="15" customHeight="1">
      <c r="A87" t="inlineStr">
        <is>
          <t>A 23637-2023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46273</v>
      </c>
      <c r="F87" t="inlineStr">
        <is>
          <t>SÖDERMANLANDS LÄN</t>
        </is>
      </c>
      <c r="G87" t="inlineStr">
        <is>
          <t>ESKILSTUNA</t>
        </is>
      </c>
      <c r="I87" t="n">
        <v>15.8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Violett fingersvamp</t>
        </is>
      </c>
      <c r="W87">
        <f>HYPERLINK("https://klasma.github.io/Logging_0484/artfynd/A 23637-2023 artfynd.xlsx", "A 23637-2023")</f>
        <v/>
      </c>
      <c r="X87">
        <f>HYPERLINK("https://klasma.github.io/Logging_0484/kartor/A 23637-2023 karta.png", "A 23637-2023")</f>
        <v/>
      </c>
      <c r="Y87">
        <f>HYPERLINK("https://klasma.github.io/Logging_0484/kartor_geotiff/A 23637-2023 georefererad karta.tif", "A 23637-2023")</f>
        <v/>
      </c>
      <c r="AA87">
        <f>HYPERLINK("https://klasma.github.io/Logging_0484/klagomål/A 23637-2023 FSC-klagomål.docx", "A 23637-2023")</f>
        <v/>
      </c>
      <c r="AB87">
        <f>HYPERLINK("https://klasma.github.io/Logging_0484/klagomålsmail/A 23637-2023 FSC-klagomål mail.docx", "A 23637-2023")</f>
        <v/>
      </c>
      <c r="AC87">
        <f>HYPERLINK("https://klasma.github.io/Logging_0484/tillsyn/A 23637-2023 tillsynsbegäran.docx", "A 23637-2023")</f>
        <v/>
      </c>
      <c r="AD87">
        <f>HYPERLINK("https://klasma.github.io/Logging_0484/tillsynsmail/A 23637-2023 tillsynsbegäran mail.docx", "A 23637-2023")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46273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46273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46273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46273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46273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46273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46273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46273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46273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46273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46273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46273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46273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46273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46273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46273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46273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46273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46273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46273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46273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46273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46273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46273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46273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46273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46273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46273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46273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46273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46273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46273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46273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46273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46273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46273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46273</v>
      </c>
      <c r="F124" t="inlineStr">
        <is>
          <t>SÖDERMANLANDS LÄN</t>
        </is>
      </c>
      <c r="G124" t="inlineStr">
        <is>
          <t>ESKILSTUNA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46273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46273</v>
      </c>
      <c r="F126" t="inlineStr">
        <is>
          <t>SÖDERMANLANDS LÄN</t>
        </is>
      </c>
      <c r="G126" t="inlineStr">
        <is>
          <t>ESKILSTUNA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46273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46273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46273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46273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46273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46273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46273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46273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46273</v>
      </c>
      <c r="F135" t="inlineStr">
        <is>
          <t>SÖDERMANLANDS LÄN</t>
        </is>
      </c>
      <c r="G135" t="inlineStr">
        <is>
          <t>ESKILSTUNA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46273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46273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46273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46273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46273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46273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46273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46273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46273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46273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46273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46273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46273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46273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46273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46273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46273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46273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46273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46273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70191-2021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46273</v>
      </c>
      <c r="F156" t="inlineStr">
        <is>
          <t>SÖDERMANLANDS LÄN</t>
        </is>
      </c>
      <c r="G156" t="inlineStr">
        <is>
          <t>ESKILSTUNA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44748</v>
      </c>
      <c r="E157" s="1" t="n">
        <v>46273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46273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46273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46273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46273</v>
      </c>
      <c r="F161" t="inlineStr">
        <is>
          <t>SÖDERMANLANDS LÄN</t>
        </is>
      </c>
      <c r="G161" t="inlineStr">
        <is>
          <t>ESKILSTUNA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46273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46273</v>
      </c>
      <c r="F163" t="inlineStr">
        <is>
          <t>SÖDERMANLANDS LÄN</t>
        </is>
      </c>
      <c r="G163" t="inlineStr">
        <is>
          <t>ESKILSTUNA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46273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46273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57304-2023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45245</v>
      </c>
      <c r="E166" s="1" t="n">
        <v>46273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46273</v>
      </c>
      <c r="F167" t="inlineStr">
        <is>
          <t>SÖDERMANLANDS LÄN</t>
        </is>
      </c>
      <c r="G167" t="inlineStr">
        <is>
          <t>ESKILSTUNA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44799</v>
      </c>
      <c r="E168" s="1" t="n">
        <v>46273</v>
      </c>
      <c r="F168" t="inlineStr">
        <is>
          <t>SÖDERMANLANDS LÄN</t>
        </is>
      </c>
      <c r="G168" t="inlineStr">
        <is>
          <t>ESKILSTUNA</t>
        </is>
      </c>
      <c r="I168" t="n">
        <v>9.199999999999999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46273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46273</v>
      </c>
      <c r="F170" t="inlineStr">
        <is>
          <t>SÖDERMANLANDS LÄN</t>
        </is>
      </c>
      <c r="G170" t="inlineStr">
        <is>
          <t>ESKILSTUNA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45387</v>
      </c>
      <c r="E171" s="1" t="n">
        <v>46273</v>
      </c>
      <c r="F171" t="inlineStr">
        <is>
          <t>SÖDERMANLANDS LÄN</t>
        </is>
      </c>
      <c r="G171" t="inlineStr">
        <is>
          <t>ESKILSTUNA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46273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45464</v>
      </c>
      <c r="E173" s="1" t="n">
        <v>46273</v>
      </c>
      <c r="F173" t="inlineStr">
        <is>
          <t>SÖDERMANLANDS LÄN</t>
        </is>
      </c>
      <c r="G173" t="inlineStr">
        <is>
          <t>ESKILSTUNA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46273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46273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44979</v>
      </c>
      <c r="E176" s="1" t="n">
        <v>46273</v>
      </c>
      <c r="F176" t="inlineStr">
        <is>
          <t>SÖDERMANLANDS LÄN</t>
        </is>
      </c>
      <c r="G176" t="inlineStr">
        <is>
          <t>ESKILSTUNA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45464</v>
      </c>
      <c r="E177" s="1" t="n">
        <v>46273</v>
      </c>
      <c r="F177" t="inlineStr">
        <is>
          <t>SÖDERMANLANDS LÄN</t>
        </is>
      </c>
      <c r="G177" t="inlineStr">
        <is>
          <t>ESKILSTUNA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46273</v>
      </c>
      <c r="F178" t="inlineStr">
        <is>
          <t>SÖDERMANLANDS LÄN</t>
        </is>
      </c>
      <c r="G178" t="inlineStr">
        <is>
          <t>ESKILSTUNA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46273</v>
      </c>
      <c r="F179" t="inlineStr">
        <is>
          <t>SÖDERMANLANDS LÄN</t>
        </is>
      </c>
      <c r="G179" t="inlineStr">
        <is>
          <t>ESKILSTUNA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46273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Kommuner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65349-2021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44515</v>
      </c>
      <c r="E181" s="1" t="n">
        <v>46273</v>
      </c>
      <c r="F181" t="inlineStr">
        <is>
          <t>SÖDERMANLANDS LÄN</t>
        </is>
      </c>
      <c r="G181" t="inlineStr">
        <is>
          <t>ESKILSTUNA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46273</v>
      </c>
      <c r="F182" t="inlineStr">
        <is>
          <t>SÖDERMANLANDS LÄN</t>
        </is>
      </c>
      <c r="G182" t="inlineStr">
        <is>
          <t>ESKILSTUNA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46273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46273</v>
      </c>
      <c r="F184" t="inlineStr">
        <is>
          <t>SÖDERMANLANDS LÄN</t>
        </is>
      </c>
      <c r="G184" t="inlineStr">
        <is>
          <t>ESKILSTUNA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44918</v>
      </c>
      <c r="E185" s="1" t="n">
        <v>46273</v>
      </c>
      <c r="F185" t="inlineStr">
        <is>
          <t>SÖDERMANLANDS LÄN</t>
        </is>
      </c>
      <c r="G185" t="inlineStr">
        <is>
          <t>ESKILSTUNA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44571</v>
      </c>
      <c r="E186" s="1" t="n">
        <v>46273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46273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46273</v>
      </c>
      <c r="F188" t="inlineStr">
        <is>
          <t>SÖDERMANLANDS LÄN</t>
        </is>
      </c>
      <c r="G188" t="inlineStr">
        <is>
          <t>ESKILSTUNA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46273</v>
      </c>
      <c r="F189" t="inlineStr">
        <is>
          <t>SÖDERMANLANDS LÄN</t>
        </is>
      </c>
      <c r="G189" t="inlineStr">
        <is>
          <t>ESKILSTUNA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46273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46273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46273</v>
      </c>
      <c r="F192" t="inlineStr">
        <is>
          <t>SÖDERMANLANDS LÄN</t>
        </is>
      </c>
      <c r="G192" t="inlineStr">
        <is>
          <t>ESKILSTUNA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46273</v>
      </c>
      <c r="F193" t="inlineStr">
        <is>
          <t>SÖDERMANLANDS LÄN</t>
        </is>
      </c>
      <c r="G193" t="inlineStr">
        <is>
          <t>ESKILSTUNA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46273</v>
      </c>
      <c r="F194" t="inlineStr">
        <is>
          <t>SÖDERMANLANDS LÄN</t>
        </is>
      </c>
      <c r="G194" t="inlineStr">
        <is>
          <t>ESKILSTUNA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45750</v>
      </c>
      <c r="E195" s="1" t="n">
        <v>46273</v>
      </c>
      <c r="F195" t="inlineStr">
        <is>
          <t>SÖDERMANLANDS LÄN</t>
        </is>
      </c>
      <c r="G195" t="inlineStr">
        <is>
          <t>ESKILSTUNA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44616</v>
      </c>
      <c r="E196" s="1" t="n">
        <v>46273</v>
      </c>
      <c r="F196" t="inlineStr">
        <is>
          <t>SÖDERMANLANDS LÄN</t>
        </is>
      </c>
      <c r="G196" t="inlineStr">
        <is>
          <t>ESKILSTUNA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46273</v>
      </c>
      <c r="F197" t="inlineStr">
        <is>
          <t>SÖDERMANLANDS LÄN</t>
        </is>
      </c>
      <c r="G197" t="inlineStr">
        <is>
          <t>ESKILSTUNA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46273</v>
      </c>
      <c r="F198" t="inlineStr">
        <is>
          <t>SÖDERMANLANDS LÄN</t>
        </is>
      </c>
      <c r="G198" t="inlineStr">
        <is>
          <t>ESKILSTUNA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12547-2022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44638</v>
      </c>
      <c r="E199" s="1" t="n">
        <v>46273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45036</v>
      </c>
      <c r="E200" s="1" t="n">
        <v>46273</v>
      </c>
      <c r="F200" t="inlineStr">
        <is>
          <t>SÖDERMANLANDS LÄN</t>
        </is>
      </c>
      <c r="G200" t="inlineStr">
        <is>
          <t>ESKILSTUNA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46273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46273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46273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Allmännings- och besparingsskogar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61829-2023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45266</v>
      </c>
      <c r="E204" s="1" t="n">
        <v>46273</v>
      </c>
      <c r="F204" t="inlineStr">
        <is>
          <t>SÖDERMANLANDS LÄN</t>
        </is>
      </c>
      <c r="G204" t="inlineStr">
        <is>
          <t>ESKILSTUNA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46273</v>
      </c>
      <c r="F205" t="inlineStr">
        <is>
          <t>SÖDERMANLANDS LÄN</t>
        </is>
      </c>
      <c r="G205" t="inlineStr">
        <is>
          <t>ESKILSTUNA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46273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44698</v>
      </c>
      <c r="E207" s="1" t="n">
        <v>46273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46273</v>
      </c>
      <c r="F208" t="inlineStr">
        <is>
          <t>SÖDERMANLANDS LÄN</t>
        </is>
      </c>
      <c r="G208" t="inlineStr">
        <is>
          <t>ESKILSTUNA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44998</v>
      </c>
      <c r="E209" s="1" t="n">
        <v>46273</v>
      </c>
      <c r="F209" t="inlineStr">
        <is>
          <t>SÖDERMANLANDS LÄN</t>
        </is>
      </c>
      <c r="G209" t="inlineStr">
        <is>
          <t>ESKILSTUNA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46273</v>
      </c>
      <c r="F210" t="inlineStr">
        <is>
          <t>SÖDERMANLANDS LÄN</t>
        </is>
      </c>
      <c r="G210" t="inlineStr">
        <is>
          <t>ESKILSTUNA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46273</v>
      </c>
      <c r="F211" t="inlineStr">
        <is>
          <t>SÖDERMANLANDS LÄN</t>
        </is>
      </c>
      <c r="G211" t="inlineStr">
        <is>
          <t>ESKILSTUNA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46273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46273</v>
      </c>
      <c r="F213" t="inlineStr">
        <is>
          <t>SÖDERMANLANDS LÄN</t>
        </is>
      </c>
      <c r="G213" t="inlineStr">
        <is>
          <t>ESKILSTUNA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44946</v>
      </c>
      <c r="E214" s="1" t="n">
        <v>46273</v>
      </c>
      <c r="F214" t="inlineStr">
        <is>
          <t>SÖDERMANLANDS LÄN</t>
        </is>
      </c>
      <c r="G214" t="inlineStr">
        <is>
          <t>ESKILSTUNA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46273</v>
      </c>
      <c r="F215" t="inlineStr">
        <is>
          <t>SÖDERMANLANDS LÄN</t>
        </is>
      </c>
      <c r="G215" t="inlineStr">
        <is>
          <t>ESKILSTUNA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46273</v>
      </c>
      <c r="F216" t="inlineStr">
        <is>
          <t>SÖDERMANLANDS LÄN</t>
        </is>
      </c>
      <c r="G216" t="inlineStr">
        <is>
          <t>ESKILSTUNA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44983</v>
      </c>
      <c r="E217" s="1" t="n">
        <v>46273</v>
      </c>
      <c r="F217" t="inlineStr">
        <is>
          <t>SÖDERMANLANDS LÄN</t>
        </is>
      </c>
      <c r="G217" t="inlineStr">
        <is>
          <t>ESKILSTUNA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46273</v>
      </c>
      <c r="F218" t="inlineStr">
        <is>
          <t>SÖDERMANLANDS LÄN</t>
        </is>
      </c>
      <c r="G218" t="inlineStr">
        <is>
          <t>ESKILSTUNA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46273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44626</v>
      </c>
      <c r="E220" s="1" t="n">
        <v>46273</v>
      </c>
      <c r="F220" t="inlineStr">
        <is>
          <t>SÖDERMANLANDS LÄN</t>
        </is>
      </c>
      <c r="G220" t="inlineStr">
        <is>
          <t>ESKILSTUNA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61367-2021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44499</v>
      </c>
      <c r="E221" s="1" t="n">
        <v>46273</v>
      </c>
      <c r="F221" t="inlineStr">
        <is>
          <t>SÖDERMANLANDS LÄN</t>
        </is>
      </c>
      <c r="G221" t="inlineStr">
        <is>
          <t>ESKILSTUNA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44490</v>
      </c>
      <c r="E222" s="1" t="n">
        <v>46273</v>
      </c>
      <c r="F222" t="inlineStr">
        <is>
          <t>SÖDERMANLANDS LÄN</t>
        </is>
      </c>
      <c r="G222" t="inlineStr">
        <is>
          <t>ESKILSTUNA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36565-2022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44804</v>
      </c>
      <c r="E223" s="1" t="n">
        <v>46273</v>
      </c>
      <c r="F223" t="inlineStr">
        <is>
          <t>SÖDERMANLANDS LÄN</t>
        </is>
      </c>
      <c r="G223" t="inlineStr">
        <is>
          <t>ESKILSTUNA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45005</v>
      </c>
      <c r="E224" s="1" t="n">
        <v>46273</v>
      </c>
      <c r="F224" t="inlineStr">
        <is>
          <t>SÖDERMANLANDS LÄN</t>
        </is>
      </c>
      <c r="G224" t="inlineStr">
        <is>
          <t>ESKILSTUNA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46273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46273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46273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46273</v>
      </c>
      <c r="F228" t="inlineStr">
        <is>
          <t>SÖDERMANLANDS LÄN</t>
        </is>
      </c>
      <c r="G228" t="inlineStr">
        <is>
          <t>ESKILSTUNA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46273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Kyrkan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44741</v>
      </c>
      <c r="E230" s="1" t="n">
        <v>46273</v>
      </c>
      <c r="F230" t="inlineStr">
        <is>
          <t>SÖDERMANLANDS LÄN</t>
        </is>
      </c>
      <c r="G230" t="inlineStr">
        <is>
          <t>ESKILSTUNA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46273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44499</v>
      </c>
      <c r="E232" s="1" t="n">
        <v>46273</v>
      </c>
      <c r="F232" t="inlineStr">
        <is>
          <t>SÖDERMANLANDS LÄN</t>
        </is>
      </c>
      <c r="G232" t="inlineStr">
        <is>
          <t>ESKILSTUNA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65595-2021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44516</v>
      </c>
      <c r="E233" s="1" t="n">
        <v>46273</v>
      </c>
      <c r="F233" t="inlineStr">
        <is>
          <t>SÖDERMANLANDS LÄN</t>
        </is>
      </c>
      <c r="G233" t="inlineStr">
        <is>
          <t>ESKILSTUNA</t>
        </is>
      </c>
      <c r="I233" t="n">
        <v>9.5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41597-2025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46273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46273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46273</v>
      </c>
      <c r="F236" t="inlineStr">
        <is>
          <t>SÖDERMANLANDS LÄN</t>
        </is>
      </c>
      <c r="G236" t="inlineStr">
        <is>
          <t>ESKILSTUNA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45670</v>
      </c>
      <c r="E237" s="1" t="n">
        <v>46273</v>
      </c>
      <c r="F237" t="inlineStr">
        <is>
          <t>SÖDERMANLANDS LÄN</t>
        </is>
      </c>
      <c r="G237" t="inlineStr">
        <is>
          <t>ESKILSTUNA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38895-2023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45163</v>
      </c>
      <c r="E238" s="1" t="n">
        <v>46273</v>
      </c>
      <c r="F238" t="inlineStr">
        <is>
          <t>SÖDERMANLANDS LÄN</t>
        </is>
      </c>
      <c r="G238" t="inlineStr">
        <is>
          <t>ESKILSTUNA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50484-2025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45945</v>
      </c>
      <c r="E239" s="1" t="n">
        <v>46273</v>
      </c>
      <c r="F239" t="inlineStr">
        <is>
          <t>SÖDERMANLANDS LÄN</t>
        </is>
      </c>
      <c r="G239" t="inlineStr">
        <is>
          <t>ESKILSTUNA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46273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Allmännings- och besparingsskogar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46273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44832</v>
      </c>
      <c r="E242" s="1" t="n">
        <v>46273</v>
      </c>
      <c r="F242" t="inlineStr">
        <is>
          <t>SÖDERMANLANDS LÄN</t>
        </is>
      </c>
      <c r="G242" t="inlineStr">
        <is>
          <t>ESKILSTUNA</t>
        </is>
      </c>
      <c r="I242" t="n">
        <v>19.9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46273</v>
      </c>
      <c r="F243" t="inlineStr">
        <is>
          <t>SÖDERMANLANDS LÄN</t>
        </is>
      </c>
      <c r="G243" t="inlineStr">
        <is>
          <t>ESKILSTUNA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44701</v>
      </c>
      <c r="E244" s="1" t="n">
        <v>46273</v>
      </c>
      <c r="F244" t="inlineStr">
        <is>
          <t>SÖDERMANLANDS LÄN</t>
        </is>
      </c>
      <c r="G244" t="inlineStr">
        <is>
          <t>ESKILSTUNA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57061-2021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44482</v>
      </c>
      <c r="E245" s="1" t="n">
        <v>46273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44886</v>
      </c>
      <c r="E246" s="1" t="n">
        <v>46273</v>
      </c>
      <c r="F246" t="inlineStr">
        <is>
          <t>SÖDERMANLANDS LÄN</t>
        </is>
      </c>
      <c r="G246" t="inlineStr">
        <is>
          <t>ESKILSTUNA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68022-2021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44525</v>
      </c>
      <c r="E247" s="1" t="n">
        <v>46273</v>
      </c>
      <c r="F247" t="inlineStr">
        <is>
          <t>SÖDERMANLANDS LÄN</t>
        </is>
      </c>
      <c r="G247" t="inlineStr">
        <is>
          <t>ESKILSTUNA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44473</v>
      </c>
      <c r="E248" s="1" t="n">
        <v>46273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46273</v>
      </c>
      <c r="F249" t="inlineStr">
        <is>
          <t>SÖDERMANLANDS LÄN</t>
        </is>
      </c>
      <c r="G249" t="inlineStr">
        <is>
          <t>ESKILSTUNA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23639-2023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46273</v>
      </c>
      <c r="F250" t="inlineStr">
        <is>
          <t>SÖDERMANLANDS LÄN</t>
        </is>
      </c>
      <c r="G250" t="inlineStr">
        <is>
          <t>ESKILSTUNA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44671</v>
      </c>
      <c r="E251" s="1" t="n">
        <v>46273</v>
      </c>
      <c r="F251" t="inlineStr">
        <is>
          <t>SÖDERMANLANDS LÄN</t>
        </is>
      </c>
      <c r="G251" t="inlineStr">
        <is>
          <t>ESKILSTUNA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46273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46273</v>
      </c>
      <c r="F253" t="inlineStr">
        <is>
          <t>SÖDERMANLANDS LÄN</t>
        </is>
      </c>
      <c r="G253" t="inlineStr">
        <is>
          <t>ESKILSTUNA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46273</v>
      </c>
      <c r="F254" t="inlineStr">
        <is>
          <t>SÖDERMANLANDS LÄN</t>
        </is>
      </c>
      <c r="G254" t="inlineStr">
        <is>
          <t>ESKILSTUNA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46273</v>
      </c>
      <c r="F255" t="inlineStr">
        <is>
          <t>SÖDERMANLANDS LÄN</t>
        </is>
      </c>
      <c r="G255" t="inlineStr">
        <is>
          <t>ESKILSTUNA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62268-2023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46273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46273</v>
      </c>
      <c r="F257" t="inlineStr">
        <is>
          <t>SÖDERMANLANDS LÄN</t>
        </is>
      </c>
      <c r="G257" t="inlineStr">
        <is>
          <t>ESKILSTUNA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46273</v>
      </c>
      <c r="F258" t="inlineStr">
        <is>
          <t>SÖDERMANLANDS LÄN</t>
        </is>
      </c>
      <c r="G258" t="inlineStr">
        <is>
          <t>ESKILSTUNA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46273</v>
      </c>
      <c r="F259" t="inlineStr">
        <is>
          <t>SÖDERMANLANDS LÄN</t>
        </is>
      </c>
      <c r="G259" t="inlineStr">
        <is>
          <t>ESKILSTUNA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65614-2021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46273</v>
      </c>
      <c r="F260" t="inlineStr">
        <is>
          <t>SÖDERMANLANDS LÄN</t>
        </is>
      </c>
      <c r="G260" t="inlineStr">
        <is>
          <t>ESKILSTUNA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44916</v>
      </c>
      <c r="E261" s="1" t="n">
        <v>46273</v>
      </c>
      <c r="F261" t="inlineStr">
        <is>
          <t>SÖDERMANLANDS LÄN</t>
        </is>
      </c>
      <c r="G261" t="inlineStr">
        <is>
          <t>ESKILSTUNA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44888</v>
      </c>
      <c r="E262" s="1" t="n">
        <v>46273</v>
      </c>
      <c r="F262" t="inlineStr">
        <is>
          <t>SÖDERMANLANDS LÄN</t>
        </is>
      </c>
      <c r="G262" t="inlineStr">
        <is>
          <t>ESKILSTUNA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50310-2022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44865</v>
      </c>
      <c r="E263" s="1" t="n">
        <v>46273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Kyrkan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46157</v>
      </c>
      <c r="E264" s="1" t="n">
        <v>46273</v>
      </c>
      <c r="F264" t="inlineStr">
        <is>
          <t>SÖDERMANLANDS LÄN</t>
        </is>
      </c>
      <c r="G264" t="inlineStr">
        <is>
          <t>ESKILSTUNA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46273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44664</v>
      </c>
      <c r="E266" s="1" t="n">
        <v>46273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46273</v>
      </c>
      <c r="F267" t="inlineStr">
        <is>
          <t>SÖDERMANLANDS LÄN</t>
        </is>
      </c>
      <c r="G267" t="inlineStr">
        <is>
          <t>ESKILSTUNA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44729</v>
      </c>
      <c r="E268" s="1" t="n">
        <v>46273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Kyrkan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46273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46273</v>
      </c>
      <c r="F270" t="inlineStr">
        <is>
          <t>SÖDERMANLANDS LÄN</t>
        </is>
      </c>
      <c r="G270" t="inlineStr">
        <is>
          <t>ESKILSTUNA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46273</v>
      </c>
      <c r="F271" t="inlineStr">
        <is>
          <t>SÖDERMANLANDS LÄN</t>
        </is>
      </c>
      <c r="G271" t="inlineStr">
        <is>
          <t>ESKILSTUNA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9711-2025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45715</v>
      </c>
      <c r="E272" s="1" t="n">
        <v>46273</v>
      </c>
      <c r="F272" t="inlineStr">
        <is>
          <t>SÖDERMANLANDS LÄN</t>
        </is>
      </c>
      <c r="G272" t="inlineStr">
        <is>
          <t>ESKILSTUNA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46273</v>
      </c>
      <c r="F273" t="inlineStr">
        <is>
          <t>SÖDERMANLANDS LÄN</t>
        </is>
      </c>
      <c r="G273" t="inlineStr">
        <is>
          <t>ESKILSTUNA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45897</v>
      </c>
      <c r="E274" s="1" t="n">
        <v>46273</v>
      </c>
      <c r="F274" t="inlineStr">
        <is>
          <t>SÖDERMANLANDS LÄN</t>
        </is>
      </c>
      <c r="G274" t="inlineStr">
        <is>
          <t>ESKILSTUNA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46273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52203-2025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45953</v>
      </c>
      <c r="E276" s="1" t="n">
        <v>46273</v>
      </c>
      <c r="F276" t="inlineStr">
        <is>
          <t>SÖDERMANLANDS LÄN</t>
        </is>
      </c>
      <c r="G276" t="inlineStr">
        <is>
          <t>ESKILSTUNA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46273</v>
      </c>
      <c r="F277" t="inlineStr">
        <is>
          <t>SÖDERMANLANDS LÄN</t>
        </is>
      </c>
      <c r="G277" t="inlineStr">
        <is>
          <t>ESKILSTUNA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46273</v>
      </c>
      <c r="F278" t="inlineStr">
        <is>
          <t>SÖDERMANLANDS LÄN</t>
        </is>
      </c>
      <c r="G278" t="inlineStr">
        <is>
          <t>ESKILSTUNA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45056</v>
      </c>
      <c r="E279" s="1" t="n">
        <v>46273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Allmännings- och besparingsskogar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46164</v>
      </c>
      <c r="E280" s="1" t="n">
        <v>46273</v>
      </c>
      <c r="F280" t="inlineStr">
        <is>
          <t>SÖDERMANLANDS LÄN</t>
        </is>
      </c>
      <c r="G280" t="inlineStr">
        <is>
          <t>ESKILSTUNA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46273</v>
      </c>
      <c r="F281" t="inlineStr">
        <is>
          <t>SÖDERMANLANDS LÄN</t>
        </is>
      </c>
      <c r="G281" t="inlineStr">
        <is>
          <t>ESKILSTUNA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46273</v>
      </c>
      <c r="F282" t="inlineStr">
        <is>
          <t>SÖDERMANLANDS LÄN</t>
        </is>
      </c>
      <c r="G282" t="inlineStr">
        <is>
          <t>ESKILSTUNA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45953</v>
      </c>
      <c r="E283" s="1" t="n">
        <v>46273</v>
      </c>
      <c r="F283" t="inlineStr">
        <is>
          <t>SÖDERMANLANDS LÄN</t>
        </is>
      </c>
      <c r="G283" t="inlineStr">
        <is>
          <t>ESKILSTUNA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46273</v>
      </c>
      <c r="F284" t="inlineStr">
        <is>
          <t>SÖDERMANLANDS LÄN</t>
        </is>
      </c>
      <c r="G284" t="inlineStr">
        <is>
          <t>ESKILSTUNA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46273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46273</v>
      </c>
      <c r="F286" t="inlineStr">
        <is>
          <t>SÖDERMANLANDS LÄN</t>
        </is>
      </c>
      <c r="G286" t="inlineStr">
        <is>
          <t>ESKILSTUNA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44889</v>
      </c>
      <c r="E287" s="1" t="n">
        <v>46273</v>
      </c>
      <c r="F287" t="inlineStr">
        <is>
          <t>SÖDERMANLANDS LÄN</t>
        </is>
      </c>
      <c r="G287" t="inlineStr">
        <is>
          <t>ESKILSTUNA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46273</v>
      </c>
      <c r="F288" t="inlineStr">
        <is>
          <t>SÖDERMANLANDS LÄN</t>
        </is>
      </c>
      <c r="G288" t="inlineStr">
        <is>
          <t>ESKILSTUNA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46273</v>
      </c>
      <c r="F289" t="inlineStr">
        <is>
          <t>SÖDERMANLANDS LÄN</t>
        </is>
      </c>
      <c r="G289" t="inlineStr">
        <is>
          <t>ESKILSTUNA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46273</v>
      </c>
      <c r="F290" t="inlineStr">
        <is>
          <t>SÖDERMANLANDS LÄN</t>
        </is>
      </c>
      <c r="G290" t="inlineStr">
        <is>
          <t>ESKILSTUNA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61170-2021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44497</v>
      </c>
      <c r="E291" s="1" t="n">
        <v>46273</v>
      </c>
      <c r="F291" t="inlineStr">
        <is>
          <t>SÖDERMANLANDS LÄN</t>
        </is>
      </c>
      <c r="G291" t="inlineStr">
        <is>
          <t>ESKILSTUNA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46273</v>
      </c>
      <c r="F292" t="inlineStr">
        <is>
          <t>SÖDERMANLANDS LÄN</t>
        </is>
      </c>
      <c r="G292" t="inlineStr">
        <is>
          <t>ESKILSTUNA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46273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46273</v>
      </c>
      <c r="F294" t="inlineStr">
        <is>
          <t>SÖDERMANLANDS LÄN</t>
        </is>
      </c>
      <c r="G294" t="inlineStr">
        <is>
          <t>ESKILSTUNA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46273</v>
      </c>
      <c r="F295" t="inlineStr">
        <is>
          <t>SÖDERMANLANDS LÄN</t>
        </is>
      </c>
      <c r="G295" t="inlineStr">
        <is>
          <t>ESKILSTUNA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46273</v>
      </c>
      <c r="F296" t="inlineStr">
        <is>
          <t>SÖDERMANLANDS LÄN</t>
        </is>
      </c>
      <c r="G296" t="inlineStr">
        <is>
          <t>ESKILSTUNA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25483-2026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46273</v>
      </c>
      <c r="F297" t="inlineStr">
        <is>
          <t>SÖDERMANLANDS LÄN</t>
        </is>
      </c>
      <c r="G297" t="inlineStr">
        <is>
          <t>ESKILSTUNA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45049</v>
      </c>
      <c r="E298" s="1" t="n">
        <v>46273</v>
      </c>
      <c r="F298" t="inlineStr">
        <is>
          <t>SÖDERMANLANDS LÄN</t>
        </is>
      </c>
      <c r="G298" t="inlineStr">
        <is>
          <t>ESKILSTUNA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1340-2024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46273</v>
      </c>
      <c r="F299" t="inlineStr">
        <is>
          <t>SÖDERMANLANDS LÄN</t>
        </is>
      </c>
      <c r="G299" t="inlineStr">
        <is>
          <t>ESKILSTUNA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46273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Övriga Aktiebolag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46273</v>
      </c>
      <c r="F301" t="inlineStr">
        <is>
          <t>SÖDERMANLANDS LÄN</t>
        </is>
      </c>
      <c r="G301" t="inlineStr">
        <is>
          <t>ESKILSTUNA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46273</v>
      </c>
      <c r="F302" t="inlineStr">
        <is>
          <t>SÖDERMANLANDS LÄN</t>
        </is>
      </c>
      <c r="G302" t="inlineStr">
        <is>
          <t>ESKILSTUNA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46273</v>
      </c>
      <c r="F303" t="inlineStr">
        <is>
          <t>SÖDERMANLANDS LÄN</t>
        </is>
      </c>
      <c r="G303" t="inlineStr">
        <is>
          <t>ESKILSTUNA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46273</v>
      </c>
      <c r="F304" t="inlineStr">
        <is>
          <t>SÖDERMANLANDS LÄN</t>
        </is>
      </c>
      <c r="G304" t="inlineStr">
        <is>
          <t>ESKILSTUNA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46273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46273</v>
      </c>
      <c r="F306" t="inlineStr">
        <is>
          <t>SÖDERMANLANDS LÄN</t>
        </is>
      </c>
      <c r="G306" t="inlineStr">
        <is>
          <t>ESKILSTUNA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46273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70265-2021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44536</v>
      </c>
      <c r="E308" s="1" t="n">
        <v>46273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46273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46608-2024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45582</v>
      </c>
      <c r="E310" s="1" t="n">
        <v>46273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46273</v>
      </c>
      <c r="F311" t="inlineStr">
        <is>
          <t>SÖDERMANLANDS LÄN</t>
        </is>
      </c>
      <c r="G311" t="inlineStr">
        <is>
          <t>ESKILSTUNA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68020-2021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44525</v>
      </c>
      <c r="E312" s="1" t="n">
        <v>46273</v>
      </c>
      <c r="F312" t="inlineStr">
        <is>
          <t>SÖDERMANLANDS LÄN</t>
        </is>
      </c>
      <c r="G312" t="inlineStr">
        <is>
          <t>ESKILSTUNA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46273</v>
      </c>
      <c r="F313" t="inlineStr">
        <is>
          <t>SÖDERMANLANDS LÄN</t>
        </is>
      </c>
      <c r="G313" t="inlineStr">
        <is>
          <t>ESKILSTUNA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45146</v>
      </c>
      <c r="E314" s="1" t="n">
        <v>46273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Kyrkan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46273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27779-2026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46191</v>
      </c>
      <c r="E316" s="1" t="n">
        <v>46273</v>
      </c>
      <c r="F316" t="inlineStr">
        <is>
          <t>SÖDERMANLANDS LÄN</t>
        </is>
      </c>
      <c r="G316" t="inlineStr">
        <is>
          <t>ESKILSTUNA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46238</v>
      </c>
      <c r="E317" s="1" t="n">
        <v>46273</v>
      </c>
      <c r="F317" t="inlineStr">
        <is>
          <t>SÖDERMANLANDS LÄN</t>
        </is>
      </c>
      <c r="G317" t="inlineStr">
        <is>
          <t>ESKILSTUNA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46273</v>
      </c>
      <c r="F318" t="inlineStr">
        <is>
          <t>SÖDERMANLANDS LÄN</t>
        </is>
      </c>
      <c r="G318" t="inlineStr">
        <is>
          <t>ESKILSTUNA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46273</v>
      </c>
      <c r="F319" t="inlineStr">
        <is>
          <t>SÖDERMANLANDS LÄN</t>
        </is>
      </c>
      <c r="G319" t="inlineStr">
        <is>
          <t>ESKILSTUNA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46238</v>
      </c>
      <c r="E320" s="1" t="n">
        <v>46273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46237</v>
      </c>
      <c r="E321" s="1" t="n">
        <v>46273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Sveaskog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46273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44626</v>
      </c>
      <c r="E323" s="1" t="n">
        <v>46273</v>
      </c>
      <c r="F323" t="inlineStr">
        <is>
          <t>SÖDERMANLANDS LÄN</t>
        </is>
      </c>
      <c r="G323" t="inlineStr">
        <is>
          <t>ESKILSTUNA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46239</v>
      </c>
      <c r="E324" s="1" t="n">
        <v>46273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44927-2023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45190</v>
      </c>
      <c r="E325" s="1" t="n">
        <v>46273</v>
      </c>
      <c r="F325" t="inlineStr">
        <is>
          <t>SÖDERMANLANDS LÄN</t>
        </is>
      </c>
      <c r="G325" t="inlineStr">
        <is>
          <t>ESKILSTUNA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46273</v>
      </c>
      <c r="F326" t="inlineStr">
        <is>
          <t>SÖDERMANLANDS LÄN</t>
        </is>
      </c>
      <c r="G326" t="inlineStr">
        <is>
          <t>ESKILSTUNA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22605-2023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45071</v>
      </c>
      <c r="E327" s="1" t="n">
        <v>46273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Kyrkan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46273</v>
      </c>
      <c r="F328" t="inlineStr">
        <is>
          <t>SÖDERMANLANDS LÄN</t>
        </is>
      </c>
      <c r="G328" t="inlineStr">
        <is>
          <t>ESKILSTUNA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46273</v>
      </c>
      <c r="F329" t="inlineStr">
        <is>
          <t>SÖDERMANLANDS LÄN</t>
        </is>
      </c>
      <c r="G329" t="inlineStr">
        <is>
          <t>ESKILSTUNA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46273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Kommuner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44606</v>
      </c>
      <c r="E331" s="1" t="n">
        <v>46273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29053-2026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46199</v>
      </c>
      <c r="E332" s="1" t="n">
        <v>46273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46273</v>
      </c>
      <c r="F333" t="inlineStr">
        <is>
          <t>SÖDERMANLANDS LÄN</t>
        </is>
      </c>
      <c r="G333" t="inlineStr">
        <is>
          <t>ESKILSTUNA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46273</v>
      </c>
      <c r="F334" t="inlineStr">
        <is>
          <t>SÖDERMANLANDS LÄN</t>
        </is>
      </c>
      <c r="G334" t="inlineStr">
        <is>
          <t>ESKILSTUNA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45643</v>
      </c>
      <c r="E335" s="1" t="n">
        <v>46273</v>
      </c>
      <c r="F335" t="inlineStr">
        <is>
          <t>SÖDERMANLANDS LÄN</t>
        </is>
      </c>
      <c r="G335" t="inlineStr">
        <is>
          <t>ESKILSTUNA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46273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Kyrkan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45107</v>
      </c>
      <c r="E337" s="1" t="n">
        <v>46273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29051-2026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46199</v>
      </c>
      <c r="E338" s="1" t="n">
        <v>46273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46273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32963-2026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46241</v>
      </c>
      <c r="E340" s="1" t="n">
        <v>46273</v>
      </c>
      <c r="F340" t="inlineStr">
        <is>
          <t>SÖDERMANLANDS LÄN</t>
        </is>
      </c>
      <c r="G340" t="inlineStr">
        <is>
          <t>ESKILSTUNA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46273</v>
      </c>
      <c r="F341" t="inlineStr">
        <is>
          <t>SÖDERMANLANDS LÄN</t>
        </is>
      </c>
      <c r="G341" t="inlineStr">
        <is>
          <t>ESKILSTUNA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51801-2025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45950</v>
      </c>
      <c r="E342" s="1" t="n">
        <v>46273</v>
      </c>
      <c r="F342" t="inlineStr">
        <is>
          <t>SÖDERMANLANDS LÄN</t>
        </is>
      </c>
      <c r="G342" t="inlineStr">
        <is>
          <t>ESKILSTUNA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46273</v>
      </c>
      <c r="F343" t="inlineStr">
        <is>
          <t>SÖDERMANLANDS LÄN</t>
        </is>
      </c>
      <c r="G343" t="inlineStr">
        <is>
          <t>ESKILSTUNA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46245</v>
      </c>
      <c r="E344" s="1" t="n">
        <v>46273</v>
      </c>
      <c r="F344" t="inlineStr">
        <is>
          <t>SÖDERMANLANDS LÄN</t>
        </is>
      </c>
      <c r="G344" t="inlineStr">
        <is>
          <t>ESKILSTUNA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46246</v>
      </c>
      <c r="E345" s="1" t="n">
        <v>46273</v>
      </c>
      <c r="F345" t="inlineStr">
        <is>
          <t>SÖDERMANLANDS LÄN</t>
        </is>
      </c>
      <c r="G345" t="inlineStr">
        <is>
          <t>ESKILSTUNA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46083</v>
      </c>
      <c r="E346" s="1" t="n">
        <v>46273</v>
      </c>
      <c r="F346" t="inlineStr">
        <is>
          <t>SÖDERMANLANDS LÄN</t>
        </is>
      </c>
      <c r="G346" t="inlineStr">
        <is>
          <t>ESKILSTUNA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46273</v>
      </c>
      <c r="F347" t="inlineStr">
        <is>
          <t>SÖDERMANLANDS LÄN</t>
        </is>
      </c>
      <c r="G347" t="inlineStr">
        <is>
          <t>ESKILSTUNA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26871-2023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46273</v>
      </c>
      <c r="F348" t="inlineStr">
        <is>
          <t>SÖDERMANLANDS LÄN</t>
        </is>
      </c>
      <c r="G348" t="inlineStr">
        <is>
          <t>ESKILSTUNA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55763-2022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44886</v>
      </c>
      <c r="E349" s="1" t="n">
        <v>46273</v>
      </c>
      <c r="F349" t="inlineStr">
        <is>
          <t>SÖDERMANLANDS LÄN</t>
        </is>
      </c>
      <c r="G349" t="inlineStr">
        <is>
          <t>ESKILSTUNA</t>
        </is>
      </c>
      <c r="I349" t="n">
        <v>15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46273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Allmännings- och besparingsskogar</t>
        </is>
      </c>
      <c r="I350" t="n">
        <v>15.8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46273</v>
      </c>
      <c r="F351" t="inlineStr">
        <is>
          <t>SÖDERMANLANDS LÄN</t>
        </is>
      </c>
      <c r="G351" t="inlineStr">
        <is>
          <t>ESKILSTUNA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46273</v>
      </c>
      <c r="F352" t="inlineStr">
        <is>
          <t>SÖDERMANLANDS LÄN</t>
        </is>
      </c>
      <c r="G352" t="inlineStr">
        <is>
          <t>ESKILSTUNA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46157</v>
      </c>
      <c r="E353" s="1" t="n">
        <v>46273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4200-2025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45685</v>
      </c>
      <c r="E354" s="1" t="n">
        <v>46273</v>
      </c>
      <c r="F354" t="inlineStr">
        <is>
          <t>SÖDERMANLANDS LÄN</t>
        </is>
      </c>
      <c r="G354" t="inlineStr">
        <is>
          <t>ESKILSTUNA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15917-2022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44664</v>
      </c>
      <c r="E355" s="1" t="n">
        <v>46273</v>
      </c>
      <c r="F355" t="inlineStr">
        <is>
          <t>SÖDERMANLANDS LÄN</t>
        </is>
      </c>
      <c r="G355" t="inlineStr">
        <is>
          <t>ESKILSTUNA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45723</v>
      </c>
      <c r="E356" s="1" t="n">
        <v>46273</v>
      </c>
      <c r="F356" t="inlineStr">
        <is>
          <t>SÖDERMANLANDS LÄN</t>
        </is>
      </c>
      <c r="G356" t="inlineStr">
        <is>
          <t>ESKILSTUNA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46273</v>
      </c>
      <c r="F357" t="inlineStr">
        <is>
          <t>SÖDERMANLANDS LÄN</t>
        </is>
      </c>
      <c r="G357" t="inlineStr">
        <is>
          <t>ESKILSTUNA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25229-2022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46273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Allmännings- och besparingsskogar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61831-2023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46273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44749</v>
      </c>
      <c r="E360" s="1" t="n">
        <v>46273</v>
      </c>
      <c r="F360" t="inlineStr">
        <is>
          <t>SÖDERMANLANDS LÄN</t>
        </is>
      </c>
      <c r="G360" t="inlineStr">
        <is>
          <t>ESKILSTUNA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46273</v>
      </c>
      <c r="F361" t="inlineStr">
        <is>
          <t>SÖDERMANLANDS LÄN</t>
        </is>
      </c>
      <c r="G361" t="inlineStr">
        <is>
          <t>ESKILSTUNA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1330-2024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45303</v>
      </c>
      <c r="E362" s="1" t="n">
        <v>46273</v>
      </c>
      <c r="F362" t="inlineStr">
        <is>
          <t>SÖDERMANLANDS LÄN</t>
        </is>
      </c>
      <c r="G362" t="inlineStr">
        <is>
          <t>ESKILSTUNA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1334-2024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45303</v>
      </c>
      <c r="E363" s="1" t="n">
        <v>46273</v>
      </c>
      <c r="F363" t="inlineStr">
        <is>
          <t>SÖDERMANLANDS LÄN</t>
        </is>
      </c>
      <c r="G363" t="inlineStr">
        <is>
          <t>ESKILSTUNA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46273</v>
      </c>
      <c r="F364" t="inlineStr">
        <is>
          <t>SÖDERMANLANDS LÄN</t>
        </is>
      </c>
      <c r="G364" t="inlineStr">
        <is>
          <t>ESKILSTUNA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46213</v>
      </c>
      <c r="E365" s="1" t="n">
        <v>46273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46273</v>
      </c>
      <c r="F366" t="inlineStr">
        <is>
          <t>SÖDERMANLANDS LÄN</t>
        </is>
      </c>
      <c r="G366" t="inlineStr">
        <is>
          <t>ESKILSTUNA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46273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29750-2022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44755</v>
      </c>
      <c r="E368" s="1" t="n">
        <v>46273</v>
      </c>
      <c r="F368" t="inlineStr">
        <is>
          <t>SÖDERMANLANDS LÄN</t>
        </is>
      </c>
      <c r="G368" t="inlineStr">
        <is>
          <t>ESKILSTUNA</t>
        </is>
      </c>
      <c r="I368" t="n">
        <v>20.1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46254</v>
      </c>
      <c r="E369" s="1" t="n">
        <v>46273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Allmännings- och besparingsskogar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46273</v>
      </c>
      <c r="F370" t="inlineStr">
        <is>
          <t>SÖDERMANLANDS LÄN</t>
        </is>
      </c>
      <c r="G370" t="inlineStr">
        <is>
          <t>ESKILSTUNA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46254</v>
      </c>
      <c r="E371" s="1" t="n">
        <v>46273</v>
      </c>
      <c r="F371" t="inlineStr">
        <is>
          <t>SÖDERMANLANDS LÄN</t>
        </is>
      </c>
      <c r="G371" t="inlineStr">
        <is>
          <t>ESKILSTUNA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30968-2022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44768</v>
      </c>
      <c r="E372" s="1" t="n">
        <v>46273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45225</v>
      </c>
      <c r="E373" s="1" t="n">
        <v>46273</v>
      </c>
      <c r="F373" t="inlineStr">
        <is>
          <t>SÖDERMANLANDS LÄN</t>
        </is>
      </c>
      <c r="G373" t="inlineStr">
        <is>
          <t>ESKILSTUNA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46273</v>
      </c>
      <c r="F374" t="inlineStr">
        <is>
          <t>SÖDERMANLANDS LÄN</t>
        </is>
      </c>
      <c r="G374" t="inlineStr">
        <is>
          <t>ESKILSTUNA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31131-2026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46216</v>
      </c>
      <c r="E375" s="1" t="n">
        <v>46273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46273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46273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36636-2022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44804</v>
      </c>
      <c r="E378" s="1" t="n">
        <v>46273</v>
      </c>
      <c r="F378" t="inlineStr">
        <is>
          <t>SÖDERMANLANDS LÄN</t>
        </is>
      </c>
      <c r="G378" t="inlineStr">
        <is>
          <t>ESKILSTUNA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46216</v>
      </c>
      <c r="E379" s="1" t="n">
        <v>46273</v>
      </c>
      <c r="F379" t="inlineStr">
        <is>
          <t>SÖDERMANLANDS LÄN</t>
        </is>
      </c>
      <c r="G379" t="inlineStr">
        <is>
          <t>ESKILSTUNA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44917</v>
      </c>
      <c r="E380" s="1" t="n">
        <v>46273</v>
      </c>
      <c r="F380" t="inlineStr">
        <is>
          <t>SÖDERMANLANDS LÄN</t>
        </is>
      </c>
      <c r="G380" t="inlineStr">
        <is>
          <t>ESKILSTUNA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46273</v>
      </c>
      <c r="F381" t="inlineStr">
        <is>
          <t>SÖDERMANLANDS LÄN</t>
        </is>
      </c>
      <c r="G381" t="inlineStr">
        <is>
          <t>ESKILSTUNA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46219</v>
      </c>
      <c r="E382" s="1" t="n">
        <v>46273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46273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Kommuner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46273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46273</v>
      </c>
      <c r="F385" t="inlineStr">
        <is>
          <t>SÖDERMANLANDS LÄN</t>
        </is>
      </c>
      <c r="G385" t="inlineStr">
        <is>
          <t>ESKILSTUNA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46273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61830-2023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45266</v>
      </c>
      <c r="E387" s="1" t="n">
        <v>46273</v>
      </c>
      <c r="F387" t="inlineStr">
        <is>
          <t>SÖDERMANLANDS LÄN</t>
        </is>
      </c>
      <c r="G387" t="inlineStr">
        <is>
          <t>ESKILSTUNA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46273</v>
      </c>
      <c r="F388" t="inlineStr">
        <is>
          <t>SÖDERMANLANDS LÄN</t>
        </is>
      </c>
      <c r="G388" t="inlineStr">
        <is>
          <t>ESKILSTUNA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46273</v>
      </c>
      <c r="F389" t="inlineStr">
        <is>
          <t>SÖDERMANLANDS LÄN</t>
        </is>
      </c>
      <c r="G389" t="inlineStr">
        <is>
          <t>ESKILSTUNA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46273</v>
      </c>
      <c r="F390" t="inlineStr">
        <is>
          <t>SÖDERMANLANDS LÄN</t>
        </is>
      </c>
      <c r="G390" t="inlineStr">
        <is>
          <t>ESKILSTUNA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44582</v>
      </c>
      <c r="E391" s="1" t="n">
        <v>46273</v>
      </c>
      <c r="F391" t="inlineStr">
        <is>
          <t>SÖDERMANLANDS LÄN</t>
        </is>
      </c>
      <c r="G391" t="inlineStr">
        <is>
          <t>ESKILSTUNA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36142-2022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44803</v>
      </c>
      <c r="E392" s="1" t="n">
        <v>46273</v>
      </c>
      <c r="F392" t="inlineStr">
        <is>
          <t>SÖDERMANLANDS LÄN</t>
        </is>
      </c>
      <c r="G392" t="inlineStr">
        <is>
          <t>ESKILSTUNA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46273</v>
      </c>
      <c r="F393" t="inlineStr">
        <is>
          <t>SÖDERMANLANDS LÄN</t>
        </is>
      </c>
      <c r="G393" t="inlineStr">
        <is>
          <t>ESKILSTUNA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46273</v>
      </c>
      <c r="F394" t="inlineStr">
        <is>
          <t>SÖDERMANLANDS LÄN</t>
        </is>
      </c>
      <c r="G394" t="inlineStr">
        <is>
          <t>ESKILSTUNA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18105-2026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46125</v>
      </c>
      <c r="E395" s="1" t="n">
        <v>46273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44839</v>
      </c>
      <c r="E396" s="1" t="n">
        <v>46273</v>
      </c>
      <c r="F396" t="inlineStr">
        <is>
          <t>SÖDERMANLANDS LÄN</t>
        </is>
      </c>
      <c r="G396" t="inlineStr">
        <is>
          <t>ESKILSTUNA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45763</v>
      </c>
      <c r="E397" s="1" t="n">
        <v>46273</v>
      </c>
      <c r="F397" t="inlineStr">
        <is>
          <t>SÖDERMANLANDS LÄN</t>
        </is>
      </c>
      <c r="G397" t="inlineStr">
        <is>
          <t>ESKILSTUNA</t>
        </is>
      </c>
      <c r="I397" t="n">
        <v>15.6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46273</v>
      </c>
      <c r="F398" t="inlineStr">
        <is>
          <t>SÖDERMANLANDS LÄN</t>
        </is>
      </c>
      <c r="G398" t="inlineStr">
        <is>
          <t>ESKILSTUNA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46273</v>
      </c>
      <c r="F399" t="inlineStr">
        <is>
          <t>SÖDERMANLANDS LÄN</t>
        </is>
      </c>
      <c r="G399" t="inlineStr">
        <is>
          <t>ESKILSTUNA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46273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46273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45833</v>
      </c>
      <c r="E402" s="1" t="n">
        <v>46273</v>
      </c>
      <c r="F402" t="inlineStr">
        <is>
          <t>SÖDERMANLANDS LÄN</t>
        </is>
      </c>
      <c r="G402" t="inlineStr">
        <is>
          <t>ESKILSTUNA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44862-2025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45918</v>
      </c>
      <c r="E403" s="1" t="n">
        <v>46273</v>
      </c>
      <c r="F403" t="inlineStr">
        <is>
          <t>SÖDERMANLANDS LÄN</t>
        </is>
      </c>
      <c r="G403" t="inlineStr">
        <is>
          <t>ESKILSTUNA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28582-2023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46273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Sveaskog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45005</v>
      </c>
      <c r="E405" s="1" t="n">
        <v>46273</v>
      </c>
      <c r="F405" t="inlineStr">
        <is>
          <t>SÖDERMANLANDS LÄN</t>
        </is>
      </c>
      <c r="G405" t="inlineStr">
        <is>
          <t>ESKILSTUNA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46273</v>
      </c>
      <c r="F406" t="inlineStr">
        <is>
          <t>SÖDERMANLANDS LÄN</t>
        </is>
      </c>
      <c r="G406" t="inlineStr">
        <is>
          <t>ESKILSTUNA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46273</v>
      </c>
      <c r="F407" t="inlineStr">
        <is>
          <t>SÖDERMANLANDS LÄN</t>
        </is>
      </c>
      <c r="G407" t="inlineStr">
        <is>
          <t>ESKILSTUNA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44819</v>
      </c>
      <c r="E408" s="1" t="n">
        <v>46273</v>
      </c>
      <c r="F408" t="inlineStr">
        <is>
          <t>SÖDERMANLANDS LÄN</t>
        </is>
      </c>
      <c r="G408" t="inlineStr">
        <is>
          <t>ESKILSTUNA</t>
        </is>
      </c>
      <c r="I408" t="n">
        <v>11.6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48671-2021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44452</v>
      </c>
      <c r="E409" s="1" t="n">
        <v>46273</v>
      </c>
      <c r="F409" t="inlineStr">
        <is>
          <t>SÖDERMANLANDS LÄN</t>
        </is>
      </c>
      <c r="G409" t="inlineStr">
        <is>
          <t>ESKILSTUNA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53476-2021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44468</v>
      </c>
      <c r="E410" s="1" t="n">
        <v>46273</v>
      </c>
      <c r="F410" t="inlineStr">
        <is>
          <t>SÖDERMANLANDS LÄN</t>
        </is>
      </c>
      <c r="G410" t="inlineStr">
        <is>
          <t>ESKILSTUNA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46273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Övriga Aktiebolag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46273</v>
      </c>
      <c r="F412" t="inlineStr">
        <is>
          <t>SÖDERMANLANDS LÄN</t>
        </is>
      </c>
      <c r="G412" t="inlineStr">
        <is>
          <t>ESKILSTUNA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13626-2023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45006</v>
      </c>
      <c r="E413" s="1" t="n">
        <v>46273</v>
      </c>
      <c r="F413" t="inlineStr">
        <is>
          <t>SÖDERMANLANDS LÄN</t>
        </is>
      </c>
      <c r="G413" t="inlineStr">
        <is>
          <t>ESKILSTUNA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46273</v>
      </c>
      <c r="F414" t="inlineStr">
        <is>
          <t>SÖDERMANLANDS LÄN</t>
        </is>
      </c>
      <c r="G414" t="inlineStr">
        <is>
          <t>ESKILSTUNA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46273</v>
      </c>
      <c r="F415" t="inlineStr">
        <is>
          <t>SÖDERMANLANDS LÄN</t>
        </is>
      </c>
      <c r="G415" t="inlineStr">
        <is>
          <t>ESKILSTUNA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45004</v>
      </c>
      <c r="E416" s="1" t="n">
        <v>46273</v>
      </c>
      <c r="F416" t="inlineStr">
        <is>
          <t>SÖDERMANLANDS LÄN</t>
        </is>
      </c>
      <c r="G416" t="inlineStr">
        <is>
          <t>ESKILSTUNA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46872-2022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44851</v>
      </c>
      <c r="E417" s="1" t="n">
        <v>46273</v>
      </c>
      <c r="F417" t="inlineStr">
        <is>
          <t>SÖDERMANLANDS LÄN</t>
        </is>
      </c>
      <c r="G417" t="inlineStr">
        <is>
          <t>ESKILSTUNA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46796-2023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45198</v>
      </c>
      <c r="E418" s="1" t="n">
        <v>46273</v>
      </c>
      <c r="F418" t="inlineStr">
        <is>
          <t>SÖDERMANLANDS LÄN</t>
        </is>
      </c>
      <c r="G418" t="inlineStr">
        <is>
          <t>ESKILSTUNA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44729</v>
      </c>
      <c r="E419" s="1" t="n">
        <v>46273</v>
      </c>
      <c r="F419" t="inlineStr">
        <is>
          <t>SÖDERMANLANDS LÄN</t>
        </is>
      </c>
      <c r="G419" t="inlineStr">
        <is>
          <t>ESKILSTUNA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46273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44946</v>
      </c>
      <c r="E421" s="1" t="n">
        <v>46273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46273</v>
      </c>
      <c r="F422" t="inlineStr">
        <is>
          <t>SÖDERMANLANDS LÄN</t>
        </is>
      </c>
      <c r="G422" t="inlineStr">
        <is>
          <t>ESKILSTUNA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44592</v>
      </c>
      <c r="E423" s="1" t="n">
        <v>46273</v>
      </c>
      <c r="F423" t="inlineStr">
        <is>
          <t>SÖDERMANLANDS LÄN</t>
        </is>
      </c>
      <c r="G423" t="inlineStr">
        <is>
          <t>ESKILSTUNA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20984-2023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45061</v>
      </c>
      <c r="E424" s="1" t="n">
        <v>46273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44797</v>
      </c>
      <c r="E425" s="1" t="n">
        <v>46273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46273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44953</v>
      </c>
      <c r="E427" s="1" t="n">
        <v>46273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46273</v>
      </c>
      <c r="F428" t="inlineStr">
        <is>
          <t>SÖDERMANLANDS LÄN</t>
        </is>
      </c>
      <c r="G428" t="inlineStr">
        <is>
          <t>ESKILSTUNA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40574-2023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45170</v>
      </c>
      <c r="E429" s="1" t="n">
        <v>46273</v>
      </c>
      <c r="F429" t="inlineStr">
        <is>
          <t>SÖDERMANLANDS LÄN</t>
        </is>
      </c>
      <c r="G429" t="inlineStr">
        <is>
          <t>ESKILSTUNA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46273</v>
      </c>
      <c r="F430" t="inlineStr">
        <is>
          <t>SÖDERMANLANDS LÄN</t>
        </is>
      </c>
      <c r="G430" t="inlineStr">
        <is>
          <t>ESKILSTUNA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44804</v>
      </c>
      <c r="E431" s="1" t="n">
        <v>46273</v>
      </c>
      <c r="F431" t="inlineStr">
        <is>
          <t>SÖDERMANLANDS LÄN</t>
        </is>
      </c>
      <c r="G431" t="inlineStr">
        <is>
          <t>ESKILSTUNA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46273</v>
      </c>
      <c r="F432" t="inlineStr">
        <is>
          <t>SÖDERMANLANDS LÄN</t>
        </is>
      </c>
      <c r="G432" t="inlineStr">
        <is>
          <t>ESKILSTUNA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44732</v>
      </c>
      <c r="E433" s="1" t="n">
        <v>46273</v>
      </c>
      <c r="F433" t="inlineStr">
        <is>
          <t>SÖDERMANLANDS LÄN</t>
        </is>
      </c>
      <c r="G433" t="inlineStr">
        <is>
          <t>ESKILSTUNA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46273</v>
      </c>
      <c r="F434" t="inlineStr">
        <is>
          <t>SÖDERMANLANDS LÄN</t>
        </is>
      </c>
      <c r="G434" t="inlineStr">
        <is>
          <t>ESKILSTUNA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46273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46273</v>
      </c>
      <c r="F436" t="inlineStr">
        <is>
          <t>SÖDERMANLANDS LÄN</t>
        </is>
      </c>
      <c r="G436" t="inlineStr">
        <is>
          <t>ESKILSTUNA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33255-2024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45518</v>
      </c>
      <c r="E437" s="1" t="n">
        <v>46273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Övriga Aktiebolag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8273-2025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46273</v>
      </c>
      <c r="F438" t="inlineStr">
        <is>
          <t>SÖDERMANLANDS LÄN</t>
        </is>
      </c>
      <c r="G438" t="inlineStr">
        <is>
          <t>ESKILSTUNA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45303</v>
      </c>
      <c r="E439" s="1" t="n">
        <v>46273</v>
      </c>
      <c r="F439" t="inlineStr">
        <is>
          <t>SÖDERMANLANDS LÄN</t>
        </is>
      </c>
      <c r="G439" t="inlineStr">
        <is>
          <t>ESKILSTUNA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1346-2024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45303</v>
      </c>
      <c r="E440" s="1" t="n">
        <v>46273</v>
      </c>
      <c r="F440" t="inlineStr">
        <is>
          <t>SÖDERMANLANDS LÄN</t>
        </is>
      </c>
      <c r="G440" t="inlineStr">
        <is>
          <t>ESKILSTUNA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46273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44965</v>
      </c>
      <c r="E442" s="1" t="n">
        <v>46273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46273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48998-2023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45209</v>
      </c>
      <c r="E444" s="1" t="n">
        <v>46273</v>
      </c>
      <c r="F444" t="inlineStr">
        <is>
          <t>SÖDERMANLANDS LÄN</t>
        </is>
      </c>
      <c r="G444" t="inlineStr">
        <is>
          <t>ESKILSTUNA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44844</v>
      </c>
      <c r="E445" s="1" t="n">
        <v>46273</v>
      </c>
      <c r="F445" t="inlineStr">
        <is>
          <t>SÖDERMANLANDS LÄN</t>
        </is>
      </c>
      <c r="G445" t="inlineStr">
        <is>
          <t>ESKILSTUNA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45884-2022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44844</v>
      </c>
      <c r="E446" s="1" t="n">
        <v>46273</v>
      </c>
      <c r="F446" t="inlineStr">
        <is>
          <t>SÖDERMANLANDS LÄN</t>
        </is>
      </c>
      <c r="G446" t="inlineStr">
        <is>
          <t>ESKILSTUNA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44942</v>
      </c>
      <c r="E447" s="1" t="n">
        <v>46273</v>
      </c>
      <c r="F447" t="inlineStr">
        <is>
          <t>SÖDERMANLANDS LÄN</t>
        </is>
      </c>
      <c r="G447" t="inlineStr">
        <is>
          <t>ESKILSTUNA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45514</v>
      </c>
      <c r="E448" s="1" t="n">
        <v>46273</v>
      </c>
      <c r="F448" t="inlineStr">
        <is>
          <t>SÖDERMANLANDS LÄN</t>
        </is>
      </c>
      <c r="G448" t="inlineStr">
        <is>
          <t>ESKILSTUNA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45058</v>
      </c>
      <c r="E449" s="1" t="n">
        <v>46273</v>
      </c>
      <c r="F449" t="inlineStr">
        <is>
          <t>SÖDERMANLANDS LÄN</t>
        </is>
      </c>
      <c r="G449" t="inlineStr">
        <is>
          <t>ESKILSTUNA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44789</v>
      </c>
      <c r="E450" s="1" t="n">
        <v>46273</v>
      </c>
      <c r="F450" t="inlineStr">
        <is>
          <t>SÖDERMANLANDS LÄN</t>
        </is>
      </c>
      <c r="G450" t="inlineStr">
        <is>
          <t>ESKILSTUNA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46273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46273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15592-2023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45020</v>
      </c>
      <c r="E453" s="1" t="n">
        <v>46273</v>
      </c>
      <c r="F453" t="inlineStr">
        <is>
          <t>SÖDERMANLANDS LÄN</t>
        </is>
      </c>
      <c r="G453" t="inlineStr">
        <is>
          <t>ESKILSTUNA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45341</v>
      </c>
      <c r="E454" s="1" t="n">
        <v>46273</v>
      </c>
      <c r="F454" t="inlineStr">
        <is>
          <t>SÖDERMANLANDS LÄN</t>
        </is>
      </c>
      <c r="G454" t="inlineStr">
        <is>
          <t>ESKILSTUNA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46273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46273</v>
      </c>
      <c r="F456" t="inlineStr">
        <is>
          <t>SÖDERMANLANDS LÄN</t>
        </is>
      </c>
      <c r="G456" t="inlineStr">
        <is>
          <t>ESKILSTUNA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46273</v>
      </c>
      <c r="F457" t="inlineStr">
        <is>
          <t>SÖDERMANLANDS LÄN</t>
        </is>
      </c>
      <c r="G457" t="inlineStr">
        <is>
          <t>ESKILSTUNA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46273</v>
      </c>
      <c r="F458" t="inlineStr">
        <is>
          <t>SÖDERMANLANDS LÄN</t>
        </is>
      </c>
      <c r="G458" t="inlineStr">
        <is>
          <t>ESKILSTUNA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46273</v>
      </c>
      <c r="F459" t="inlineStr">
        <is>
          <t>SÖDERMANLANDS LÄN</t>
        </is>
      </c>
      <c r="G459" t="inlineStr">
        <is>
          <t>ESKILSTUNA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1538-2025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45670</v>
      </c>
      <c r="E460" s="1" t="n">
        <v>46273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70560-2021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44536</v>
      </c>
      <c r="E461" s="1" t="n">
        <v>46273</v>
      </c>
      <c r="F461" t="inlineStr">
        <is>
          <t>SÖDERMANLANDS LÄN</t>
        </is>
      </c>
      <c r="G461" t="inlineStr">
        <is>
          <t>ESKILSTUNA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45615</v>
      </c>
      <c r="E462" s="1" t="n">
        <v>46273</v>
      </c>
      <c r="F462" t="inlineStr">
        <is>
          <t>SÖDERMANLANDS LÄN</t>
        </is>
      </c>
      <c r="G462" t="inlineStr">
        <is>
          <t>ESKILSTUNA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46273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45642</v>
      </c>
      <c r="E464" s="1" t="n">
        <v>46273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46273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60246-2024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45642</v>
      </c>
      <c r="E466" s="1" t="n">
        <v>46273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46273</v>
      </c>
      <c r="F467" t="inlineStr">
        <is>
          <t>SÖDERMANLANDS LÄN</t>
        </is>
      </c>
      <c r="G467" t="inlineStr">
        <is>
          <t>ESKILSTUNA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44593</v>
      </c>
      <c r="E468" s="1" t="n">
        <v>46273</v>
      </c>
      <c r="F468" t="inlineStr">
        <is>
          <t>SÖDERMANLANDS LÄN</t>
        </is>
      </c>
      <c r="G468" t="inlineStr">
        <is>
          <t>ESKILSTUNA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45365</v>
      </c>
      <c r="E469" s="1" t="n">
        <v>46273</v>
      </c>
      <c r="F469" t="inlineStr">
        <is>
          <t>SÖDERMANLANDS LÄN</t>
        </is>
      </c>
      <c r="G469" t="inlineStr">
        <is>
          <t>ESKILSTUNA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46273</v>
      </c>
      <c r="F470" t="inlineStr">
        <is>
          <t>SÖDERMANLANDS LÄN</t>
        </is>
      </c>
      <c r="G470" t="inlineStr">
        <is>
          <t>ESKILSTUNA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24537-2025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45798</v>
      </c>
      <c r="E471" s="1" t="n">
        <v>46273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24534-2025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45798</v>
      </c>
      <c r="E472" s="1" t="n">
        <v>46273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46273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24536-2025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45798</v>
      </c>
      <c r="E474" s="1" t="n">
        <v>46273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45798</v>
      </c>
      <c r="E475" s="1" t="n">
        <v>46273</v>
      </c>
      <c r="F475" t="inlineStr">
        <is>
          <t>SÖDERMANLANDS LÄN</t>
        </is>
      </c>
      <c r="G475" t="inlineStr">
        <is>
          <t>ESKILSTUNA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46273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46273</v>
      </c>
      <c r="F477" t="inlineStr">
        <is>
          <t>SÖDERMANLANDS LÄN</t>
        </is>
      </c>
      <c r="G477" t="inlineStr">
        <is>
          <t>ESKILSTUNA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43488-2024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45568</v>
      </c>
      <c r="E478" s="1" t="n">
        <v>46273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46273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30096-2025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45826</v>
      </c>
      <c r="E480" s="1" t="n">
        <v>46273</v>
      </c>
      <c r="F480" t="inlineStr">
        <is>
          <t>SÖDERMANLANDS LÄN</t>
        </is>
      </c>
      <c r="G480" t="inlineStr">
        <is>
          <t>ESKILSTUNA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30113-2025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45826</v>
      </c>
      <c r="E481" s="1" t="n">
        <v>46273</v>
      </c>
      <c r="F481" t="inlineStr">
        <is>
          <t>SÖDERMANLANDS LÄN</t>
        </is>
      </c>
      <c r="G481" t="inlineStr">
        <is>
          <t>ESKILSTUNA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30004-2025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46273</v>
      </c>
      <c r="F482" t="inlineStr">
        <is>
          <t>SÖDERMANLANDS LÄN</t>
        </is>
      </c>
      <c r="G482" t="inlineStr">
        <is>
          <t>ESKILSTUNA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30117-2025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46273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45694</v>
      </c>
      <c r="E484" s="1" t="n">
        <v>46273</v>
      </c>
      <c r="F484" t="inlineStr">
        <is>
          <t>SÖDERMANLANDS LÄN</t>
        </is>
      </c>
      <c r="G484" t="inlineStr">
        <is>
          <t>ESKILSTUNA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51547-2024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45604</v>
      </c>
      <c r="E485" s="1" t="n">
        <v>46273</v>
      </c>
      <c r="F485" t="inlineStr">
        <is>
          <t>SÖDERMANLANDS LÄN</t>
        </is>
      </c>
      <c r="G485" t="inlineStr">
        <is>
          <t>ESKILSTUNA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45460</v>
      </c>
      <c r="E486" s="1" t="n">
        <v>46273</v>
      </c>
      <c r="F486" t="inlineStr">
        <is>
          <t>SÖDERMANLANDS LÄN</t>
        </is>
      </c>
      <c r="G486" t="inlineStr">
        <is>
          <t>ESKILSTUNA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37147-2025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46273</v>
      </c>
      <c r="F487" t="inlineStr">
        <is>
          <t>SÖDERMANLANDS LÄN</t>
        </is>
      </c>
      <c r="G487" t="inlineStr">
        <is>
          <t>ESKILSTUNA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46273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46273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46273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46273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46273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46273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46273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46273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46273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46273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46273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46273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46273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2026-09-08T02:08:58Z</dcterms:created>
  <dcterms:modified xmlns:dcterms="http://purl.org/dc/terms/" xmlns:xsi="http://www.w3.org/2001/XMLSchema-instance" xsi:type="dcterms:W3CDTF">2026-09-08T02:08:59Z</dcterms:modified>
</cp:coreProperties>
</file>