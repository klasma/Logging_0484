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46239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46239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46239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46239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46239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17144-2023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45034</v>
      </c>
      <c r="E11" s="1" t="n">
        <v>46239</v>
      </c>
      <c r="F11" t="inlineStr">
        <is>
          <t>SÖDERMANLANDS LÄN</t>
        </is>
      </c>
      <c r="G11" t="inlineStr">
        <is>
          <t>ESKILSTUNA</t>
        </is>
      </c>
      <c r="I11" t="n">
        <v>3.8</v>
      </c>
      <c r="J11" t="n">
        <v>2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54</v>
      </c>
      <c r="U11" t="n">
        <v>48</v>
      </c>
      <c r="V11" s="2" t="inlineStr">
        <is>
          <t>Knärot
Dropptaggsvamp
Grantaggsvamp
Motaggsvamp
Talltaggsvamp
Mindre märgborre
Spillkråka</t>
        </is>
      </c>
      <c r="W11">
        <f>HYPERLINK("https://klasma.github.io/Logging_0484/artfynd/A 17144-2023 artfynd.xlsx", "A 17144-2023")</f>
        <v/>
      </c>
      <c r="X11">
        <f>HYPERLINK("https://klasma.github.io/Logging_0484/kartor/A 17144-2023 karta.png", "A 17144-2023")</f>
        <v/>
      </c>
      <c r="Y11">
        <f>HYPERLINK("https://klasma.github.io/Logging_0484/kartor_geotiff/A 17144-2023 georefererad karta.tif", "A 17144-2023")</f>
        <v/>
      </c>
      <c r="Z11">
        <f>HYPERLINK("https://klasma.github.io/Logging_0484/knärot/A 17144-2023 karta knärot.png", "A 17144-2023")</f>
        <v/>
      </c>
      <c r="AA11">
        <f>HYPERLINK("https://klasma.github.io/Logging_0484/klagomål/A 17144-2023 FSC-klagomål.docx", "A 17144-2023")</f>
        <v/>
      </c>
      <c r="AB11">
        <f>HYPERLINK("https://klasma.github.io/Logging_0484/klagomålsmail/A 17144-2023 FSC-klagomål mail.docx", "A 17144-2023")</f>
        <v/>
      </c>
      <c r="AC11">
        <f>HYPERLINK("https://klasma.github.io/Logging_0484/tillsyn/A 17144-2023 tillsynsbegäran.docx", "A 17144-2023")</f>
        <v/>
      </c>
      <c r="AD11">
        <f>HYPERLINK("https://klasma.github.io/Logging_0484/tillsynsmail/A 17144-2023 tillsynsbegäran mail.docx", "A 17144-2023")</f>
        <v/>
      </c>
      <c r="AE11">
        <f>HYPERLINK("https://klasma.github.io/Logging_0484/fåglar/A 17144-2023 prioriterade fågelarter.docx", "A 17144-2023")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46239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46239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46239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46239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46239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46239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46239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46239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46239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46239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46239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Trädlärka
Revlummer</t>
        </is>
      </c>
      <c r="W23">
        <f>HYPERLINK("https://klasma.github.io/Logging_0484/artfynd/A 571-2023 artfynd.xlsx", "A 571-2023")</f>
        <v/>
      </c>
      <c r="X23">
        <f>HYPERLINK("https://klasma.github.io/Logging_0484/kartor/A 571-2023 karta.png", "A 571-2023")</f>
        <v/>
      </c>
      <c r="Y23">
        <f>HYPERLINK("https://klasma.github.io/Logging_0484/kartor_geotiff/A 571-2023 georefererad karta.tif", "A 571-2023")</f>
        <v/>
      </c>
      <c r="AA23">
        <f>HYPERLINK("https://klasma.github.io/Logging_0484/klagomål/A 571-2023 FSC-klagomål.docx", "A 571-2023")</f>
        <v/>
      </c>
      <c r="AB23">
        <f>HYPERLINK("https://klasma.github.io/Logging_0484/klagomålsmail/A 571-2023 FSC-klagomål mail.docx", "A 571-2023")</f>
        <v/>
      </c>
      <c r="AC23">
        <f>HYPERLINK("https://klasma.github.io/Logging_0484/tillsyn/A 571-2023 tillsynsbegäran.docx", "A 571-2023")</f>
        <v/>
      </c>
      <c r="AD23">
        <f>HYPERLINK("https://klasma.github.io/Logging_0484/tillsynsmail/A 571-2023 tillsynsbegäran mail.docx", "A 571-2023")</f>
        <v/>
      </c>
      <c r="AE23">
        <f>HYPERLINK("https://klasma.github.io/Logging_0484/fåglar/A 571-2023 prioriterade fågelarter.docx", "A 571-2023")</f>
        <v/>
      </c>
    </row>
    <row r="24" ht="15" customHeight="1">
      <c r="A24" t="inlineStr">
        <is>
          <t>A 18968-2023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45044</v>
      </c>
      <c r="E24" s="1" t="n">
        <v>46239</v>
      </c>
      <c r="F24" t="inlineStr">
        <is>
          <t>SÖDERMANLANDS LÄN</t>
        </is>
      </c>
      <c r="G24" t="inlineStr">
        <is>
          <t>ESKILSTUNA</t>
        </is>
      </c>
      <c r="I24" t="n">
        <v>3.6</v>
      </c>
      <c r="J24" t="n">
        <v>0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8</v>
      </c>
      <c r="U24" t="n">
        <v>0</v>
      </c>
      <c r="V24" s="2" t="inlineStr">
        <is>
          <t>Ask
Svart trolldruva
Tibast</t>
        </is>
      </c>
      <c r="W24">
        <f>HYPERLINK("https://klasma.github.io/Logging_0484/artfynd/A 18968-2023 artfynd.xlsx", "A 18968-2023")</f>
        <v/>
      </c>
      <c r="X24">
        <f>HYPERLINK("https://klasma.github.io/Logging_0484/kartor/A 18968-2023 karta.png", "A 18968-2023")</f>
        <v/>
      </c>
      <c r="Y24">
        <f>HYPERLINK("https://klasma.github.io/Logging_0484/kartor_geotiff/A 18968-2023 georefererad karta.tif", "A 18968-2023")</f>
        <v/>
      </c>
      <c r="AA24">
        <f>HYPERLINK("https://klasma.github.io/Logging_0484/klagomål/A 18968-2023 FSC-klagomål.docx", "A 18968-2023")</f>
        <v/>
      </c>
      <c r="AB24">
        <f>HYPERLINK("https://klasma.github.io/Logging_0484/klagomålsmail/A 18968-2023 FSC-klagomål mail.docx", "A 18968-2023")</f>
        <v/>
      </c>
      <c r="AC24">
        <f>HYPERLINK("https://klasma.github.io/Logging_0484/tillsyn/A 18968-2023 tillsynsbegäran.docx", "A 18968-2023")</f>
        <v/>
      </c>
      <c r="AD24">
        <f>HYPERLINK("https://klasma.github.io/Logging_0484/tillsynsmail/A 18968-2023 tillsynsbegäran mail.docx", "A 18968-2023")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46239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12443-2024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45379</v>
      </c>
      <c r="E26" s="1" t="n">
        <v>46239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8.9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1</v>
      </c>
      <c r="V26" s="2" t="inlineStr">
        <is>
          <t>Blåsippa
Mattlummer
Revlummer</t>
        </is>
      </c>
      <c r="W26">
        <f>HYPERLINK("https://klasma.github.io/Logging_0484/artfynd/A 12443-2024 artfynd.xlsx", "A 12443-2024")</f>
        <v/>
      </c>
      <c r="X26">
        <f>HYPERLINK("https://klasma.github.io/Logging_0484/kartor/A 12443-2024 karta.png", "A 12443-2024")</f>
        <v/>
      </c>
      <c r="Y26">
        <f>HYPERLINK("https://klasma.github.io/Logging_0484/kartor_geotiff/A 12443-2024 georefererad karta.tif", "A 12443-2024")</f>
        <v/>
      </c>
      <c r="AA26">
        <f>HYPERLINK("https://klasma.github.io/Logging_0484/klagomål/A 12443-2024 FSC-klagomål.docx", "A 12443-2024")</f>
        <v/>
      </c>
      <c r="AB26">
        <f>HYPERLINK("https://klasma.github.io/Logging_0484/klagomålsmail/A 12443-2024 FSC-klagomål mail.docx", "A 12443-2024")</f>
        <v/>
      </c>
      <c r="AC26">
        <f>HYPERLINK("https://klasma.github.io/Logging_0484/tillsyn/A 12443-2024 tillsynsbegäran.docx", "A 12443-2024")</f>
        <v/>
      </c>
      <c r="AD26">
        <f>HYPERLINK("https://klasma.github.io/Logging_0484/tillsynsmail/A 12443-2024 tillsynsbegäran mail.docx", "A 12443-2024")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46239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24543-2025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45798</v>
      </c>
      <c r="E28" s="1" t="n">
        <v>46239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0</v>
      </c>
      <c r="V28" s="2" t="inlineStr">
        <is>
          <t>Ängsskära
Svart trolldruva
Blåsippa</t>
        </is>
      </c>
      <c r="W28">
        <f>HYPERLINK("https://klasma.github.io/Logging_0484/artfynd/A 24543-2025 artfynd.xlsx", "A 24543-2025")</f>
        <v/>
      </c>
      <c r="X28">
        <f>HYPERLINK("https://klasma.github.io/Logging_0484/kartor/A 24543-2025 karta.png", "A 24543-2025")</f>
        <v/>
      </c>
      <c r="Y28">
        <f>HYPERLINK("https://klasma.github.io/Logging_0484/kartor_geotiff/A 24543-2025 georefererad karta.tif", "A 24543-2025")</f>
        <v/>
      </c>
      <c r="AA28">
        <f>HYPERLINK("https://klasma.github.io/Logging_0484/klagomål/A 24543-2025 FSC-klagomål.docx", "A 24543-2025")</f>
        <v/>
      </c>
      <c r="AB28">
        <f>HYPERLINK("https://klasma.github.io/Logging_0484/klagomålsmail/A 24543-2025 FSC-klagomål mail.docx", "A 24543-2025")</f>
        <v/>
      </c>
      <c r="AC28">
        <f>HYPERLINK("https://klasma.github.io/Logging_0484/tillsyn/A 24543-2025 tillsynsbegäran.docx", "A 24543-2025")</f>
        <v/>
      </c>
      <c r="AD28">
        <f>HYPERLINK("https://klasma.github.io/Logging_0484/tillsynsmail/A 24543-2025 tillsynsbegäran mail.docx", "A 24543-2025")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46239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60926-2025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45999</v>
      </c>
      <c r="E30" s="1" t="n">
        <v>46239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Allmännings- och besparingsskogar</t>
        </is>
      </c>
      <c r="I30" t="n">
        <v>2.3</v>
      </c>
      <c r="J30" t="n">
        <v>2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Knärot
Talltita
Älg</t>
        </is>
      </c>
      <c r="W30">
        <f>HYPERLINK("https://klasma.github.io/Logging_0484/artfynd/A 60926-2025 artfynd.xlsx", "A 60926-2025")</f>
        <v/>
      </c>
      <c r="X30">
        <f>HYPERLINK("https://klasma.github.io/Logging_0484/kartor/A 60926-2025 karta.png", "A 60926-2025")</f>
        <v/>
      </c>
      <c r="Y30">
        <f>HYPERLINK("https://klasma.github.io/Logging_0484/kartor_geotiff/A 60926-2025 georefererad karta.tif", "A 60926-2025")</f>
        <v/>
      </c>
      <c r="Z30">
        <f>HYPERLINK("https://klasma.github.io/Logging_0484/knärot/A 60926-2025 karta knärot.png", "A 60926-2025")</f>
        <v/>
      </c>
      <c r="AA30">
        <f>HYPERLINK("https://klasma.github.io/Logging_0484/klagomål/A 60926-2025 FSC-klagomål.docx", "A 60926-2025")</f>
        <v/>
      </c>
      <c r="AB30">
        <f>HYPERLINK("https://klasma.github.io/Logging_0484/klagomålsmail/A 60926-2025 FSC-klagomål mail.docx", "A 60926-2025")</f>
        <v/>
      </c>
      <c r="AC30">
        <f>HYPERLINK("https://klasma.github.io/Logging_0484/tillsyn/A 60926-2025 tillsynsbegäran.docx", "A 60926-2025")</f>
        <v/>
      </c>
      <c r="AD30">
        <f>HYPERLINK("https://klasma.github.io/Logging_0484/tillsynsmail/A 60926-2025 tillsynsbegäran mail.docx", "A 60926-2025")</f>
        <v/>
      </c>
      <c r="AE30">
        <f>HYPERLINK("https://klasma.github.io/Logging_0484/fåglar/A 60926-2025 prioriterade fågelarter.docx", "A 60926-2025")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46239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46239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46239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46239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46239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65380-2021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46239</v>
      </c>
      <c r="F37" t="inlineStr">
        <is>
          <t>SÖDERMANLANDS LÄN</t>
        </is>
      </c>
      <c r="G37" t="inlineStr">
        <is>
          <t>ESKILSTUNA</t>
        </is>
      </c>
      <c r="H37" t="inlineStr">
        <is>
          <t>Kyrkan</t>
        </is>
      </c>
      <c r="I37" t="n">
        <v>5.4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Älg
Blåsippa</t>
        </is>
      </c>
      <c r="W37">
        <f>HYPERLINK("https://klasma.github.io/Logging_0484/artfynd/A 65380-2021 artfynd.xlsx", "A 65380-2021")</f>
        <v/>
      </c>
      <c r="X37">
        <f>HYPERLINK("https://klasma.github.io/Logging_0484/kartor/A 65380-2021 karta.png", "A 65380-2021")</f>
        <v/>
      </c>
      <c r="Y37">
        <f>HYPERLINK("https://klasma.github.io/Logging_0484/kartor_geotiff/A 65380-2021 georefererad karta.tif", "A 65380-2021")</f>
        <v/>
      </c>
      <c r="AA37">
        <f>HYPERLINK("https://klasma.github.io/Logging_0484/klagomål/A 65380-2021 FSC-klagomål.docx", "A 65380-2021")</f>
        <v/>
      </c>
      <c r="AB37">
        <f>HYPERLINK("https://klasma.github.io/Logging_0484/klagomålsmail/A 65380-2021 FSC-klagomål mail.docx", "A 65380-2021")</f>
        <v/>
      </c>
      <c r="AC37">
        <f>HYPERLINK("https://klasma.github.io/Logging_0484/tillsyn/A 65380-2021 tillsynsbegäran.docx", "A 65380-2021")</f>
        <v/>
      </c>
      <c r="AD37">
        <f>HYPERLINK("https://klasma.github.io/Logging_0484/tillsynsmail/A 65380-2021 tillsynsbegäran mail.docx", "A 65380-2021")</f>
        <v/>
      </c>
    </row>
    <row r="38" ht="15" customHeight="1">
      <c r="A38" t="inlineStr">
        <is>
          <t>A 32314-2023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45120</v>
      </c>
      <c r="E38" s="1" t="n">
        <v>46239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Grovticka
Svavelriska</t>
        </is>
      </c>
      <c r="W38">
        <f>HYPERLINK("https://klasma.github.io/Logging_0484/artfynd/A 32314-2023 artfynd.xlsx", "A 32314-2023")</f>
        <v/>
      </c>
      <c r="X38">
        <f>HYPERLINK("https://klasma.github.io/Logging_0484/kartor/A 32314-2023 karta.png", "A 32314-2023")</f>
        <v/>
      </c>
      <c r="Y38">
        <f>HYPERLINK("https://klasma.github.io/Logging_0484/kartor_geotiff/A 32314-2023 georefererad karta.tif", "A 32314-2023")</f>
        <v/>
      </c>
      <c r="AA38">
        <f>HYPERLINK("https://klasma.github.io/Logging_0484/klagomål/A 32314-2023 FSC-klagomål.docx", "A 32314-2023")</f>
        <v/>
      </c>
      <c r="AB38">
        <f>HYPERLINK("https://klasma.github.io/Logging_0484/klagomålsmail/A 32314-2023 FSC-klagomål mail.docx", "A 32314-2023")</f>
        <v/>
      </c>
      <c r="AC38">
        <f>HYPERLINK("https://klasma.github.io/Logging_0484/tillsyn/A 32314-2023 tillsynsbegäran.docx", "A 32314-2023")</f>
        <v/>
      </c>
      <c r="AD38">
        <f>HYPERLINK("https://klasma.github.io/Logging_0484/tillsynsmail/A 32314-2023 tillsynsbegäran mail.docx", "A 32314-2023")</f>
        <v/>
      </c>
    </row>
    <row r="39" ht="15" customHeight="1">
      <c r="A39" t="inlineStr">
        <is>
          <t>A 34985-2025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46239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5.1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Krusfrö
Tjäder</t>
        </is>
      </c>
      <c r="W39">
        <f>HYPERLINK("https://klasma.github.io/Logging_0484/artfynd/A 34985-2025 artfynd.xlsx", "A 34985-2025")</f>
        <v/>
      </c>
      <c r="X39">
        <f>HYPERLINK("https://klasma.github.io/Logging_0484/kartor/A 34985-2025 karta.png", "A 34985-2025")</f>
        <v/>
      </c>
      <c r="Y39">
        <f>HYPERLINK("https://klasma.github.io/Logging_0484/kartor_geotiff/A 34985-2025 georefererad karta.tif", "A 34985-2025")</f>
        <v/>
      </c>
      <c r="AA39">
        <f>HYPERLINK("https://klasma.github.io/Logging_0484/klagomål/A 34985-2025 FSC-klagomål.docx", "A 34985-2025")</f>
        <v/>
      </c>
      <c r="AB39">
        <f>HYPERLINK("https://klasma.github.io/Logging_0484/klagomålsmail/A 34985-2025 FSC-klagomål mail.docx", "A 34985-2025")</f>
        <v/>
      </c>
      <c r="AC39">
        <f>HYPERLINK("https://klasma.github.io/Logging_0484/tillsyn/A 34985-2025 tillsynsbegäran.docx", "A 34985-2025")</f>
        <v/>
      </c>
      <c r="AD39">
        <f>HYPERLINK("https://klasma.github.io/Logging_0484/tillsynsmail/A 34985-2025 tillsynsbegäran mail.docx", "A 34985-2025")</f>
        <v/>
      </c>
      <c r="AE39">
        <f>HYPERLINK("https://klasma.github.io/Logging_0484/fåglar/A 34985-2025 prioriterade fågelarter.docx", "A 34985-2025")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46239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62009-2024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45655</v>
      </c>
      <c r="E41" s="1" t="n">
        <v>46239</v>
      </c>
      <c r="F41" t="inlineStr">
        <is>
          <t>SÖDERMANLANDS LÄN</t>
        </is>
      </c>
      <c r="G41" t="inlineStr">
        <is>
          <t>ESKILSTUNA</t>
        </is>
      </c>
      <c r="H41" t="inlineStr">
        <is>
          <t>Holmen skog AB</t>
        </is>
      </c>
      <c r="I41" t="n">
        <v>11.9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1</v>
      </c>
      <c r="V41" s="2" t="inlineStr">
        <is>
          <t>Mattlummer
Revlummer</t>
        </is>
      </c>
      <c r="W41">
        <f>HYPERLINK("https://klasma.github.io/Logging_0484/artfynd/A 62009-2024 artfynd.xlsx", "A 62009-2024")</f>
        <v/>
      </c>
      <c r="X41">
        <f>HYPERLINK("https://klasma.github.io/Logging_0484/kartor/A 62009-2024 karta.png", "A 62009-2024")</f>
        <v/>
      </c>
      <c r="Y41">
        <f>HYPERLINK("https://klasma.github.io/Logging_0484/kartor_geotiff/A 62009-2024 georefererad karta.tif", "A 62009-2024")</f>
        <v/>
      </c>
      <c r="AA41">
        <f>HYPERLINK("https://klasma.github.io/Logging_0484/klagomål/A 62009-2024 FSC-klagomål.docx", "A 62009-2024")</f>
        <v/>
      </c>
      <c r="AB41">
        <f>HYPERLINK("https://klasma.github.io/Logging_0484/klagomålsmail/A 62009-2024 FSC-klagomål mail.docx", "A 62009-2024")</f>
        <v/>
      </c>
      <c r="AC41">
        <f>HYPERLINK("https://klasma.github.io/Logging_0484/tillsyn/A 62009-2024 tillsynsbegäran.docx", "A 62009-2024")</f>
        <v/>
      </c>
      <c r="AD41">
        <f>HYPERLINK("https://klasma.github.io/Logging_0484/tillsynsmail/A 62009-2024 tillsynsbegäran mail.docx", "A 62009-2024")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46239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51326-2024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45603</v>
      </c>
      <c r="E43" s="1" t="n">
        <v>46239</v>
      </c>
      <c r="F43" t="inlineStr">
        <is>
          <t>SÖDERMANLANDS LÄN</t>
        </is>
      </c>
      <c r="G43" t="inlineStr">
        <is>
          <t>ESKILSTUNA</t>
        </is>
      </c>
      <c r="I43" t="n">
        <v>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Myskbock
Blåsippa</t>
        </is>
      </c>
      <c r="W43">
        <f>HYPERLINK("https://klasma.github.io/Logging_0484/artfynd/A 51326-2024 artfynd.xlsx", "A 51326-2024")</f>
        <v/>
      </c>
      <c r="X43">
        <f>HYPERLINK("https://klasma.github.io/Logging_0484/kartor/A 51326-2024 karta.png", "A 51326-2024")</f>
        <v/>
      </c>
      <c r="Y43">
        <f>HYPERLINK("https://klasma.github.io/Logging_0484/kartor_geotiff/A 51326-2024 georefererad karta.tif", "A 51326-2024")</f>
        <v/>
      </c>
      <c r="AA43">
        <f>HYPERLINK("https://klasma.github.io/Logging_0484/klagomål/A 51326-2024 FSC-klagomål.docx", "A 51326-2024")</f>
        <v/>
      </c>
      <c r="AB43">
        <f>HYPERLINK("https://klasma.github.io/Logging_0484/klagomålsmail/A 51326-2024 FSC-klagomål mail.docx", "A 51326-2024")</f>
        <v/>
      </c>
      <c r="AC43">
        <f>HYPERLINK("https://klasma.github.io/Logging_0484/tillsyn/A 51326-2024 tillsynsbegäran.docx", "A 51326-2024")</f>
        <v/>
      </c>
      <c r="AD43">
        <f>HYPERLINK("https://klasma.github.io/Logging_0484/tillsynsmail/A 51326-2024 tillsynsbegäran mail.docx", "A 51326-2024")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46239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61105-2025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46000</v>
      </c>
      <c r="E45" s="1" t="n">
        <v>46239</v>
      </c>
      <c r="F45" t="inlineStr">
        <is>
          <t>SÖDERMANLANDS LÄN</t>
        </is>
      </c>
      <c r="G45" t="inlineStr">
        <is>
          <t>ESKILSTUNA</t>
        </is>
      </c>
      <c r="H45" t="inlineStr">
        <is>
          <t>Allmännings- och besparingsskogar</t>
        </is>
      </c>
      <c r="I45" t="n">
        <v>1.1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Krusfrö
Tibast</t>
        </is>
      </c>
      <c r="W45">
        <f>HYPERLINK("https://klasma.github.io/Logging_0484/artfynd/A 61105-2025 artfynd.xlsx", "A 61105-2025")</f>
        <v/>
      </c>
      <c r="X45">
        <f>HYPERLINK("https://klasma.github.io/Logging_0484/kartor/A 61105-2025 karta.png", "A 61105-2025")</f>
        <v/>
      </c>
      <c r="Y45">
        <f>HYPERLINK("https://klasma.github.io/Logging_0484/kartor_geotiff/A 61105-2025 georefererad karta.tif", "A 61105-2025")</f>
        <v/>
      </c>
      <c r="AA45">
        <f>HYPERLINK("https://klasma.github.io/Logging_0484/klagomål/A 61105-2025 FSC-klagomål.docx", "A 61105-2025")</f>
        <v/>
      </c>
      <c r="AB45">
        <f>HYPERLINK("https://klasma.github.io/Logging_0484/klagomålsmail/A 61105-2025 FSC-klagomål mail.docx", "A 61105-2025")</f>
        <v/>
      </c>
      <c r="AC45">
        <f>HYPERLINK("https://klasma.github.io/Logging_0484/tillsyn/A 61105-2025 tillsynsbegäran.docx", "A 61105-2025")</f>
        <v/>
      </c>
      <c r="AD45">
        <f>HYPERLINK("https://klasma.github.io/Logging_0484/tillsynsmail/A 61105-2025 tillsynsbegäran mail.docx", "A 61105-2025")</f>
        <v/>
      </c>
    </row>
    <row r="46" ht="15" customHeight="1">
      <c r="A46" t="inlineStr">
        <is>
          <t>A 63042-2025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46239</v>
      </c>
      <c r="F46" t="inlineStr">
        <is>
          <t>SÖDERMANLANDS LÄN</t>
        </is>
      </c>
      <c r="G46" t="inlineStr">
        <is>
          <t>ESKILSTUNA</t>
        </is>
      </c>
      <c r="I46" t="n">
        <v>1.4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Kungsfågel
Revlummer</t>
        </is>
      </c>
      <c r="W46">
        <f>HYPERLINK("https://klasma.github.io/Logging_0484/artfynd/A 63042-2025 artfynd.xlsx", "A 63042-2025")</f>
        <v/>
      </c>
      <c r="X46">
        <f>HYPERLINK("https://klasma.github.io/Logging_0484/kartor/A 63042-2025 karta.png", "A 63042-2025")</f>
        <v/>
      </c>
      <c r="Y46">
        <f>HYPERLINK("https://klasma.github.io/Logging_0484/kartor_geotiff/A 63042-2025 georefererad karta.tif", "A 63042-2025")</f>
        <v/>
      </c>
      <c r="AA46">
        <f>HYPERLINK("https://klasma.github.io/Logging_0484/klagomål/A 63042-2025 FSC-klagomål.docx", "A 63042-2025")</f>
        <v/>
      </c>
      <c r="AB46">
        <f>HYPERLINK("https://klasma.github.io/Logging_0484/klagomålsmail/A 63042-2025 FSC-klagomål mail.docx", "A 63042-2025")</f>
        <v/>
      </c>
      <c r="AC46">
        <f>HYPERLINK("https://klasma.github.io/Logging_0484/tillsyn/A 63042-2025 tillsynsbegäran.docx", "A 63042-2025")</f>
        <v/>
      </c>
      <c r="AD46">
        <f>HYPERLINK("https://klasma.github.io/Logging_0484/tillsynsmail/A 63042-2025 tillsynsbegäran mail.docx", "A 63042-2025")</f>
        <v/>
      </c>
    </row>
    <row r="47" ht="15" customHeight="1">
      <c r="A47" t="inlineStr">
        <is>
          <t>A 26095-2026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46239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Svinrot
Spillkråka</t>
        </is>
      </c>
      <c r="W47">
        <f>HYPERLINK("https://klasma.github.io/Logging_0484/artfynd/A 26095-2026 artfynd.xlsx", "A 26095-2026")</f>
        <v/>
      </c>
      <c r="X47">
        <f>HYPERLINK("https://klasma.github.io/Logging_0484/kartor/A 26095-2026 karta.png", "A 26095-2026")</f>
        <v/>
      </c>
      <c r="Y47">
        <f>HYPERLINK("https://klasma.github.io/Logging_0484/kartor_geotiff/A 26095-2026 georefererad karta.tif", "A 26095-2026")</f>
        <v/>
      </c>
      <c r="AA47">
        <f>HYPERLINK("https://klasma.github.io/Logging_0484/klagomål/A 26095-2026 FSC-klagomål.docx", "A 26095-2026")</f>
        <v/>
      </c>
      <c r="AB47">
        <f>HYPERLINK("https://klasma.github.io/Logging_0484/klagomålsmail/A 26095-2026 FSC-klagomål mail.docx", "A 26095-2026")</f>
        <v/>
      </c>
      <c r="AC47">
        <f>HYPERLINK("https://klasma.github.io/Logging_0484/tillsyn/A 26095-2026 tillsynsbegäran.docx", "A 26095-2026")</f>
        <v/>
      </c>
      <c r="AD47">
        <f>HYPERLINK("https://klasma.github.io/Logging_0484/tillsynsmail/A 26095-2026 tillsynsbegäran mail.docx", "A 26095-2026")</f>
        <v/>
      </c>
      <c r="AE47">
        <f>HYPERLINK("https://klasma.github.io/Logging_0484/fåglar/A 26095-2026 prioriterade fågelarter.docx", "A 26095-2026")</f>
        <v/>
      </c>
    </row>
    <row r="48" ht="15" customHeight="1">
      <c r="A48" t="inlineStr">
        <is>
          <t>A 26105-2026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46239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Backsippa
Backtimjan</t>
        </is>
      </c>
      <c r="W48">
        <f>HYPERLINK("https://klasma.github.io/Logging_0484/artfynd/A 26105-2026 artfynd.xlsx", "A 26105-2026")</f>
        <v/>
      </c>
      <c r="X48">
        <f>HYPERLINK("https://klasma.github.io/Logging_0484/kartor/A 26105-2026 karta.png", "A 26105-2026")</f>
        <v/>
      </c>
      <c r="Y48">
        <f>HYPERLINK("https://klasma.github.io/Logging_0484/kartor_geotiff/A 26105-2026 georefererad karta.tif", "A 26105-2026")</f>
        <v/>
      </c>
      <c r="AA48">
        <f>HYPERLINK("https://klasma.github.io/Logging_0484/klagomål/A 26105-2026 FSC-klagomål.docx", "A 26105-2026")</f>
        <v/>
      </c>
      <c r="AB48">
        <f>HYPERLINK("https://klasma.github.io/Logging_0484/klagomålsmail/A 26105-2026 FSC-klagomål mail.docx", "A 26105-2026")</f>
        <v/>
      </c>
      <c r="AC48">
        <f>HYPERLINK("https://klasma.github.io/Logging_0484/tillsyn/A 26105-2026 tillsynsbegäran.docx", "A 26105-2026")</f>
        <v/>
      </c>
      <c r="AD48">
        <f>HYPERLINK("https://klasma.github.io/Logging_0484/tillsynsmail/A 26105-2026 tillsynsbegäran mail.docx", "A 26105-2026")</f>
        <v/>
      </c>
    </row>
    <row r="49" ht="15" customHeight="1">
      <c r="A49" t="inlineStr">
        <is>
          <t>A 59822-2025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46239</v>
      </c>
      <c r="F49" t="inlineStr">
        <is>
          <t>SÖDERMANLANDS LÄN</t>
        </is>
      </c>
      <c r="G49" t="inlineStr">
        <is>
          <t>ESKILSTUNA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Stubbspretmossa
Timmerticka</t>
        </is>
      </c>
      <c r="W49">
        <f>HYPERLINK("https://klasma.github.io/Logging_0484/artfynd/A 59822-2025 artfynd.xlsx", "A 59822-2025")</f>
        <v/>
      </c>
      <c r="X49">
        <f>HYPERLINK("https://klasma.github.io/Logging_0484/kartor/A 59822-2025 karta.png", "A 59822-2025")</f>
        <v/>
      </c>
      <c r="Y49">
        <f>HYPERLINK("https://klasma.github.io/Logging_0484/kartor_geotiff/A 59822-2025 georefererad karta.tif", "A 59822-2025")</f>
        <v/>
      </c>
      <c r="AA49">
        <f>HYPERLINK("https://klasma.github.io/Logging_0484/klagomål/A 59822-2025 FSC-klagomål.docx", "A 59822-2025")</f>
        <v/>
      </c>
      <c r="AB49">
        <f>HYPERLINK("https://klasma.github.io/Logging_0484/klagomålsmail/A 59822-2025 FSC-klagomål mail.docx", "A 59822-2025")</f>
        <v/>
      </c>
      <c r="AC49">
        <f>HYPERLINK("https://klasma.github.io/Logging_0484/tillsyn/A 59822-2025 tillsynsbegäran.docx", "A 59822-2025")</f>
        <v/>
      </c>
      <c r="AD49">
        <f>HYPERLINK("https://klasma.github.io/Logging_0484/tillsynsmail/A 59822-2025 tillsynsbegäran mail.docx", "A 59822-2025")</f>
        <v/>
      </c>
    </row>
    <row r="50" ht="15" customHeight="1">
      <c r="A50" t="inlineStr">
        <is>
          <t>A 61987-2022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44918</v>
      </c>
      <c r="E50" s="1" t="n">
        <v>46239</v>
      </c>
      <c r="F50" t="inlineStr">
        <is>
          <t>SÖDERMANLANDS LÄN</t>
        </is>
      </c>
      <c r="G50" t="inlineStr">
        <is>
          <t>ESKILSTUNA</t>
        </is>
      </c>
      <c r="I50" t="n">
        <v>4.3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Svinrot
Mattlummer</t>
        </is>
      </c>
      <c r="W50">
        <f>HYPERLINK("https://klasma.github.io/Logging_0484/artfynd/A 61987-2022 artfynd.xlsx", "A 61987-2022")</f>
        <v/>
      </c>
      <c r="X50">
        <f>HYPERLINK("https://klasma.github.io/Logging_0484/kartor/A 61987-2022 karta.png", "A 61987-2022")</f>
        <v/>
      </c>
      <c r="Y50">
        <f>HYPERLINK("https://klasma.github.io/Logging_0484/kartor_geotiff/A 61987-2022 georefererad karta.tif", "A 61987-2022")</f>
        <v/>
      </c>
      <c r="AA50">
        <f>HYPERLINK("https://klasma.github.io/Logging_0484/klagomål/A 61987-2022 FSC-klagomål.docx", "A 61987-2022")</f>
        <v/>
      </c>
      <c r="AB50">
        <f>HYPERLINK("https://klasma.github.io/Logging_0484/klagomålsmail/A 61987-2022 FSC-klagomål mail.docx", "A 61987-2022")</f>
        <v/>
      </c>
      <c r="AC50">
        <f>HYPERLINK("https://klasma.github.io/Logging_0484/tillsyn/A 61987-2022 tillsynsbegäran.docx", "A 61987-2022")</f>
        <v/>
      </c>
      <c r="AD50">
        <f>HYPERLINK("https://klasma.github.io/Logging_0484/tillsynsmail/A 61987-2022 tillsynsbegäran mail.docx", "A 61987-2022")</f>
        <v/>
      </c>
    </row>
    <row r="51" ht="15" customHeight="1">
      <c r="A51" t="inlineStr">
        <is>
          <t>A 44664-2022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46239</v>
      </c>
      <c r="F51" t="inlineStr">
        <is>
          <t>SÖDERMANLANDS LÄN</t>
        </is>
      </c>
      <c r="G51" t="inlineStr">
        <is>
          <t>ESKILSTUNA</t>
        </is>
      </c>
      <c r="I51" t="n">
        <v>20.8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5</v>
      </c>
      <c r="U51" t="n">
        <v>1</v>
      </c>
      <c r="V51" s="2" t="inlineStr">
        <is>
          <t>Knärot
Blåmossa</t>
        </is>
      </c>
      <c r="W51">
        <f>HYPERLINK("https://klasma.github.io/Logging_0484/artfynd/A 44664-2022 artfynd.xlsx", "A 44664-2022")</f>
        <v/>
      </c>
      <c r="X51">
        <f>HYPERLINK("https://klasma.github.io/Logging_0484/kartor/A 44664-2022 karta.png", "A 44664-2022")</f>
        <v/>
      </c>
      <c r="Y51">
        <f>HYPERLINK("https://klasma.github.io/Logging_0484/kartor_geotiff/A 44664-2022 georefererad karta.tif", "A 44664-2022")</f>
        <v/>
      </c>
      <c r="Z51">
        <f>HYPERLINK("https://klasma.github.io/Logging_0484/knärot/A 44664-2022 karta knärot.png", "A 44664-2022")</f>
        <v/>
      </c>
      <c r="AA51">
        <f>HYPERLINK("https://klasma.github.io/Logging_0484/klagomål/A 44664-2022 FSC-klagomål.docx", "A 44664-2022")</f>
        <v/>
      </c>
      <c r="AB51">
        <f>HYPERLINK("https://klasma.github.io/Logging_0484/klagomålsmail/A 44664-2022 FSC-klagomål mail.docx", "A 44664-2022")</f>
        <v/>
      </c>
      <c r="AC51">
        <f>HYPERLINK("https://klasma.github.io/Logging_0484/tillsyn/A 44664-2022 tillsynsbegäran.docx", "A 44664-2022")</f>
        <v/>
      </c>
      <c r="AD51">
        <f>HYPERLINK("https://klasma.github.io/Logging_0484/tillsynsmail/A 44664-2022 tillsynsbegäran mail.docx", "A 44664-2022")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46239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46239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46239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46239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46239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42002-2021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44426</v>
      </c>
      <c r="E57" s="1" t="n">
        <v>46239</v>
      </c>
      <c r="F57" t="inlineStr">
        <is>
          <t>SÖDERMANLANDS LÄN</t>
        </is>
      </c>
      <c r="G57" t="inlineStr">
        <is>
          <t>ESKILSTUNA</t>
        </is>
      </c>
      <c r="I57" t="n">
        <v>5.5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HYPERLINK("https://klasma.github.io/Logging_0484/artfynd/A 42002-2021 artfynd.xlsx", "A 42002-2021")</f>
        <v/>
      </c>
      <c r="X57">
        <f>HYPERLINK("https://klasma.github.io/Logging_0484/kartor/A 42002-2021 karta.png", "A 42002-2021")</f>
        <v/>
      </c>
      <c r="Y57">
        <f>HYPERLINK("https://klasma.github.io/Logging_0484/kartor_geotiff/A 42002-2021 georefererad karta.tif", "A 42002-2021")</f>
        <v/>
      </c>
      <c r="AA57">
        <f>HYPERLINK("https://klasma.github.io/Logging_0484/klagomål/A 42002-2021 FSC-klagomål.docx", "A 42002-2021")</f>
        <v/>
      </c>
      <c r="AB57">
        <f>HYPERLINK("https://klasma.github.io/Logging_0484/klagomålsmail/A 42002-2021 FSC-klagomål mail.docx", "A 42002-2021")</f>
        <v/>
      </c>
      <c r="AC57">
        <f>HYPERLINK("https://klasma.github.io/Logging_0484/tillsyn/A 42002-2021 tillsynsbegäran.docx", "A 42002-2021")</f>
        <v/>
      </c>
      <c r="AD57">
        <f>HYPERLINK("https://klasma.github.io/Logging_0484/tillsynsmail/A 42002-2021 tillsynsbegäran mail.docx", "A 42002-2021")</f>
        <v/>
      </c>
      <c r="AE57">
        <f>HYPERLINK("https://klasma.github.io/Logging_0484/fåglar/A 42002-2021 prioriterade fågelarter.docx", "A 42002-2021")</f>
        <v/>
      </c>
    </row>
    <row r="58" ht="15" customHeight="1">
      <c r="A58" t="inlineStr">
        <is>
          <t>A 3162-2022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46239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HYPERLINK("https://klasma.github.io/Logging_0484/artfynd/A 3162-2022 artfynd.xlsx", "A 3162-2022")</f>
        <v/>
      </c>
      <c r="X58">
        <f>HYPERLINK("https://klasma.github.io/Logging_0484/kartor/A 3162-2022 karta.png", "A 3162-2022")</f>
        <v/>
      </c>
      <c r="Y58">
        <f>HYPERLINK("https://klasma.github.io/Logging_0484/kartor_geotiff/A 3162-2022 georefererad karta.tif", "A 3162-2022")</f>
        <v/>
      </c>
      <c r="AA58">
        <f>HYPERLINK("https://klasma.github.io/Logging_0484/klagomål/A 3162-2022 FSC-klagomål.docx", "A 3162-2022")</f>
        <v/>
      </c>
      <c r="AB58">
        <f>HYPERLINK("https://klasma.github.io/Logging_0484/klagomålsmail/A 3162-2022 FSC-klagomål mail.docx", "A 3162-2022")</f>
        <v/>
      </c>
      <c r="AC58">
        <f>HYPERLINK("https://klasma.github.io/Logging_0484/tillsyn/A 3162-2022 tillsynsbegäran.docx", "A 3162-2022")</f>
        <v/>
      </c>
      <c r="AD58">
        <f>HYPERLINK("https://klasma.github.io/Logging_0484/tillsynsmail/A 3162-2022 tillsynsbegäran mail.docx", "A 3162-2022")</f>
        <v/>
      </c>
    </row>
    <row r="59" ht="15" customHeight="1">
      <c r="A59" t="inlineStr">
        <is>
          <t>A 61368-2021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44499</v>
      </c>
      <c r="E59" s="1" t="n">
        <v>46239</v>
      </c>
      <c r="F59" t="inlineStr">
        <is>
          <t>SÖDERMANLANDS LÄN</t>
        </is>
      </c>
      <c r="G59" t="inlineStr">
        <is>
          <t>ESKILSTUNA</t>
        </is>
      </c>
      <c r="I59" t="n">
        <v>5.6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HYPERLINK("https://klasma.github.io/Logging_0484/artfynd/A 61368-2021 artfynd.xlsx", "A 61368-2021")</f>
        <v/>
      </c>
      <c r="X59">
        <f>HYPERLINK("https://klasma.github.io/Logging_0484/kartor/A 61368-2021 karta.png", "A 61368-2021")</f>
        <v/>
      </c>
      <c r="Y59">
        <f>HYPERLINK("https://klasma.github.io/Logging_0484/kartor_geotiff/A 61368-2021 georefererad karta.tif", "A 61368-2021")</f>
        <v/>
      </c>
      <c r="AA59">
        <f>HYPERLINK("https://klasma.github.io/Logging_0484/klagomål/A 61368-2021 FSC-klagomål.docx", "A 61368-2021")</f>
        <v/>
      </c>
      <c r="AB59">
        <f>HYPERLINK("https://klasma.github.io/Logging_0484/klagomålsmail/A 61368-2021 FSC-klagomål mail.docx", "A 61368-2021")</f>
        <v/>
      </c>
      <c r="AC59">
        <f>HYPERLINK("https://klasma.github.io/Logging_0484/tillsyn/A 61368-2021 tillsynsbegäran.docx", "A 61368-2021")</f>
        <v/>
      </c>
      <c r="AD59">
        <f>HYPERLINK("https://klasma.github.io/Logging_0484/tillsynsmail/A 61368-2021 tillsynsbegäran mail.docx", "A 61368-2021")</f>
        <v/>
      </c>
    </row>
    <row r="60" ht="15" customHeight="1">
      <c r="A60" t="inlineStr">
        <is>
          <t>A 49439-2021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46239</v>
      </c>
      <c r="F60" t="inlineStr">
        <is>
          <t>SÖDERMANLANDS LÄN</t>
        </is>
      </c>
      <c r="G60" t="inlineStr">
        <is>
          <t>ESKILSTUNA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Klasefibbla</t>
        </is>
      </c>
      <c r="W60">
        <f>HYPERLINK("https://klasma.github.io/Logging_0484/artfynd/A 49439-2021 artfynd.xlsx", "A 49439-2021")</f>
        <v/>
      </c>
      <c r="X60">
        <f>HYPERLINK("https://klasma.github.io/Logging_0484/kartor/A 49439-2021 karta.png", "A 49439-2021")</f>
        <v/>
      </c>
      <c r="Y60">
        <f>HYPERLINK("https://klasma.github.io/Logging_0484/kartor_geotiff/A 49439-2021 georefererad karta.tif", "A 49439-2021")</f>
        <v/>
      </c>
      <c r="AA60">
        <f>HYPERLINK("https://klasma.github.io/Logging_0484/klagomål/A 49439-2021 FSC-klagomål.docx", "A 49439-2021")</f>
        <v/>
      </c>
      <c r="AB60">
        <f>HYPERLINK("https://klasma.github.io/Logging_0484/klagomålsmail/A 49439-2021 FSC-klagomål mail.docx", "A 49439-2021")</f>
        <v/>
      </c>
      <c r="AC60">
        <f>HYPERLINK("https://klasma.github.io/Logging_0484/tillsyn/A 49439-2021 tillsynsbegäran.docx", "A 49439-2021")</f>
        <v/>
      </c>
      <c r="AD60">
        <f>HYPERLINK("https://klasma.github.io/Logging_0484/tillsynsmail/A 49439-2021 tillsynsbegäran mail.docx", "A 49439-2021")</f>
        <v/>
      </c>
    </row>
    <row r="61" ht="15" customHeight="1">
      <c r="A61" t="inlineStr">
        <is>
          <t>A 50760-2023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46239</v>
      </c>
      <c r="F61" t="inlineStr">
        <is>
          <t>SÖDERMANLANDS LÄN</t>
        </is>
      </c>
      <c r="G61" t="inlineStr">
        <is>
          <t>ESKILSTUNA</t>
        </is>
      </c>
      <c r="I61" t="n">
        <v>4.1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Pärluggla</t>
        </is>
      </c>
      <c r="W61">
        <f>HYPERLINK("https://klasma.github.io/Logging_0484/artfynd/A 50760-2023 artfynd.xlsx", "A 50760-2023")</f>
        <v/>
      </c>
      <c r="X61">
        <f>HYPERLINK("https://klasma.github.io/Logging_0484/kartor/A 50760-2023 karta.png", "A 50760-2023")</f>
        <v/>
      </c>
      <c r="Y61">
        <f>HYPERLINK("https://klasma.github.io/Logging_0484/kartor_geotiff/A 50760-2023 georefererad karta.tif", "A 50760-2023")</f>
        <v/>
      </c>
      <c r="AA61">
        <f>HYPERLINK("https://klasma.github.io/Logging_0484/klagomål/A 50760-2023 FSC-klagomål.docx", "A 50760-2023")</f>
        <v/>
      </c>
      <c r="AB61">
        <f>HYPERLINK("https://klasma.github.io/Logging_0484/klagomålsmail/A 50760-2023 FSC-klagomål mail.docx", "A 50760-2023")</f>
        <v/>
      </c>
      <c r="AC61">
        <f>HYPERLINK("https://klasma.github.io/Logging_0484/tillsyn/A 50760-2023 tillsynsbegäran.docx", "A 50760-2023")</f>
        <v/>
      </c>
      <c r="AD61">
        <f>HYPERLINK("https://klasma.github.io/Logging_0484/tillsynsmail/A 50760-2023 tillsynsbegäran mail.docx", "A 50760-2023")</f>
        <v/>
      </c>
      <c r="AE61">
        <f>HYPERLINK("https://klasma.github.io/Logging_0484/fåglar/A 50760-2023 prioriterade fågelarter.docx", "A 50760-2023")</f>
        <v/>
      </c>
    </row>
    <row r="62" ht="15" customHeight="1">
      <c r="A62" t="inlineStr">
        <is>
          <t>A 55087-2022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46239</v>
      </c>
      <c r="F62" t="inlineStr">
        <is>
          <t>SÖDERMANLANDS LÄN</t>
        </is>
      </c>
      <c r="G62" t="inlineStr">
        <is>
          <t>ESKILSTUNA</t>
        </is>
      </c>
      <c r="I62" t="n">
        <v>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Gulsparv</t>
        </is>
      </c>
      <c r="W62">
        <f>HYPERLINK("https://klasma.github.io/Logging_0484/artfynd/A 55087-2022 artfynd.xlsx", "A 55087-2022")</f>
        <v/>
      </c>
      <c r="X62">
        <f>HYPERLINK("https://klasma.github.io/Logging_0484/kartor/A 55087-2022 karta.png", "A 55087-2022")</f>
        <v/>
      </c>
      <c r="Y62">
        <f>HYPERLINK("https://klasma.github.io/Logging_0484/kartor_geotiff/A 55087-2022 georefererad karta.tif", "A 55087-2022")</f>
        <v/>
      </c>
      <c r="AA62">
        <f>HYPERLINK("https://klasma.github.io/Logging_0484/klagomål/A 55087-2022 FSC-klagomål.docx", "A 55087-2022")</f>
        <v/>
      </c>
      <c r="AB62">
        <f>HYPERLINK("https://klasma.github.io/Logging_0484/klagomålsmail/A 55087-2022 FSC-klagomål mail.docx", "A 55087-2022")</f>
        <v/>
      </c>
      <c r="AC62">
        <f>HYPERLINK("https://klasma.github.io/Logging_0484/tillsyn/A 55087-2022 tillsynsbegäran.docx", "A 55087-2022")</f>
        <v/>
      </c>
      <c r="AD62">
        <f>HYPERLINK("https://klasma.github.io/Logging_0484/tillsynsmail/A 55087-2022 tillsynsbegäran mail.docx", "A 55087-2022")</f>
        <v/>
      </c>
      <c r="AE62">
        <f>HYPERLINK("https://klasma.github.io/Logging_0484/fåglar/A 55087-2022 prioriterade fågelarter.docx", "A 55087-2022")</f>
        <v/>
      </c>
    </row>
    <row r="63" ht="15" customHeight="1">
      <c r="A63" t="inlineStr">
        <is>
          <t>A 71976-2021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46239</v>
      </c>
      <c r="F63" t="inlineStr">
        <is>
          <t>SÖDERMANLANDS LÄN</t>
        </is>
      </c>
      <c r="G63" t="inlineStr">
        <is>
          <t>ESKILSTUNA</t>
        </is>
      </c>
      <c r="I63" t="n">
        <v>19.6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Jungfrulin</t>
        </is>
      </c>
      <c r="W63">
        <f>HYPERLINK("https://klasma.github.io/Logging_0484/artfynd/A 71976-2021 artfynd.xlsx", "A 71976-2021")</f>
        <v/>
      </c>
      <c r="X63">
        <f>HYPERLINK("https://klasma.github.io/Logging_0484/kartor/A 71976-2021 karta.png", "A 71976-2021")</f>
        <v/>
      </c>
      <c r="Y63">
        <f>HYPERLINK("https://klasma.github.io/Logging_0484/kartor_geotiff/A 71976-2021 georefererad karta.tif", "A 71976-2021")</f>
        <v/>
      </c>
      <c r="AA63">
        <f>HYPERLINK("https://klasma.github.io/Logging_0484/klagomål/A 71976-2021 FSC-klagomål.docx", "A 71976-2021")</f>
        <v/>
      </c>
      <c r="AB63">
        <f>HYPERLINK("https://klasma.github.io/Logging_0484/klagomålsmail/A 71976-2021 FSC-klagomål mail.docx", "A 71976-2021")</f>
        <v/>
      </c>
      <c r="AC63">
        <f>HYPERLINK("https://klasma.github.io/Logging_0484/tillsyn/A 71976-2021 tillsynsbegäran.docx", "A 71976-2021")</f>
        <v/>
      </c>
      <c r="AD63">
        <f>HYPERLINK("https://klasma.github.io/Logging_0484/tillsynsmail/A 71976-2021 tillsynsbegäran mail.docx", "A 71976-2021")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46239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67047-2021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44522</v>
      </c>
      <c r="E65" s="1" t="n">
        <v>46239</v>
      </c>
      <c r="F65" t="inlineStr">
        <is>
          <t>SÖDERMANLANDS LÄN</t>
        </is>
      </c>
      <c r="G65" t="inlineStr">
        <is>
          <t>ESKILSTUNA</t>
        </is>
      </c>
      <c r="H65" t="inlineStr">
        <is>
          <t>Kyrkan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HYPERLINK("https://klasma.github.io/Logging_0484/artfynd/A 67047-2021 artfynd.xlsx", "A 67047-2021")</f>
        <v/>
      </c>
      <c r="X65">
        <f>HYPERLINK("https://klasma.github.io/Logging_0484/kartor/A 67047-2021 karta.png", "A 67047-2021")</f>
        <v/>
      </c>
      <c r="Y65">
        <f>HYPERLINK("https://klasma.github.io/Logging_0484/kartor_geotiff/A 67047-2021 georefererad karta.tif", "A 67047-2021")</f>
        <v/>
      </c>
      <c r="AA65">
        <f>HYPERLINK("https://klasma.github.io/Logging_0484/klagomål/A 67047-2021 FSC-klagomål.docx", "A 67047-2021")</f>
        <v/>
      </c>
      <c r="AB65">
        <f>HYPERLINK("https://klasma.github.io/Logging_0484/klagomålsmail/A 67047-2021 FSC-klagomål mail.docx", "A 67047-2021")</f>
        <v/>
      </c>
      <c r="AC65">
        <f>HYPERLINK("https://klasma.github.io/Logging_0484/tillsyn/A 67047-2021 tillsynsbegäran.docx", "A 67047-2021")</f>
        <v/>
      </c>
      <c r="AD65">
        <f>HYPERLINK("https://klasma.github.io/Logging_0484/tillsynsmail/A 67047-2021 tillsynsbegäran mail.docx", "A 67047-2021")</f>
        <v/>
      </c>
    </row>
    <row r="66" ht="15" customHeight="1">
      <c r="A66" t="inlineStr">
        <is>
          <t>A 12984-2024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45385</v>
      </c>
      <c r="E66" s="1" t="n">
        <v>46239</v>
      </c>
      <c r="F66" t="inlineStr">
        <is>
          <t>SÖDERMANLANDS LÄN</t>
        </is>
      </c>
      <c r="G66" t="inlineStr">
        <is>
          <t>ESKILSTUNA</t>
        </is>
      </c>
      <c r="H66" t="inlineStr">
        <is>
          <t>Allmännings- och besparingsskogar</t>
        </is>
      </c>
      <c r="I66" t="n">
        <v>6.4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HYPERLINK("https://klasma.github.io/Logging_0484/artfynd/A 12984-2024 artfynd.xlsx", "A 12984-2024")</f>
        <v/>
      </c>
      <c r="X66">
        <f>HYPERLINK("https://klasma.github.io/Logging_0484/kartor/A 12984-2024 karta.png", "A 12984-2024")</f>
        <v/>
      </c>
      <c r="Y66">
        <f>HYPERLINK("https://klasma.github.io/Logging_0484/kartor_geotiff/A 12984-2024 georefererad karta.tif", "A 12984-2024")</f>
        <v/>
      </c>
      <c r="AA66">
        <f>HYPERLINK("https://klasma.github.io/Logging_0484/klagomål/A 12984-2024 FSC-klagomål.docx", "A 12984-2024")</f>
        <v/>
      </c>
      <c r="AB66">
        <f>HYPERLINK("https://klasma.github.io/Logging_0484/klagomålsmail/A 12984-2024 FSC-klagomål mail.docx", "A 12984-2024")</f>
        <v/>
      </c>
      <c r="AC66">
        <f>HYPERLINK("https://klasma.github.io/Logging_0484/tillsyn/A 12984-2024 tillsynsbegäran.docx", "A 12984-2024")</f>
        <v/>
      </c>
      <c r="AD66">
        <f>HYPERLINK("https://klasma.github.io/Logging_0484/tillsynsmail/A 12984-2024 tillsynsbegäran mail.docx", "A 12984-2024")</f>
        <v/>
      </c>
    </row>
    <row r="67" ht="15" customHeight="1">
      <c r="A67" t="inlineStr">
        <is>
          <t>A 38361-2024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45545</v>
      </c>
      <c r="E67" s="1" t="n">
        <v>46239</v>
      </c>
      <c r="F67" t="inlineStr">
        <is>
          <t>SÖDERMANLANDS LÄN</t>
        </is>
      </c>
      <c r="G67" t="inlineStr">
        <is>
          <t>ESKILSTUNA</t>
        </is>
      </c>
      <c r="I67" t="n">
        <v>0.4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Spillkråka</t>
        </is>
      </c>
      <c r="W67">
        <f>HYPERLINK("https://klasma.github.io/Logging_0484/artfynd/A 38361-2024 artfynd.xlsx", "A 38361-2024")</f>
        <v/>
      </c>
      <c r="X67">
        <f>HYPERLINK("https://klasma.github.io/Logging_0484/kartor/A 38361-2024 karta.png", "A 38361-2024")</f>
        <v/>
      </c>
      <c r="Y67">
        <f>HYPERLINK("https://klasma.github.io/Logging_0484/kartor_geotiff/A 38361-2024 georefererad karta.tif", "A 38361-2024")</f>
        <v/>
      </c>
      <c r="AA67">
        <f>HYPERLINK("https://klasma.github.io/Logging_0484/klagomål/A 38361-2024 FSC-klagomål.docx", "A 38361-2024")</f>
        <v/>
      </c>
      <c r="AB67">
        <f>HYPERLINK("https://klasma.github.io/Logging_0484/klagomålsmail/A 38361-2024 FSC-klagomål mail.docx", "A 38361-2024")</f>
        <v/>
      </c>
      <c r="AC67">
        <f>HYPERLINK("https://klasma.github.io/Logging_0484/tillsyn/A 38361-2024 tillsynsbegäran.docx", "A 38361-2024")</f>
        <v/>
      </c>
      <c r="AD67">
        <f>HYPERLINK("https://klasma.github.io/Logging_0484/tillsynsmail/A 38361-2024 tillsynsbegäran mail.docx", "A 38361-2024")</f>
        <v/>
      </c>
      <c r="AE67">
        <f>HYPERLINK("https://klasma.github.io/Logging_0484/fåglar/A 38361-2024 prioriterade fågelarter.docx", "A 38361-2024")</f>
        <v/>
      </c>
    </row>
    <row r="68" ht="15" customHeight="1">
      <c r="A68" t="inlineStr">
        <is>
          <t>A 53399-2023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46239</v>
      </c>
      <c r="F68" t="inlineStr">
        <is>
          <t>SÖDERMANLANDS LÄN</t>
        </is>
      </c>
      <c r="G68" t="inlineStr">
        <is>
          <t>ESKILSTUNA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HYPERLINK("https://klasma.github.io/Logging_0484/artfynd/A 53399-2023 artfynd.xlsx", "A 53399-2023")</f>
        <v/>
      </c>
      <c r="X68">
        <f>HYPERLINK("https://klasma.github.io/Logging_0484/kartor/A 53399-2023 karta.png", "A 53399-2023")</f>
        <v/>
      </c>
      <c r="Y68">
        <f>HYPERLINK("https://klasma.github.io/Logging_0484/kartor_geotiff/A 53399-2023 georefererad karta.tif", "A 53399-2023")</f>
        <v/>
      </c>
      <c r="AA68">
        <f>HYPERLINK("https://klasma.github.io/Logging_0484/klagomål/A 53399-2023 FSC-klagomål.docx", "A 53399-2023")</f>
        <v/>
      </c>
      <c r="AB68">
        <f>HYPERLINK("https://klasma.github.io/Logging_0484/klagomålsmail/A 53399-2023 FSC-klagomål mail.docx", "A 53399-2023")</f>
        <v/>
      </c>
      <c r="AC68">
        <f>HYPERLINK("https://klasma.github.io/Logging_0484/tillsyn/A 53399-2023 tillsynsbegäran.docx", "A 53399-2023")</f>
        <v/>
      </c>
      <c r="AD68">
        <f>HYPERLINK("https://klasma.github.io/Logging_0484/tillsynsmail/A 53399-2023 tillsynsbegäran mail.docx", "A 53399-2023")</f>
        <v/>
      </c>
    </row>
    <row r="69" ht="15" customHeight="1">
      <c r="A69" t="inlineStr">
        <is>
          <t>A 42012-2021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44426</v>
      </c>
      <c r="E69" s="1" t="n">
        <v>46239</v>
      </c>
      <c r="F69" t="inlineStr">
        <is>
          <t>SÖDERMANLANDS LÄN</t>
        </is>
      </c>
      <c r="G69" t="inlineStr">
        <is>
          <t>ESKILSTUNA</t>
        </is>
      </c>
      <c r="I69" t="n">
        <v>7.9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 sköldmossa</t>
        </is>
      </c>
      <c r="W69">
        <f>HYPERLINK("https://klasma.github.io/Logging_0484/artfynd/A 42012-2021 artfynd.xlsx", "A 42012-2021")</f>
        <v/>
      </c>
      <c r="X69">
        <f>HYPERLINK("https://klasma.github.io/Logging_0484/kartor/A 42012-2021 karta.png", "A 42012-2021")</f>
        <v/>
      </c>
      <c r="Y69">
        <f>HYPERLINK("https://klasma.github.io/Logging_0484/kartor_geotiff/A 42012-2021 georefererad karta.tif", "A 42012-2021")</f>
        <v/>
      </c>
      <c r="AA69">
        <f>HYPERLINK("https://klasma.github.io/Logging_0484/klagomål/A 42012-2021 FSC-klagomål.docx", "A 42012-2021")</f>
        <v/>
      </c>
      <c r="AB69">
        <f>HYPERLINK("https://klasma.github.io/Logging_0484/klagomålsmail/A 42012-2021 FSC-klagomål mail.docx", "A 42012-2021")</f>
        <v/>
      </c>
      <c r="AC69">
        <f>HYPERLINK("https://klasma.github.io/Logging_0484/tillsyn/A 42012-2021 tillsynsbegäran.docx", "A 42012-2021")</f>
        <v/>
      </c>
      <c r="AD69">
        <f>HYPERLINK("https://klasma.github.io/Logging_0484/tillsynsmail/A 42012-2021 tillsynsbegäran mail.docx", "A 42012-2021")</f>
        <v/>
      </c>
    </row>
    <row r="70" ht="15" customHeight="1">
      <c r="A70" t="inlineStr">
        <is>
          <t>A 48676-2021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46239</v>
      </c>
      <c r="F70" t="inlineStr">
        <is>
          <t>SÖDERMANLANDS LÄN</t>
        </is>
      </c>
      <c r="G70" t="inlineStr">
        <is>
          <t>ESKILSTUNA</t>
        </is>
      </c>
      <c r="I70" t="n">
        <v>8.4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Bronshjon</t>
        </is>
      </c>
      <c r="W70">
        <f>HYPERLINK("https://klasma.github.io/Logging_0484/artfynd/A 48676-2021 artfynd.xlsx", "A 48676-2021")</f>
        <v/>
      </c>
      <c r="X70">
        <f>HYPERLINK("https://klasma.github.io/Logging_0484/kartor/A 48676-2021 karta.png", "A 48676-2021")</f>
        <v/>
      </c>
      <c r="Y70">
        <f>HYPERLINK("https://klasma.github.io/Logging_0484/kartor_geotiff/A 48676-2021 georefererad karta.tif", "A 48676-2021")</f>
        <v/>
      </c>
      <c r="AA70">
        <f>HYPERLINK("https://klasma.github.io/Logging_0484/klagomål/A 48676-2021 FSC-klagomål.docx", "A 48676-2021")</f>
        <v/>
      </c>
      <c r="AB70">
        <f>HYPERLINK("https://klasma.github.io/Logging_0484/klagomålsmail/A 48676-2021 FSC-klagomål mail.docx", "A 48676-2021")</f>
        <v/>
      </c>
      <c r="AC70">
        <f>HYPERLINK("https://klasma.github.io/Logging_0484/tillsyn/A 48676-2021 tillsynsbegäran.docx", "A 48676-2021")</f>
        <v/>
      </c>
      <c r="AD70">
        <f>HYPERLINK("https://klasma.github.io/Logging_0484/tillsynsmail/A 48676-2021 tillsynsbegäran mail.docx", "A 48676-2021")</f>
        <v/>
      </c>
    </row>
    <row r="71" ht="15" customHeight="1">
      <c r="A71" t="inlineStr">
        <is>
          <t>A 36216-2025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45867</v>
      </c>
      <c r="E71" s="1" t="n">
        <v>46239</v>
      </c>
      <c r="F71" t="inlineStr">
        <is>
          <t>SÖDERMANLANDS LÄN</t>
        </is>
      </c>
      <c r="G71" t="inlineStr">
        <is>
          <t>ESKILSTUNA</t>
        </is>
      </c>
      <c r="I71" t="n">
        <v>18.7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Blomkålssvamp</t>
        </is>
      </c>
      <c r="W71">
        <f>HYPERLINK("https://klasma.github.io/Logging_0484/artfynd/A 36216-2025 artfynd.xlsx", "A 36216-2025")</f>
        <v/>
      </c>
      <c r="X71">
        <f>HYPERLINK("https://klasma.github.io/Logging_0484/kartor/A 36216-2025 karta.png", "A 36216-2025")</f>
        <v/>
      </c>
      <c r="Y71">
        <f>HYPERLINK("https://klasma.github.io/Logging_0484/kartor_geotiff/A 36216-2025 georefererad karta.tif", "A 36216-2025")</f>
        <v/>
      </c>
      <c r="AA71">
        <f>HYPERLINK("https://klasma.github.io/Logging_0484/klagomål/A 36216-2025 FSC-klagomål.docx", "A 36216-2025")</f>
        <v/>
      </c>
      <c r="AB71">
        <f>HYPERLINK("https://klasma.github.io/Logging_0484/klagomålsmail/A 36216-2025 FSC-klagomål mail.docx", "A 36216-2025")</f>
        <v/>
      </c>
      <c r="AC71">
        <f>HYPERLINK("https://klasma.github.io/Logging_0484/tillsyn/A 36216-2025 tillsynsbegäran.docx", "A 36216-2025")</f>
        <v/>
      </c>
      <c r="AD71">
        <f>HYPERLINK("https://klasma.github.io/Logging_0484/tillsynsmail/A 36216-2025 tillsynsbegäran mail.docx", "A 36216-2025")</f>
        <v/>
      </c>
    </row>
    <row r="72" ht="15" customHeight="1">
      <c r="A72" t="inlineStr">
        <is>
          <t>A 43547-2022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44834</v>
      </c>
      <c r="E72" s="1" t="n">
        <v>46239</v>
      </c>
      <c r="F72" t="inlineStr">
        <is>
          <t>SÖDERMANLANDS LÄN</t>
        </is>
      </c>
      <c r="G72" t="inlineStr">
        <is>
          <t>ESKILSTUNA</t>
        </is>
      </c>
      <c r="I72" t="n">
        <v>3.2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HYPERLINK("https://klasma.github.io/Logging_0484/artfynd/A 43547-2022 artfynd.xlsx", "A 43547-2022")</f>
        <v/>
      </c>
      <c r="X72">
        <f>HYPERLINK("https://klasma.github.io/Logging_0484/kartor/A 43547-2022 karta.png", "A 43547-2022")</f>
        <v/>
      </c>
      <c r="Y72">
        <f>HYPERLINK("https://klasma.github.io/Logging_0484/kartor_geotiff/A 43547-2022 georefererad karta.tif", "A 43547-2022")</f>
        <v/>
      </c>
      <c r="Z72">
        <f>HYPERLINK("https://klasma.github.io/Logging_0484/knärot/A 43547-2022 karta knärot.png", "A 43547-2022")</f>
        <v/>
      </c>
      <c r="AA72">
        <f>HYPERLINK("https://klasma.github.io/Logging_0484/klagomål/A 43547-2022 FSC-klagomål.docx", "A 43547-2022")</f>
        <v/>
      </c>
      <c r="AB72">
        <f>HYPERLINK("https://klasma.github.io/Logging_0484/klagomålsmail/A 43547-2022 FSC-klagomål mail.docx", "A 43547-2022")</f>
        <v/>
      </c>
      <c r="AC72">
        <f>HYPERLINK("https://klasma.github.io/Logging_0484/tillsyn/A 43547-2022 tillsynsbegäran.docx", "A 43547-2022")</f>
        <v/>
      </c>
      <c r="AD72">
        <f>HYPERLINK("https://klasma.github.io/Logging_0484/tillsynsmail/A 43547-2022 tillsynsbegäran mail.docx", "A 43547-2022")</f>
        <v/>
      </c>
    </row>
    <row r="73" ht="15" customHeight="1">
      <c r="A73" t="inlineStr">
        <is>
          <t>A 47648-2022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46239</v>
      </c>
      <c r="F73" t="inlineStr">
        <is>
          <t>SÖDERMANLANDS LÄN</t>
        </is>
      </c>
      <c r="G73" t="inlineStr">
        <is>
          <t>ESKILSTUNA</t>
        </is>
      </c>
      <c r="I73" t="n">
        <v>1.8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Grönsångare</t>
        </is>
      </c>
      <c r="W73">
        <f>HYPERLINK("https://klasma.github.io/Logging_0484/artfynd/A 47648-2022 artfynd.xlsx", "A 47648-2022")</f>
        <v/>
      </c>
      <c r="X73">
        <f>HYPERLINK("https://klasma.github.io/Logging_0484/kartor/A 47648-2022 karta.png", "A 47648-2022")</f>
        <v/>
      </c>
      <c r="Y73">
        <f>HYPERLINK("https://klasma.github.io/Logging_0484/kartor_geotiff/A 47648-2022 georefererad karta.tif", "A 47648-2022")</f>
        <v/>
      </c>
      <c r="AA73">
        <f>HYPERLINK("https://klasma.github.io/Logging_0484/klagomål/A 47648-2022 FSC-klagomål.docx", "A 47648-2022")</f>
        <v/>
      </c>
      <c r="AB73">
        <f>HYPERLINK("https://klasma.github.io/Logging_0484/klagomålsmail/A 47648-2022 FSC-klagomål mail.docx", "A 47648-2022")</f>
        <v/>
      </c>
      <c r="AC73">
        <f>HYPERLINK("https://klasma.github.io/Logging_0484/tillsyn/A 47648-2022 tillsynsbegäran.docx", "A 47648-2022")</f>
        <v/>
      </c>
      <c r="AD73">
        <f>HYPERLINK("https://klasma.github.io/Logging_0484/tillsynsmail/A 47648-2022 tillsynsbegäran mail.docx", "A 47648-2022")</f>
        <v/>
      </c>
      <c r="AE73">
        <f>HYPERLINK("https://klasma.github.io/Logging_0484/fåglar/A 47648-2022 prioriterade fågelarter.docx", "A 47648-2022")</f>
        <v/>
      </c>
    </row>
    <row r="74" ht="15" customHeight="1">
      <c r="A74" t="inlineStr">
        <is>
          <t>A 23637-2023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45077</v>
      </c>
      <c r="E74" s="1" t="n">
        <v>46239</v>
      </c>
      <c r="F74" t="inlineStr">
        <is>
          <t>SÖDERMANLANDS LÄN</t>
        </is>
      </c>
      <c r="G74" t="inlineStr">
        <is>
          <t>ESKILSTUNA</t>
        </is>
      </c>
      <c r="I74" t="n">
        <v>15.8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Violett fingersvamp</t>
        </is>
      </c>
      <c r="W74">
        <f>HYPERLINK("https://klasma.github.io/Logging_0484/artfynd/A 23637-2023 artfynd.xlsx", "A 23637-2023")</f>
        <v/>
      </c>
      <c r="X74">
        <f>HYPERLINK("https://klasma.github.io/Logging_0484/kartor/A 23637-2023 karta.png", "A 23637-2023")</f>
        <v/>
      </c>
      <c r="Y74">
        <f>HYPERLINK("https://klasma.github.io/Logging_0484/kartor_geotiff/A 23637-2023 georefererad karta.tif", "A 23637-2023")</f>
        <v/>
      </c>
      <c r="AA74">
        <f>HYPERLINK("https://klasma.github.io/Logging_0484/klagomål/A 23637-2023 FSC-klagomål.docx", "A 23637-2023")</f>
        <v/>
      </c>
      <c r="AB74">
        <f>HYPERLINK("https://klasma.github.io/Logging_0484/klagomålsmail/A 23637-2023 FSC-klagomål mail.docx", "A 23637-2023")</f>
        <v/>
      </c>
      <c r="AC74">
        <f>HYPERLINK("https://klasma.github.io/Logging_0484/tillsyn/A 23637-2023 tillsynsbegäran.docx", "A 23637-2023")</f>
        <v/>
      </c>
      <c r="AD74">
        <f>HYPERLINK("https://klasma.github.io/Logging_0484/tillsynsmail/A 23637-2023 tillsynsbegäran mail.docx", "A 23637-2023")</f>
        <v/>
      </c>
    </row>
    <row r="75" ht="15" customHeight="1">
      <c r="A75" t="inlineStr">
        <is>
          <t>A 14327-2023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45012</v>
      </c>
      <c r="E75" s="1" t="n">
        <v>46239</v>
      </c>
      <c r="F75" t="inlineStr">
        <is>
          <t>SÖDERMANLANDS LÄN</t>
        </is>
      </c>
      <c r="G75" t="inlineStr">
        <is>
          <t>ESKILSTUNA</t>
        </is>
      </c>
      <c r="H75" t="inlineStr">
        <is>
          <t>Kommuner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Mattlummer</t>
        </is>
      </c>
      <c r="W75">
        <f>HYPERLINK("https://klasma.github.io/Logging_0484/artfynd/A 14327-2023 artfynd.xlsx", "A 14327-2023")</f>
        <v/>
      </c>
      <c r="X75">
        <f>HYPERLINK("https://klasma.github.io/Logging_0484/kartor/A 14327-2023 karta.png", "A 14327-2023")</f>
        <v/>
      </c>
      <c r="Y75">
        <f>HYPERLINK("https://klasma.github.io/Logging_0484/kartor_geotiff/A 14327-2023 georefererad karta.tif", "A 14327-2023")</f>
        <v/>
      </c>
      <c r="AA75">
        <f>HYPERLINK("https://klasma.github.io/Logging_0484/klagomål/A 14327-2023 FSC-klagomål.docx", "A 14327-2023")</f>
        <v/>
      </c>
      <c r="AB75">
        <f>HYPERLINK("https://klasma.github.io/Logging_0484/klagomålsmail/A 14327-2023 FSC-klagomål mail.docx", "A 14327-2023")</f>
        <v/>
      </c>
      <c r="AC75">
        <f>HYPERLINK("https://klasma.github.io/Logging_0484/tillsyn/A 14327-2023 tillsynsbegäran.docx", "A 14327-2023")</f>
        <v/>
      </c>
      <c r="AD75">
        <f>HYPERLINK("https://klasma.github.io/Logging_0484/tillsynsmail/A 14327-2023 tillsynsbegäran mail.docx", "A 14327-2023")</f>
        <v/>
      </c>
    </row>
    <row r="76" ht="15" customHeight="1">
      <c r="A76" t="inlineStr">
        <is>
          <t>A 5203-2025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45691</v>
      </c>
      <c r="E76" s="1" t="n">
        <v>46239</v>
      </c>
      <c r="F76" t="inlineStr">
        <is>
          <t>SÖDERMANLANDS LÄN</t>
        </is>
      </c>
      <c r="G76" t="inlineStr">
        <is>
          <t>ESKILSTUNA</t>
        </is>
      </c>
      <c r="H76" t="inlineStr">
        <is>
          <t>Holmen skog AB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HYPERLINK("https://klasma.github.io/Logging_0484/artfynd/A 5203-2025 artfynd.xlsx", "A 5203-2025")</f>
        <v/>
      </c>
      <c r="X76">
        <f>HYPERLINK("https://klasma.github.io/Logging_0484/kartor/A 5203-2025 karta.png", "A 5203-2025")</f>
        <v/>
      </c>
      <c r="Y76">
        <f>HYPERLINK("https://klasma.github.io/Logging_0484/kartor_geotiff/A 5203-2025 georefererad karta.tif", "A 5203-2025")</f>
        <v/>
      </c>
      <c r="AA76">
        <f>HYPERLINK("https://klasma.github.io/Logging_0484/klagomål/A 5203-2025 FSC-klagomål.docx", "A 5203-2025")</f>
        <v/>
      </c>
      <c r="AB76">
        <f>HYPERLINK("https://klasma.github.io/Logging_0484/klagomålsmail/A 5203-2025 FSC-klagomål mail.docx", "A 5203-2025")</f>
        <v/>
      </c>
      <c r="AC76">
        <f>HYPERLINK("https://klasma.github.io/Logging_0484/tillsyn/A 5203-2025 tillsynsbegäran.docx", "A 5203-2025")</f>
        <v/>
      </c>
      <c r="AD76">
        <f>HYPERLINK("https://klasma.github.io/Logging_0484/tillsynsmail/A 5203-2025 tillsynsbegäran mail.docx", "A 5203-2025")</f>
        <v/>
      </c>
      <c r="AE76">
        <f>HYPERLINK("https://klasma.github.io/Logging_0484/fåglar/A 5203-2025 prioriterade fågelarter.docx", "A 5203-2025")</f>
        <v/>
      </c>
    </row>
    <row r="77" ht="15" customHeight="1">
      <c r="A77" t="inlineStr">
        <is>
          <t>A 52840-2025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46239</v>
      </c>
      <c r="F77" t="inlineStr">
        <is>
          <t>SÖDERMANLANDS LÄN</t>
        </is>
      </c>
      <c r="G77" t="inlineStr">
        <is>
          <t>ESKILSTUNA</t>
        </is>
      </c>
      <c r="I77" t="n">
        <v>1.3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Skrovlig taggsvamp</t>
        </is>
      </c>
      <c r="W77">
        <f>HYPERLINK("https://klasma.github.io/Logging_0484/artfynd/A 52840-2025 artfynd.xlsx", "A 52840-2025")</f>
        <v/>
      </c>
      <c r="X77">
        <f>HYPERLINK("https://klasma.github.io/Logging_0484/kartor/A 52840-2025 karta.png", "A 52840-2025")</f>
        <v/>
      </c>
      <c r="Y77">
        <f>HYPERLINK("https://klasma.github.io/Logging_0484/kartor_geotiff/A 52840-2025 georefererad karta.tif", "A 52840-2025")</f>
        <v/>
      </c>
      <c r="AA77">
        <f>HYPERLINK("https://klasma.github.io/Logging_0484/klagomål/A 52840-2025 FSC-klagomål.docx", "A 52840-2025")</f>
        <v/>
      </c>
      <c r="AB77">
        <f>HYPERLINK("https://klasma.github.io/Logging_0484/klagomålsmail/A 52840-2025 FSC-klagomål mail.docx", "A 52840-2025")</f>
        <v/>
      </c>
      <c r="AC77">
        <f>HYPERLINK("https://klasma.github.io/Logging_0484/tillsyn/A 52840-2025 tillsynsbegäran.docx", "A 52840-2025")</f>
        <v/>
      </c>
      <c r="AD77">
        <f>HYPERLINK("https://klasma.github.io/Logging_0484/tillsynsmail/A 52840-2025 tillsynsbegäran mail.docx", "A 52840-2025")</f>
        <v/>
      </c>
    </row>
    <row r="78" ht="15" customHeight="1">
      <c r="A78" t="inlineStr">
        <is>
          <t>A 2512-2025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46239</v>
      </c>
      <c r="F78" t="inlineStr">
        <is>
          <t>SÖDERMANLANDS LÄN</t>
        </is>
      </c>
      <c r="G78" t="inlineStr">
        <is>
          <t>ESKILSTUNA</t>
        </is>
      </c>
      <c r="I78" t="n">
        <v>3.9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trolldruva</t>
        </is>
      </c>
      <c r="W78">
        <f>HYPERLINK("https://klasma.github.io/Logging_0484/artfynd/A 2512-2025 artfynd.xlsx", "A 2512-2025")</f>
        <v/>
      </c>
      <c r="X78">
        <f>HYPERLINK("https://klasma.github.io/Logging_0484/kartor/A 2512-2025 karta.png", "A 2512-2025")</f>
        <v/>
      </c>
      <c r="Y78">
        <f>HYPERLINK("https://klasma.github.io/Logging_0484/kartor_geotiff/A 2512-2025 georefererad karta.tif", "A 2512-2025")</f>
        <v/>
      </c>
      <c r="AA78">
        <f>HYPERLINK("https://klasma.github.io/Logging_0484/klagomål/A 2512-2025 FSC-klagomål.docx", "A 2512-2025")</f>
        <v/>
      </c>
      <c r="AB78">
        <f>HYPERLINK("https://klasma.github.io/Logging_0484/klagomålsmail/A 2512-2025 FSC-klagomål mail.docx", "A 2512-2025")</f>
        <v/>
      </c>
      <c r="AC78">
        <f>HYPERLINK("https://klasma.github.io/Logging_0484/tillsyn/A 2512-2025 tillsynsbegäran.docx", "A 2512-2025")</f>
        <v/>
      </c>
      <c r="AD78">
        <f>HYPERLINK("https://klasma.github.io/Logging_0484/tillsynsmail/A 2512-2025 tillsynsbegäran mail.docx", "A 2512-2025")</f>
        <v/>
      </c>
    </row>
    <row r="79" ht="15" customHeight="1">
      <c r="A79" t="inlineStr">
        <is>
          <t>A 29047-2026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46199</v>
      </c>
      <c r="E79" s="1" t="n">
        <v>46239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HYPERLINK("https://klasma.github.io/Logging_0484/artfynd/A 29047-2026 artfynd.xlsx", "A 29047-2026")</f>
        <v/>
      </c>
      <c r="X79">
        <f>HYPERLINK("https://klasma.github.io/Logging_0484/kartor/A 29047-2026 karta.png", "A 29047-2026")</f>
        <v/>
      </c>
      <c r="Y79">
        <f>HYPERLINK("https://klasma.github.io/Logging_0484/kartor_geotiff/A 29047-2026 georefererad karta.tif", "A 29047-2026")</f>
        <v/>
      </c>
      <c r="AA79">
        <f>HYPERLINK("https://klasma.github.io/Logging_0484/klagomål/A 29047-2026 FSC-klagomål.docx", "A 29047-2026")</f>
        <v/>
      </c>
      <c r="AB79">
        <f>HYPERLINK("https://klasma.github.io/Logging_0484/klagomålsmail/A 29047-2026 FSC-klagomål mail.docx", "A 29047-2026")</f>
        <v/>
      </c>
      <c r="AC79">
        <f>HYPERLINK("https://klasma.github.io/Logging_0484/tillsyn/A 29047-2026 tillsynsbegäran.docx", "A 29047-2026")</f>
        <v/>
      </c>
      <c r="AD79">
        <f>HYPERLINK("https://klasma.github.io/Logging_0484/tillsynsmail/A 29047-2026 tillsynsbegäran mail.docx", "A 29047-2026")</f>
        <v/>
      </c>
    </row>
    <row r="80" ht="15" customHeight="1">
      <c r="A80" t="inlineStr">
        <is>
          <t>A 26148-2022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46239</v>
      </c>
      <c r="F80" t="inlineStr">
        <is>
          <t>SÖDERMANLANDS LÄN</t>
        </is>
      </c>
      <c r="G80" t="inlineStr">
        <is>
          <t>ESKILSTUNA</t>
        </is>
      </c>
      <c r="I80" t="n">
        <v>3.3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Rödvingetrast</t>
        </is>
      </c>
      <c r="W80">
        <f>HYPERLINK("https://klasma.github.io/Logging_0484/artfynd/A 26148-2022 artfynd.xlsx", "A 26148-2022")</f>
        <v/>
      </c>
      <c r="X80">
        <f>HYPERLINK("https://klasma.github.io/Logging_0484/kartor/A 26148-2022 karta.png", "A 26148-2022")</f>
        <v/>
      </c>
      <c r="Y80">
        <f>HYPERLINK("https://klasma.github.io/Logging_0484/kartor_geotiff/A 26148-2022 georefererad karta.tif", "A 26148-2022")</f>
        <v/>
      </c>
      <c r="AA80">
        <f>HYPERLINK("https://klasma.github.io/Logging_0484/klagomål/A 26148-2022 FSC-klagomål.docx", "A 26148-2022")</f>
        <v/>
      </c>
      <c r="AB80">
        <f>HYPERLINK("https://klasma.github.io/Logging_0484/klagomålsmail/A 26148-2022 FSC-klagomål mail.docx", "A 26148-2022")</f>
        <v/>
      </c>
      <c r="AC80">
        <f>HYPERLINK("https://klasma.github.io/Logging_0484/tillsyn/A 26148-2022 tillsynsbegäran.docx", "A 26148-2022")</f>
        <v/>
      </c>
      <c r="AD80">
        <f>HYPERLINK("https://klasma.github.io/Logging_0484/tillsynsmail/A 26148-2022 tillsynsbegäran mail.docx", "A 26148-2022")</f>
        <v/>
      </c>
      <c r="AE80">
        <f>HYPERLINK("https://klasma.github.io/Logging_0484/fåglar/A 26148-2022 prioriterade fågelarter.docx", "A 26148-2022")</f>
        <v/>
      </c>
    </row>
    <row r="81" ht="15" customHeight="1">
      <c r="A81" t="inlineStr">
        <is>
          <t>A 26097-2026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46239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HYPERLINK("https://klasma.github.io/Logging_0484/artfynd/A 26097-2026 artfynd.xlsx", "A 26097-2026")</f>
        <v/>
      </c>
      <c r="X81">
        <f>HYPERLINK("https://klasma.github.io/Logging_0484/kartor/A 26097-2026 karta.png", "A 26097-2026")</f>
        <v/>
      </c>
      <c r="Y81">
        <f>HYPERLINK("https://klasma.github.io/Logging_0484/kartor_geotiff/A 26097-2026 georefererad karta.tif", "A 26097-2026")</f>
        <v/>
      </c>
      <c r="AA81">
        <f>HYPERLINK("https://klasma.github.io/Logging_0484/klagomål/A 26097-2026 FSC-klagomål.docx", "A 26097-2026")</f>
        <v/>
      </c>
      <c r="AB81">
        <f>HYPERLINK("https://klasma.github.io/Logging_0484/klagomålsmail/A 26097-2026 FSC-klagomål mail.docx", "A 26097-2026")</f>
        <v/>
      </c>
      <c r="AC81">
        <f>HYPERLINK("https://klasma.github.io/Logging_0484/tillsyn/A 26097-2026 tillsynsbegäran.docx", "A 26097-2026")</f>
        <v/>
      </c>
      <c r="AD81">
        <f>HYPERLINK("https://klasma.github.io/Logging_0484/tillsynsmail/A 26097-2026 tillsynsbegäran mail.docx", "A 26097-2026")</f>
        <v/>
      </c>
    </row>
    <row r="82" ht="15" customHeight="1">
      <c r="A82" t="inlineStr">
        <is>
          <t>A 26008-2026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46239</v>
      </c>
      <c r="F82" t="inlineStr">
        <is>
          <t>SÖDERMANLANDS LÄN</t>
        </is>
      </c>
      <c r="G82" t="inlineStr">
        <is>
          <t>ESKILSTUNA</t>
        </is>
      </c>
      <c r="I82" t="n">
        <v>2.8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8</v>
      </c>
      <c r="U82" t="n">
        <v>0</v>
      </c>
      <c r="V82" s="2" t="inlineStr">
        <is>
          <t>Svart trolldruva</t>
        </is>
      </c>
      <c r="W82">
        <f>HYPERLINK("https://klasma.github.io/Logging_0484/artfynd/A 26008-2026 artfynd.xlsx", "A 26008-2026")</f>
        <v/>
      </c>
      <c r="X82">
        <f>HYPERLINK("https://klasma.github.io/Logging_0484/kartor/A 26008-2026 karta.png", "A 26008-2026")</f>
        <v/>
      </c>
      <c r="Y82">
        <f>HYPERLINK("https://klasma.github.io/Logging_0484/kartor_geotiff/A 26008-2026 georefererad karta.tif", "A 26008-2026")</f>
        <v/>
      </c>
      <c r="AA82">
        <f>HYPERLINK("https://klasma.github.io/Logging_0484/klagomål/A 26008-2026 FSC-klagomål.docx", "A 26008-2026")</f>
        <v/>
      </c>
      <c r="AB82">
        <f>HYPERLINK("https://klasma.github.io/Logging_0484/klagomålsmail/A 26008-2026 FSC-klagomål mail.docx", "A 26008-2026")</f>
        <v/>
      </c>
      <c r="AC82">
        <f>HYPERLINK("https://klasma.github.io/Logging_0484/tillsyn/A 26008-2026 tillsynsbegäran.docx", "A 26008-2026")</f>
        <v/>
      </c>
      <c r="AD82">
        <f>HYPERLINK("https://klasma.github.io/Logging_0484/tillsynsmail/A 26008-2026 tillsynsbegäran mail.docx", "A 26008-2026")</f>
        <v/>
      </c>
    </row>
    <row r="83" ht="15" customHeight="1">
      <c r="A83" t="inlineStr">
        <is>
          <t>A 26094-2026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46239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HYPERLINK("https://klasma.github.io/Logging_0484/artfynd/A 26094-2026 artfynd.xlsx", "A 26094-2026")</f>
        <v/>
      </c>
      <c r="X83">
        <f>HYPERLINK("https://klasma.github.io/Logging_0484/kartor/A 26094-2026 karta.png", "A 26094-2026")</f>
        <v/>
      </c>
      <c r="Y83">
        <f>HYPERLINK("https://klasma.github.io/Logging_0484/kartor_geotiff/A 26094-2026 georefererad karta.tif", "A 26094-2026")</f>
        <v/>
      </c>
      <c r="AA83">
        <f>HYPERLINK("https://klasma.github.io/Logging_0484/klagomål/A 26094-2026 FSC-klagomål.docx", "A 26094-2026")</f>
        <v/>
      </c>
      <c r="AB83">
        <f>HYPERLINK("https://klasma.github.io/Logging_0484/klagomålsmail/A 26094-2026 FSC-klagomål mail.docx", "A 26094-2026")</f>
        <v/>
      </c>
      <c r="AC83">
        <f>HYPERLINK("https://klasma.github.io/Logging_0484/tillsyn/A 26094-2026 tillsynsbegäran.docx", "A 26094-2026")</f>
        <v/>
      </c>
      <c r="AD83">
        <f>HYPERLINK("https://klasma.github.io/Logging_0484/tillsynsmail/A 26094-2026 tillsynsbegäran mail.docx", "A 26094-2026")</f>
        <v/>
      </c>
      <c r="AE83">
        <f>HYPERLINK("https://klasma.github.io/Logging_0484/fåglar/A 26094-2026 prioriterade fågelarter.docx", "A 26094-2026")</f>
        <v/>
      </c>
    </row>
    <row r="84" ht="15" customHeight="1">
      <c r="A84" t="inlineStr">
        <is>
          <t>A 59070-2022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44904</v>
      </c>
      <c r="E84" s="1" t="n">
        <v>46239</v>
      </c>
      <c r="F84" t="inlineStr">
        <is>
          <t>SÖDERMANLANDS LÄN</t>
        </is>
      </c>
      <c r="G84" t="inlineStr">
        <is>
          <t>ESKILSTUNA</t>
        </is>
      </c>
      <c r="I84" t="n">
        <v>6.6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Igelkott</t>
        </is>
      </c>
      <c r="W84">
        <f>HYPERLINK("https://klasma.github.io/Logging_0484/artfynd/A 59070-2022 artfynd.xlsx", "A 59070-2022")</f>
        <v/>
      </c>
      <c r="X84">
        <f>HYPERLINK("https://klasma.github.io/Logging_0484/kartor/A 59070-2022 karta.png", "A 59070-2022")</f>
        <v/>
      </c>
      <c r="Y84">
        <f>HYPERLINK("https://klasma.github.io/Logging_0484/kartor_geotiff/A 59070-2022 georefererad karta.tif", "A 59070-2022")</f>
        <v/>
      </c>
      <c r="AA84">
        <f>HYPERLINK("https://klasma.github.io/Logging_0484/klagomål/A 59070-2022 FSC-klagomål.docx", "A 59070-2022")</f>
        <v/>
      </c>
      <c r="AB84">
        <f>HYPERLINK("https://klasma.github.io/Logging_0484/klagomålsmail/A 59070-2022 FSC-klagomål mail.docx", "A 59070-2022")</f>
        <v/>
      </c>
      <c r="AC84">
        <f>HYPERLINK("https://klasma.github.io/Logging_0484/tillsyn/A 59070-2022 tillsynsbegäran.docx", "A 59070-2022")</f>
        <v/>
      </c>
      <c r="AD84">
        <f>HYPERLINK("https://klasma.github.io/Logging_0484/tillsynsmail/A 59070-2022 tillsynsbegäran mail.docx", "A 59070-2022")</f>
        <v/>
      </c>
    </row>
    <row r="85" ht="15" customHeight="1">
      <c r="A85" t="inlineStr">
        <is>
          <t>A 8518-2026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46065</v>
      </c>
      <c r="E85" s="1" t="n">
        <v>46239</v>
      </c>
      <c r="F85" t="inlineStr">
        <is>
          <t>SÖDERMANLANDS LÄN</t>
        </is>
      </c>
      <c r="G85" t="inlineStr">
        <is>
          <t>ESKILSTUNA</t>
        </is>
      </c>
      <c r="I85" t="n">
        <v>8.9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HYPERLINK("https://klasma.github.io/Logging_0484/artfynd/A 8518-2026 artfynd.xlsx", "A 8518-2026")</f>
        <v/>
      </c>
      <c r="X85">
        <f>HYPERLINK("https://klasma.github.io/Logging_0484/kartor/A 8518-2026 karta.png", "A 8518-2026")</f>
        <v/>
      </c>
      <c r="Y85">
        <f>HYPERLINK("https://klasma.github.io/Logging_0484/kartor_geotiff/A 8518-2026 georefererad karta.tif", "A 8518-2026")</f>
        <v/>
      </c>
      <c r="AA85">
        <f>HYPERLINK("https://klasma.github.io/Logging_0484/klagomål/A 8518-2026 FSC-klagomål.docx", "A 8518-2026")</f>
        <v/>
      </c>
      <c r="AB85">
        <f>HYPERLINK("https://klasma.github.io/Logging_0484/klagomålsmail/A 8518-2026 FSC-klagomål mail.docx", "A 8518-2026")</f>
        <v/>
      </c>
      <c r="AC85">
        <f>HYPERLINK("https://klasma.github.io/Logging_0484/tillsyn/A 8518-2026 tillsynsbegäran.docx", "A 8518-2026")</f>
        <v/>
      </c>
      <c r="AD85">
        <f>HYPERLINK("https://klasma.github.io/Logging_0484/tillsynsmail/A 8518-2026 tillsynsbegäran mail.docx", "A 8518-2026")</f>
        <v/>
      </c>
    </row>
    <row r="86" ht="15" customHeight="1">
      <c r="A86" t="inlineStr">
        <is>
          <t>A 27892-2026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46239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Nattviol</t>
        </is>
      </c>
      <c r="W86">
        <f>HYPERLINK("https://klasma.github.io/Logging_0484/artfynd/A 27892-2026 artfynd.xlsx", "A 27892-2026")</f>
        <v/>
      </c>
      <c r="X86">
        <f>HYPERLINK("https://klasma.github.io/Logging_0484/kartor/A 27892-2026 karta.png", "A 27892-2026")</f>
        <v/>
      </c>
      <c r="Y86">
        <f>HYPERLINK("https://klasma.github.io/Logging_0484/kartor_geotiff/A 27892-2026 georefererad karta.tif", "A 27892-2026")</f>
        <v/>
      </c>
      <c r="AA86">
        <f>HYPERLINK("https://klasma.github.io/Logging_0484/klagomål/A 27892-2026 FSC-klagomål.docx", "A 27892-2026")</f>
        <v/>
      </c>
      <c r="AB86">
        <f>HYPERLINK("https://klasma.github.io/Logging_0484/klagomålsmail/A 27892-2026 FSC-klagomål mail.docx", "A 27892-2026")</f>
        <v/>
      </c>
      <c r="AC86">
        <f>HYPERLINK("https://klasma.github.io/Logging_0484/tillsyn/A 27892-2026 tillsynsbegäran.docx", "A 27892-2026")</f>
        <v/>
      </c>
      <c r="AD86">
        <f>HYPERLINK("https://klasma.github.io/Logging_0484/tillsynsmail/A 27892-2026 tillsynsbegäran mail.docx", "A 27892-2026")</f>
        <v/>
      </c>
    </row>
    <row r="87" ht="15" customHeight="1">
      <c r="A87" t="inlineStr">
        <is>
          <t>A 57349-2021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44483</v>
      </c>
      <c r="E87" s="1" t="n">
        <v>46239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HYPERLINK("https://klasma.github.io/Logging_0484/artfynd/A 57349-2021 artfynd.xlsx", "A 57349-2021")</f>
        <v/>
      </c>
      <c r="X87">
        <f>HYPERLINK("https://klasma.github.io/Logging_0484/kartor/A 57349-2021 karta.png", "A 57349-2021")</f>
        <v/>
      </c>
      <c r="Y87">
        <f>HYPERLINK("https://klasma.github.io/Logging_0484/kartor_geotiff/A 57349-2021 georefererad karta.tif", "A 57349-2021")</f>
        <v/>
      </c>
      <c r="AA87">
        <f>HYPERLINK("https://klasma.github.io/Logging_0484/klagomål/A 57349-2021 FSC-klagomål.docx", "A 57349-2021")</f>
        <v/>
      </c>
      <c r="AB87">
        <f>HYPERLINK("https://klasma.github.io/Logging_0484/klagomålsmail/A 57349-2021 FSC-klagomål mail.docx", "A 57349-2021")</f>
        <v/>
      </c>
      <c r="AC87">
        <f>HYPERLINK("https://klasma.github.io/Logging_0484/tillsyn/A 57349-2021 tillsynsbegäran.docx", "A 57349-2021")</f>
        <v/>
      </c>
      <c r="AD87">
        <f>HYPERLINK("https://klasma.github.io/Logging_0484/tillsynsmail/A 57349-2021 tillsynsbegäran mail.docx", "A 57349-2021")</f>
        <v/>
      </c>
    </row>
    <row r="88" ht="15" customHeight="1">
      <c r="A88" t="inlineStr">
        <is>
          <t>A 15608-2026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46239</v>
      </c>
      <c r="F88" t="inlineStr">
        <is>
          <t>SÖDERMANLANDS LÄN</t>
        </is>
      </c>
      <c r="G88" t="inlineStr">
        <is>
          <t>ESKILSTUNA</t>
        </is>
      </c>
      <c r="I88" t="n">
        <v>9.6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Igelkott</t>
        </is>
      </c>
      <c r="W88">
        <f>HYPERLINK("https://klasma.github.io/Logging_0484/artfynd/A 15608-2026 artfynd.xlsx", "A 15608-2026")</f>
        <v/>
      </c>
      <c r="X88">
        <f>HYPERLINK("https://klasma.github.io/Logging_0484/kartor/A 15608-2026 karta.png", "A 15608-2026")</f>
        <v/>
      </c>
      <c r="Y88">
        <f>HYPERLINK("https://klasma.github.io/Logging_0484/kartor_geotiff/A 15608-2026 georefererad karta.tif", "A 15608-2026")</f>
        <v/>
      </c>
      <c r="AA88">
        <f>HYPERLINK("https://klasma.github.io/Logging_0484/klagomål/A 15608-2026 FSC-klagomål.docx", "A 15608-2026")</f>
        <v/>
      </c>
      <c r="AB88">
        <f>HYPERLINK("https://klasma.github.io/Logging_0484/klagomålsmail/A 15608-2026 FSC-klagomål mail.docx", "A 15608-2026")</f>
        <v/>
      </c>
      <c r="AC88">
        <f>HYPERLINK("https://klasma.github.io/Logging_0484/tillsyn/A 15608-2026 tillsynsbegäran.docx", "A 15608-2026")</f>
        <v/>
      </c>
      <c r="AD88">
        <f>HYPERLINK("https://klasma.github.io/Logging_0484/tillsynsmail/A 15608-2026 tillsynsbegäran mail.docx", "A 15608-2026")</f>
        <v/>
      </c>
    </row>
    <row r="89" ht="15" customHeight="1">
      <c r="A89" t="inlineStr">
        <is>
          <t>A 9645-2023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44984</v>
      </c>
      <c r="E89" s="1" t="n">
        <v>46239</v>
      </c>
      <c r="F89" t="inlineStr">
        <is>
          <t>SÖDERMANLANDS LÄN</t>
        </is>
      </c>
      <c r="G89" t="inlineStr">
        <is>
          <t>ESKILSTUNA</t>
        </is>
      </c>
      <c r="I89" t="n">
        <v>2.3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Skogsduva</t>
        </is>
      </c>
      <c r="W89">
        <f>HYPERLINK("https://klasma.github.io/Logging_0484/artfynd/A 9645-2023 artfynd.xlsx", "A 9645-2023")</f>
        <v/>
      </c>
      <c r="X89">
        <f>HYPERLINK("https://klasma.github.io/Logging_0484/kartor/A 9645-2023 karta.png", "A 9645-2023")</f>
        <v/>
      </c>
      <c r="Y89">
        <f>HYPERLINK("https://klasma.github.io/Logging_0484/kartor_geotiff/A 9645-2023 georefererad karta.tif", "A 9645-2023")</f>
        <v/>
      </c>
      <c r="AA89">
        <f>HYPERLINK("https://klasma.github.io/Logging_0484/klagomål/A 9645-2023 FSC-klagomål.docx", "A 9645-2023")</f>
        <v/>
      </c>
      <c r="AB89">
        <f>HYPERLINK("https://klasma.github.io/Logging_0484/klagomålsmail/A 9645-2023 FSC-klagomål mail.docx", "A 9645-2023")</f>
        <v/>
      </c>
      <c r="AC89">
        <f>HYPERLINK("https://klasma.github.io/Logging_0484/tillsyn/A 9645-2023 tillsynsbegäran.docx", "A 9645-2023")</f>
        <v/>
      </c>
      <c r="AD89">
        <f>HYPERLINK("https://klasma.github.io/Logging_0484/tillsynsmail/A 9645-2023 tillsynsbegäran mail.docx", "A 9645-2023")</f>
        <v/>
      </c>
    </row>
    <row r="90" ht="15" customHeight="1">
      <c r="A90" t="inlineStr">
        <is>
          <t>A 68018-2021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46239</v>
      </c>
      <c r="F90" t="inlineStr">
        <is>
          <t>SÖDERMANLANDS LÄN</t>
        </is>
      </c>
      <c r="G90" t="inlineStr">
        <is>
          <t>ESKILSTUNA</t>
        </is>
      </c>
      <c r="I90" t="n">
        <v>0.8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Motaggsvamp</t>
        </is>
      </c>
      <c r="W90">
        <f>HYPERLINK("https://klasma.github.io/Logging_0484/artfynd/A 68018-2021 artfynd.xlsx", "A 68018-2021")</f>
        <v/>
      </c>
      <c r="X90">
        <f>HYPERLINK("https://klasma.github.io/Logging_0484/kartor/A 68018-2021 karta.png", "A 68018-2021")</f>
        <v/>
      </c>
      <c r="Y90">
        <f>HYPERLINK("https://klasma.github.io/Logging_0484/kartor_geotiff/A 68018-2021 georefererad karta.tif", "A 68018-2021")</f>
        <v/>
      </c>
      <c r="AA90">
        <f>HYPERLINK("https://klasma.github.io/Logging_0484/klagomål/A 68018-2021 FSC-klagomål.docx", "A 68018-2021")</f>
        <v/>
      </c>
      <c r="AB90">
        <f>HYPERLINK("https://klasma.github.io/Logging_0484/klagomålsmail/A 68018-2021 FSC-klagomål mail.docx", "A 68018-2021")</f>
        <v/>
      </c>
      <c r="AC90">
        <f>HYPERLINK("https://klasma.github.io/Logging_0484/tillsyn/A 68018-2021 tillsynsbegäran.docx", "A 68018-2021")</f>
        <v/>
      </c>
      <c r="AD90">
        <f>HYPERLINK("https://klasma.github.io/Logging_0484/tillsynsmail/A 68018-2021 tillsynsbegäran mail.docx", "A 68018-2021")</f>
        <v/>
      </c>
    </row>
    <row r="91" ht="15" customHeight="1">
      <c r="A91" t="inlineStr">
        <is>
          <t>A 51345-2024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45603</v>
      </c>
      <c r="E91" s="1" t="n">
        <v>46239</v>
      </c>
      <c r="F91" t="inlineStr">
        <is>
          <t>SÖDERMANLANDS LÄN</t>
        </is>
      </c>
      <c r="G91" t="inlineStr">
        <is>
          <t>ESKILSTUNA</t>
        </is>
      </c>
      <c r="I91" t="n">
        <v>4.9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HYPERLINK("https://klasma.github.io/Logging_0484/artfynd/A 51345-2024 artfynd.xlsx", "A 51345-2024")</f>
        <v/>
      </c>
      <c r="X91">
        <f>HYPERLINK("https://klasma.github.io/Logging_0484/kartor/A 51345-2024 karta.png", "A 51345-2024")</f>
        <v/>
      </c>
      <c r="Y91">
        <f>HYPERLINK("https://klasma.github.io/Logging_0484/kartor_geotiff/A 51345-2024 georefererad karta.tif", "A 51345-2024")</f>
        <v/>
      </c>
      <c r="AA91">
        <f>HYPERLINK("https://klasma.github.io/Logging_0484/klagomål/A 51345-2024 FSC-klagomål.docx", "A 51345-2024")</f>
        <v/>
      </c>
      <c r="AB91">
        <f>HYPERLINK("https://klasma.github.io/Logging_0484/klagomålsmail/A 51345-2024 FSC-klagomål mail.docx", "A 51345-2024")</f>
        <v/>
      </c>
      <c r="AC91">
        <f>HYPERLINK("https://klasma.github.io/Logging_0484/tillsyn/A 51345-2024 tillsynsbegäran.docx", "A 51345-2024")</f>
        <v/>
      </c>
      <c r="AD91">
        <f>HYPERLINK("https://klasma.github.io/Logging_0484/tillsynsmail/A 51345-2024 tillsynsbegäran mail.docx", "A 51345-2024")</f>
        <v/>
      </c>
    </row>
    <row r="92" ht="15" customHeight="1">
      <c r="A92" t="inlineStr">
        <is>
          <t>A 29647-2023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46239</v>
      </c>
      <c r="F92" t="inlineStr">
        <is>
          <t>SÖDERMANLANDS LÄN</t>
        </is>
      </c>
      <c r="G92" t="inlineStr">
        <is>
          <t>ESKILSTUNA</t>
        </is>
      </c>
      <c r="H92" t="inlineStr">
        <is>
          <t>Allmännings- och besparingsskogar</t>
        </is>
      </c>
      <c r="I92" t="n">
        <v>0.9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Rödvingetrast</t>
        </is>
      </c>
      <c r="W92">
        <f>HYPERLINK("https://klasma.github.io/Logging_0484/artfynd/A 29647-2023 artfynd.xlsx", "A 29647-2023")</f>
        <v/>
      </c>
      <c r="X92">
        <f>HYPERLINK("https://klasma.github.io/Logging_0484/kartor/A 29647-2023 karta.png", "A 29647-2023")</f>
        <v/>
      </c>
      <c r="Y92">
        <f>HYPERLINK("https://klasma.github.io/Logging_0484/kartor_geotiff/A 29647-2023 georefererad karta.tif", "A 29647-2023")</f>
        <v/>
      </c>
      <c r="AA92">
        <f>HYPERLINK("https://klasma.github.io/Logging_0484/klagomål/A 29647-2023 FSC-klagomål.docx", "A 29647-2023")</f>
        <v/>
      </c>
      <c r="AB92">
        <f>HYPERLINK("https://klasma.github.io/Logging_0484/klagomålsmail/A 29647-2023 FSC-klagomål mail.docx", "A 29647-2023")</f>
        <v/>
      </c>
      <c r="AC92">
        <f>HYPERLINK("https://klasma.github.io/Logging_0484/tillsyn/A 29647-2023 tillsynsbegäran.docx", "A 29647-2023")</f>
        <v/>
      </c>
      <c r="AD92">
        <f>HYPERLINK("https://klasma.github.io/Logging_0484/tillsynsmail/A 29647-2023 tillsynsbegäran mail.docx", "A 29647-2023")</f>
        <v/>
      </c>
      <c r="AE92">
        <f>HYPERLINK("https://klasma.github.io/Logging_0484/fåglar/A 29647-2023 prioriterade fågelarter.docx", "A 29647-2023")</f>
        <v/>
      </c>
    </row>
    <row r="93" ht="15" customHeight="1">
      <c r="A93" t="inlineStr">
        <is>
          <t>A 30975-2023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46239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Bombmurkla</t>
        </is>
      </c>
      <c r="W93">
        <f>HYPERLINK("https://klasma.github.io/Logging_0484/artfynd/A 30975-2023 artfynd.xlsx", "A 30975-2023")</f>
        <v/>
      </c>
      <c r="X93">
        <f>HYPERLINK("https://klasma.github.io/Logging_0484/kartor/A 30975-2023 karta.png", "A 30975-2023")</f>
        <v/>
      </c>
      <c r="Y93">
        <f>HYPERLINK("https://klasma.github.io/Logging_0484/kartor_geotiff/A 30975-2023 georefererad karta.tif", "A 30975-2023")</f>
        <v/>
      </c>
      <c r="AA93">
        <f>HYPERLINK("https://klasma.github.io/Logging_0484/klagomål/A 30975-2023 FSC-klagomål.docx", "A 30975-2023")</f>
        <v/>
      </c>
      <c r="AB93">
        <f>HYPERLINK("https://klasma.github.io/Logging_0484/klagomålsmail/A 30975-2023 FSC-klagomål mail.docx", "A 30975-2023")</f>
        <v/>
      </c>
      <c r="AC93">
        <f>HYPERLINK("https://klasma.github.io/Logging_0484/tillsyn/A 30975-2023 tillsynsbegäran.docx", "A 30975-2023")</f>
        <v/>
      </c>
      <c r="AD93">
        <f>HYPERLINK("https://klasma.github.io/Logging_0484/tillsynsmail/A 30975-2023 tillsynsbegäran mail.docx", "A 30975-2023")</f>
        <v/>
      </c>
    </row>
    <row r="94" ht="15" customHeight="1">
      <c r="A94" t="inlineStr">
        <is>
          <t>A 35096-2022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46239</v>
      </c>
      <c r="F94" t="inlineStr">
        <is>
          <t>SÖDERMANLANDS LÄN</t>
        </is>
      </c>
      <c r="G94" t="inlineStr">
        <is>
          <t>ESKILSTUNA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46239</v>
      </c>
      <c r="F95" t="inlineStr">
        <is>
          <t>SÖDERMANLANDS LÄN</t>
        </is>
      </c>
      <c r="G95" t="inlineStr">
        <is>
          <t>ESKILSTUNA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46239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46239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46239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46239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46239</v>
      </c>
      <c r="F100" t="inlineStr">
        <is>
          <t>SÖDERMANLANDS LÄN</t>
        </is>
      </c>
      <c r="G100" t="inlineStr">
        <is>
          <t>ESKILSTUNA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46239</v>
      </c>
      <c r="F101" t="inlineStr">
        <is>
          <t>SÖDERMANLANDS LÄN</t>
        </is>
      </c>
      <c r="G101" t="inlineStr">
        <is>
          <t>ESKILSTUNA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46239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46239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46239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44763</v>
      </c>
      <c r="E105" s="1" t="n">
        <v>46239</v>
      </c>
      <c r="F105" t="inlineStr">
        <is>
          <t>SÖDERMANLANDS LÄN</t>
        </is>
      </c>
      <c r="G105" t="inlineStr">
        <is>
          <t>ESKILSTUNA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46239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Allmännings- och besparingsskogar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46239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46239</v>
      </c>
      <c r="F108" t="inlineStr">
        <is>
          <t>SÖDERMANLANDS LÄN</t>
        </is>
      </c>
      <c r="G108" t="inlineStr">
        <is>
          <t>ESKILSTUNA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46239</v>
      </c>
      <c r="F109" t="inlineStr">
        <is>
          <t>SÖDERMANLANDS LÄN</t>
        </is>
      </c>
      <c r="G109" t="inlineStr">
        <is>
          <t>ESKILSTUNA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46239</v>
      </c>
      <c r="F110" t="inlineStr">
        <is>
          <t>SÖDERMANLANDS LÄN</t>
        </is>
      </c>
      <c r="G110" t="inlineStr">
        <is>
          <t>ESKILSTUNA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46239</v>
      </c>
      <c r="F111" t="inlineStr">
        <is>
          <t>SÖDERMANLANDS LÄN</t>
        </is>
      </c>
      <c r="G111" t="inlineStr">
        <is>
          <t>ESKILSTUNA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44754</v>
      </c>
      <c r="E112" s="1" t="n">
        <v>46239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46239</v>
      </c>
      <c r="F113" t="inlineStr">
        <is>
          <t>SÖDERMANLANDS LÄN</t>
        </is>
      </c>
      <c r="G113" t="inlineStr">
        <is>
          <t>ESKILSTUNA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46239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Allmännings- och besparingsskogar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46239</v>
      </c>
      <c r="F115" t="inlineStr">
        <is>
          <t>SÖDERMANLANDS LÄN</t>
        </is>
      </c>
      <c r="G115" t="inlineStr">
        <is>
          <t>ESKILSTUNA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46239</v>
      </c>
      <c r="F116" t="inlineStr">
        <is>
          <t>SÖDERMANLANDS LÄN</t>
        </is>
      </c>
      <c r="G116" t="inlineStr">
        <is>
          <t>ESKILSTUNA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44628</v>
      </c>
      <c r="E117" s="1" t="n">
        <v>46239</v>
      </c>
      <c r="F117" t="inlineStr">
        <is>
          <t>SÖDERMANLANDS LÄN</t>
        </is>
      </c>
      <c r="G117" t="inlineStr">
        <is>
          <t>ESKILSTUNA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46239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46239</v>
      </c>
      <c r="F119" t="inlineStr">
        <is>
          <t>SÖDERMANLANDS LÄN</t>
        </is>
      </c>
      <c r="G119" t="inlineStr">
        <is>
          <t>ESKILSTUNA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46239</v>
      </c>
      <c r="F120" t="inlineStr">
        <is>
          <t>SÖDERMANLANDS LÄN</t>
        </is>
      </c>
      <c r="G120" t="inlineStr">
        <is>
          <t>ESKILSTUNA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46239</v>
      </c>
      <c r="F121" t="inlineStr">
        <is>
          <t>SÖDERMANLANDS LÄN</t>
        </is>
      </c>
      <c r="G121" t="inlineStr">
        <is>
          <t>ESKILSTUNA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44449</v>
      </c>
      <c r="E122" s="1" t="n">
        <v>46239</v>
      </c>
      <c r="F122" t="inlineStr">
        <is>
          <t>SÖDERMANLANDS LÄN</t>
        </is>
      </c>
      <c r="G122" t="inlineStr">
        <is>
          <t>ESKILSTUNA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46239</v>
      </c>
      <c r="F123" t="inlineStr">
        <is>
          <t>SÖDERMANLANDS LÄN</t>
        </is>
      </c>
      <c r="G123" t="inlineStr">
        <is>
          <t>ESKILSTUNA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46239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46239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44784</v>
      </c>
      <c r="E126" s="1" t="n">
        <v>46239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46239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46239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46239</v>
      </c>
      <c r="F129" t="inlineStr">
        <is>
          <t>SÖDERMANLANDS LÄN</t>
        </is>
      </c>
      <c r="G129" t="inlineStr">
        <is>
          <t>ESKILSTUNA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46239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32588-2022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46239</v>
      </c>
      <c r="F131" t="inlineStr">
        <is>
          <t>SÖDERMANLANDS LÄN</t>
        </is>
      </c>
      <c r="G131" t="inlineStr">
        <is>
          <t>ESKILSTUNA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44426</v>
      </c>
      <c r="E132" s="1" t="n">
        <v>46239</v>
      </c>
      <c r="F132" t="inlineStr">
        <is>
          <t>SÖDERMANLANDS LÄN</t>
        </is>
      </c>
      <c r="G132" t="inlineStr">
        <is>
          <t>ESKILSTUNA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44628</v>
      </c>
      <c r="E133" s="1" t="n">
        <v>46239</v>
      </c>
      <c r="F133" t="inlineStr">
        <is>
          <t>SÖDERMANLANDS LÄN</t>
        </is>
      </c>
      <c r="G133" t="inlineStr">
        <is>
          <t>ESKILSTUNA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46239</v>
      </c>
      <c r="F134" t="inlineStr">
        <is>
          <t>SÖDERMANLANDS LÄN</t>
        </is>
      </c>
      <c r="G134" t="inlineStr">
        <is>
          <t>ESKILSTUNA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44654</v>
      </c>
      <c r="E135" s="1" t="n">
        <v>46239</v>
      </c>
      <c r="F135" t="inlineStr">
        <is>
          <t>SÖDERMANLANDS LÄN</t>
        </is>
      </c>
      <c r="G135" t="inlineStr">
        <is>
          <t>ESKILSTUNA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64147-2021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44510</v>
      </c>
      <c r="E136" s="1" t="n">
        <v>46239</v>
      </c>
      <c r="F136" t="inlineStr">
        <is>
          <t>SÖDERMANLANDS LÄN</t>
        </is>
      </c>
      <c r="G136" t="inlineStr">
        <is>
          <t>ESKILSTUNA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70620-2021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44536</v>
      </c>
      <c r="E137" s="1" t="n">
        <v>46239</v>
      </c>
      <c r="F137" t="inlineStr">
        <is>
          <t>SÖDERMANLANDS LÄN</t>
        </is>
      </c>
      <c r="G137" t="inlineStr">
        <is>
          <t>ESKILSTUNA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70490-2021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44536</v>
      </c>
      <c r="E138" s="1" t="n">
        <v>46239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44643</v>
      </c>
      <c r="E139" s="1" t="n">
        <v>46239</v>
      </c>
      <c r="F139" t="inlineStr">
        <is>
          <t>SÖDERMANLANDS LÄN</t>
        </is>
      </c>
      <c r="G139" t="inlineStr">
        <is>
          <t>ESKILSTUNA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44699</v>
      </c>
      <c r="E140" s="1" t="n">
        <v>46239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Naturvårdsverket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47988-2021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44449</v>
      </c>
      <c r="E141" s="1" t="n">
        <v>46239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Holmen skog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44435</v>
      </c>
      <c r="E142" s="1" t="n">
        <v>46239</v>
      </c>
      <c r="F142" t="inlineStr">
        <is>
          <t>SÖDERMANLANDS LÄN</t>
        </is>
      </c>
      <c r="G142" t="inlineStr">
        <is>
          <t>ESKILSTUNA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43396-2021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46239</v>
      </c>
      <c r="F143" t="inlineStr">
        <is>
          <t>SÖDERMANLANDS LÄN</t>
        </is>
      </c>
      <c r="G143" t="inlineStr">
        <is>
          <t>ESKILSTUNA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59275-2021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44490</v>
      </c>
      <c r="E144" s="1" t="n">
        <v>46239</v>
      </c>
      <c r="F144" t="inlineStr">
        <is>
          <t>SÖDERMANLANDS LÄN</t>
        </is>
      </c>
      <c r="G144" t="inlineStr">
        <is>
          <t>ESKILSTUNA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44616</v>
      </c>
      <c r="E145" s="1" t="n">
        <v>46239</v>
      </c>
      <c r="F145" t="inlineStr">
        <is>
          <t>SÖDERMANLANDS LÄN</t>
        </is>
      </c>
      <c r="G145" t="inlineStr">
        <is>
          <t>ESKILSTUNA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44781</v>
      </c>
      <c r="E146" s="1" t="n">
        <v>46239</v>
      </c>
      <c r="F146" t="inlineStr">
        <is>
          <t>SÖDERMANLANDS LÄN</t>
        </is>
      </c>
      <c r="G146" t="inlineStr">
        <is>
          <t>ESKILSTUNA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32406-2022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46239</v>
      </c>
      <c r="F147" t="inlineStr">
        <is>
          <t>SÖDERMANLANDS LÄN</t>
        </is>
      </c>
      <c r="G147" t="inlineStr">
        <is>
          <t>ESKILSTUNA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65406-2021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44515</v>
      </c>
      <c r="E148" s="1" t="n">
        <v>46239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Kyrkan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73480-2021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44550</v>
      </c>
      <c r="E149" s="1" t="n">
        <v>46239</v>
      </c>
      <c r="F149" t="inlineStr">
        <is>
          <t>SÖDERMANLANDS LÄN</t>
        </is>
      </c>
      <c r="G149" t="inlineStr">
        <is>
          <t>ESKILSTUNA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44734</v>
      </c>
      <c r="E150" s="1" t="n">
        <v>46239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36553-2022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46239</v>
      </c>
      <c r="F151" t="inlineStr">
        <is>
          <t>SÖDERMANLANDS LÄN</t>
        </is>
      </c>
      <c r="G151" t="inlineStr">
        <is>
          <t>ESKILSTUNA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46239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44636</v>
      </c>
      <c r="E153" s="1" t="n">
        <v>46239</v>
      </c>
      <c r="F153" t="inlineStr">
        <is>
          <t>SÖDERMANLANDS LÄN</t>
        </is>
      </c>
      <c r="G153" t="inlineStr">
        <is>
          <t>ESKILSTUNA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44782</v>
      </c>
      <c r="E154" s="1" t="n">
        <v>46239</v>
      </c>
      <c r="F154" t="inlineStr">
        <is>
          <t>SÖDERMANLANDS LÄN</t>
        </is>
      </c>
      <c r="G154" t="inlineStr">
        <is>
          <t>ESKILSTUNA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46239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33703-2022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44789</v>
      </c>
      <c r="E156" s="1" t="n">
        <v>46239</v>
      </c>
      <c r="F156" t="inlineStr">
        <is>
          <t>SÖDERMANLANDS LÄN</t>
        </is>
      </c>
      <c r="G156" t="inlineStr">
        <is>
          <t>ESKILSTUNA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46239</v>
      </c>
      <c r="F157" t="inlineStr">
        <is>
          <t>SÖDERMANLANDS LÄN</t>
        </is>
      </c>
      <c r="G157" t="inlineStr">
        <is>
          <t>ESKILSTUNA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51486-2021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44461</v>
      </c>
      <c r="E158" s="1" t="n">
        <v>46239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44573</v>
      </c>
      <c r="E159" s="1" t="n">
        <v>46239</v>
      </c>
      <c r="F159" t="inlineStr">
        <is>
          <t>SÖDERMANLANDS LÄN</t>
        </is>
      </c>
      <c r="G159" t="inlineStr">
        <is>
          <t>ESKILSTUNA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46239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60721-2021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44490</v>
      </c>
      <c r="E161" s="1" t="n">
        <v>46239</v>
      </c>
      <c r="F161" t="inlineStr">
        <is>
          <t>SÖDERMANLANDS LÄN</t>
        </is>
      </c>
      <c r="G161" t="inlineStr">
        <is>
          <t>ESKILSTUNA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70191-2021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46239</v>
      </c>
      <c r="F162" t="inlineStr">
        <is>
          <t>SÖDERMANLANDS LÄN</t>
        </is>
      </c>
      <c r="G162" t="inlineStr">
        <is>
          <t>ESKILSTUNA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44748</v>
      </c>
      <c r="E163" s="1" t="n">
        <v>46239</v>
      </c>
      <c r="F163" t="inlineStr">
        <is>
          <t>SÖDERMANLANDS LÄN</t>
        </is>
      </c>
      <c r="G163" t="inlineStr">
        <is>
          <t>ESKILSTUNA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44578</v>
      </c>
      <c r="E164" s="1" t="n">
        <v>46239</v>
      </c>
      <c r="F164" t="inlineStr">
        <is>
          <t>SÖDERMANLANDS LÄN</t>
        </is>
      </c>
      <c r="G164" t="inlineStr">
        <is>
          <t>ESKILSTUNA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46239</v>
      </c>
      <c r="F165" t="inlineStr">
        <is>
          <t>SÖDERMANLANDS LÄN</t>
        </is>
      </c>
      <c r="G165" t="inlineStr">
        <is>
          <t>ESKILSTUNA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46239</v>
      </c>
      <c r="F166" t="inlineStr">
        <is>
          <t>SÖDERMANLANDS LÄN</t>
        </is>
      </c>
      <c r="G166" t="inlineStr">
        <is>
          <t>ESKILSTUNA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46239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46239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46239</v>
      </c>
      <c r="F169" t="inlineStr">
        <is>
          <t>SÖDERMANLANDS LÄN</t>
        </is>
      </c>
      <c r="G169" t="inlineStr">
        <is>
          <t>ESKILSTUNA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46239</v>
      </c>
      <c r="F170" t="inlineStr">
        <is>
          <t>SÖDERMANLANDS LÄN</t>
        </is>
      </c>
      <c r="G170" t="inlineStr">
        <is>
          <t>ESKILSTUNA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44804</v>
      </c>
      <c r="E171" s="1" t="n">
        <v>46239</v>
      </c>
      <c r="F171" t="inlineStr">
        <is>
          <t>SÖDERMANLANDS LÄN</t>
        </is>
      </c>
      <c r="G171" t="inlineStr">
        <is>
          <t>ESKILSTUNA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44917</v>
      </c>
      <c r="E172" s="1" t="n">
        <v>46239</v>
      </c>
      <c r="F172" t="inlineStr">
        <is>
          <t>SÖDERMANLANDS LÄN</t>
        </is>
      </c>
      <c r="G172" t="inlineStr">
        <is>
          <t>ESKILSTUNA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44804</v>
      </c>
      <c r="E173" s="1" t="n">
        <v>46239</v>
      </c>
      <c r="F173" t="inlineStr">
        <is>
          <t>SÖDERMANLANDS LÄN</t>
        </is>
      </c>
      <c r="G173" t="inlineStr">
        <is>
          <t>ESKILSTUNA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46239</v>
      </c>
      <c r="F174" t="inlineStr">
        <is>
          <t>SÖDERMANLANDS LÄN</t>
        </is>
      </c>
      <c r="G174" t="inlineStr">
        <is>
          <t>ESKILSTUNA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44998</v>
      </c>
      <c r="E175" s="1" t="n">
        <v>46239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Kommuner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61830-2023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45266</v>
      </c>
      <c r="E176" s="1" t="n">
        <v>46239</v>
      </c>
      <c r="F176" t="inlineStr">
        <is>
          <t>SÖDERMANLANDS LÄN</t>
        </is>
      </c>
      <c r="G176" t="inlineStr">
        <is>
          <t>ESKILSTUNA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35367-2024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46239</v>
      </c>
      <c r="F177" t="inlineStr">
        <is>
          <t>SÖDERMANLANDS LÄN</t>
        </is>
      </c>
      <c r="G177" t="inlineStr">
        <is>
          <t>ESKILSTUNA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45537</v>
      </c>
      <c r="E178" s="1" t="n">
        <v>46239</v>
      </c>
      <c r="F178" t="inlineStr">
        <is>
          <t>SÖDERMANLANDS LÄN</t>
        </is>
      </c>
      <c r="G178" t="inlineStr">
        <is>
          <t>ESKILSTUNA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46239</v>
      </c>
      <c r="F179" t="inlineStr">
        <is>
          <t>SÖDERMANLANDS LÄN</t>
        </is>
      </c>
      <c r="G179" t="inlineStr">
        <is>
          <t>ESKILSTUNA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44698</v>
      </c>
      <c r="E180" s="1" t="n">
        <v>46239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46239</v>
      </c>
      <c r="F181" t="inlineStr">
        <is>
          <t>SÖDERMANLANDS LÄN</t>
        </is>
      </c>
      <c r="G181" t="inlineStr">
        <is>
          <t>ESKILSTUNA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46239</v>
      </c>
      <c r="F182" t="inlineStr">
        <is>
          <t>SÖDERMANLANDS LÄN</t>
        </is>
      </c>
      <c r="G182" t="inlineStr">
        <is>
          <t>ESKILSTUNA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36142-2022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44803</v>
      </c>
      <c r="E183" s="1" t="n">
        <v>46239</v>
      </c>
      <c r="F183" t="inlineStr">
        <is>
          <t>SÖDERMANLANDS LÄN</t>
        </is>
      </c>
      <c r="G183" t="inlineStr">
        <is>
          <t>ESKILSTUNA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44803</v>
      </c>
      <c r="E184" s="1" t="n">
        <v>46239</v>
      </c>
      <c r="F184" t="inlineStr">
        <is>
          <t>SÖDERMANLANDS LÄN</t>
        </is>
      </c>
      <c r="G184" t="inlineStr">
        <is>
          <t>ESKILSTUNA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70613-2021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46239</v>
      </c>
      <c r="F185" t="inlineStr">
        <is>
          <t>SÖDERMANLANDS LÄN</t>
        </is>
      </c>
      <c r="G185" t="inlineStr">
        <is>
          <t>ESKILSTUNA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30096-2025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45826</v>
      </c>
      <c r="E186" s="1" t="n">
        <v>46239</v>
      </c>
      <c r="F186" t="inlineStr">
        <is>
          <t>SÖDERMANLANDS LÄN</t>
        </is>
      </c>
      <c r="G186" t="inlineStr">
        <is>
          <t>ESKILSTUNA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46239</v>
      </c>
      <c r="F187" t="inlineStr">
        <is>
          <t>SÖDERMANLANDS LÄN</t>
        </is>
      </c>
      <c r="G187" t="inlineStr">
        <is>
          <t>ESKILSTUNA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12300-2023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44998</v>
      </c>
      <c r="E188" s="1" t="n">
        <v>46239</v>
      </c>
      <c r="F188" t="inlineStr">
        <is>
          <t>SÖDERMANLANDS LÄN</t>
        </is>
      </c>
      <c r="G188" t="inlineStr">
        <is>
          <t>ESKILSTUNA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46239</v>
      </c>
      <c r="F189" t="inlineStr">
        <is>
          <t>SÖDERMANLANDS LÄN</t>
        </is>
      </c>
      <c r="G189" t="inlineStr">
        <is>
          <t>ESKILSTUNA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46239</v>
      </c>
      <c r="F190" t="inlineStr">
        <is>
          <t>SÖDERMANLANDS LÄN</t>
        </is>
      </c>
      <c r="G190" t="inlineStr">
        <is>
          <t>ESKILSTUNA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44839</v>
      </c>
      <c r="E191" s="1" t="n">
        <v>46239</v>
      </c>
      <c r="F191" t="inlineStr">
        <is>
          <t>SÖDERMANLANDS LÄN</t>
        </is>
      </c>
      <c r="G191" t="inlineStr">
        <is>
          <t>ESKILSTUNA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44946</v>
      </c>
      <c r="E192" s="1" t="n">
        <v>46239</v>
      </c>
      <c r="F192" t="inlineStr">
        <is>
          <t>SÖDERMANLANDS LÄN</t>
        </is>
      </c>
      <c r="G192" t="inlineStr">
        <is>
          <t>ESKILSTUNA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46239</v>
      </c>
      <c r="F193" t="inlineStr">
        <is>
          <t>SÖDERMANLANDS LÄN</t>
        </is>
      </c>
      <c r="G193" t="inlineStr">
        <is>
          <t>ESKILSTUNA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46239</v>
      </c>
      <c r="F194" t="inlineStr">
        <is>
          <t>SÖDERMANLANDS LÄN</t>
        </is>
      </c>
      <c r="G194" t="inlineStr">
        <is>
          <t>ESKILSTUNA</t>
        </is>
      </c>
      <c r="I194" t="n">
        <v>15.6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45429</v>
      </c>
      <c r="E195" s="1" t="n">
        <v>46239</v>
      </c>
      <c r="F195" t="inlineStr">
        <is>
          <t>SÖDERMANLANDS LÄN</t>
        </is>
      </c>
      <c r="G195" t="inlineStr">
        <is>
          <t>ESKILSTUNA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44851</v>
      </c>
      <c r="E196" s="1" t="n">
        <v>46239</v>
      </c>
      <c r="F196" t="inlineStr">
        <is>
          <t>SÖDERMANLANDS LÄN</t>
        </is>
      </c>
      <c r="G196" t="inlineStr">
        <is>
          <t>ESKILSTUNA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46239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46239</v>
      </c>
      <c r="F198" t="inlineStr">
        <is>
          <t>SÖDERMANLANDS LÄN</t>
        </is>
      </c>
      <c r="G198" t="inlineStr">
        <is>
          <t>ESKILSTUNA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57304-2023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45245</v>
      </c>
      <c r="E199" s="1" t="n">
        <v>46239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46239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46239</v>
      </c>
      <c r="F201" t="inlineStr">
        <is>
          <t>SÖDERMANLANDS LÄN</t>
        </is>
      </c>
      <c r="G201" t="inlineStr">
        <is>
          <t>ESKILSTUNA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35698-2022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44799</v>
      </c>
      <c r="E202" s="1" t="n">
        <v>46239</v>
      </c>
      <c r="F202" t="inlineStr">
        <is>
          <t>SÖDERMANLANDS LÄN</t>
        </is>
      </c>
      <c r="G202" t="inlineStr">
        <is>
          <t>ESKILSTUNA</t>
        </is>
      </c>
      <c r="I202" t="n">
        <v>9.199999999999999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44938</v>
      </c>
      <c r="E203" s="1" t="n">
        <v>46239</v>
      </c>
      <c r="F203" t="inlineStr">
        <is>
          <t>SÖDERMANLANDS LÄN</t>
        </is>
      </c>
      <c r="G203" t="inlineStr">
        <is>
          <t>ESKILSTUNA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44852</v>
      </c>
      <c r="E204" s="1" t="n">
        <v>46239</v>
      </c>
      <c r="F204" t="inlineStr">
        <is>
          <t>SÖDERMANLANDS LÄN</t>
        </is>
      </c>
      <c r="G204" t="inlineStr">
        <is>
          <t>ESKILSTUNA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45694</v>
      </c>
      <c r="E205" s="1" t="n">
        <v>46239</v>
      </c>
      <c r="F205" t="inlineStr">
        <is>
          <t>SÖDERMANLANDS LÄN</t>
        </is>
      </c>
      <c r="G205" t="inlineStr">
        <is>
          <t>ESKILSTUNA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44861</v>
      </c>
      <c r="E206" s="1" t="n">
        <v>46239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Allmännings- och besparingsskogar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46239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45005</v>
      </c>
      <c r="E208" s="1" t="n">
        <v>46239</v>
      </c>
      <c r="F208" t="inlineStr">
        <is>
          <t>SÖDERMANLANDS LÄN</t>
        </is>
      </c>
      <c r="G208" t="inlineStr">
        <is>
          <t>ESKILSTUNA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46239</v>
      </c>
      <c r="F209" t="inlineStr">
        <is>
          <t>SÖDERMANLANDS LÄN</t>
        </is>
      </c>
      <c r="G209" t="inlineStr">
        <is>
          <t>ESKILSTUNA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45387</v>
      </c>
      <c r="E210" s="1" t="n">
        <v>46239</v>
      </c>
      <c r="F210" t="inlineStr">
        <is>
          <t>SÖDERMANLANDS LÄN</t>
        </is>
      </c>
      <c r="G210" t="inlineStr">
        <is>
          <t>ESKILSTUNA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45363</v>
      </c>
      <c r="E211" s="1" t="n">
        <v>46239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44942</v>
      </c>
      <c r="E212" s="1" t="n">
        <v>46239</v>
      </c>
      <c r="F212" t="inlineStr">
        <is>
          <t>SÖDERMANLANDS LÄN</t>
        </is>
      </c>
      <c r="G212" t="inlineStr">
        <is>
          <t>ESKILSTUNA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58991-2022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44903</v>
      </c>
      <c r="E213" s="1" t="n">
        <v>46239</v>
      </c>
      <c r="F213" t="inlineStr">
        <is>
          <t>SÖDERMANLANDS LÄN</t>
        </is>
      </c>
      <c r="G213" t="inlineStr">
        <is>
          <t>ESKILSTUNA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45464</v>
      </c>
      <c r="E214" s="1" t="n">
        <v>46239</v>
      </c>
      <c r="F214" t="inlineStr">
        <is>
          <t>SÖDERMANLANDS LÄN</t>
        </is>
      </c>
      <c r="G214" t="inlineStr">
        <is>
          <t>ESKILSTUNA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40386-2022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44819</v>
      </c>
      <c r="E215" s="1" t="n">
        <v>46239</v>
      </c>
      <c r="F215" t="inlineStr">
        <is>
          <t>SÖDERMANLANDS LÄN</t>
        </is>
      </c>
      <c r="G215" t="inlineStr">
        <is>
          <t>ESKILSTUNA</t>
        </is>
      </c>
      <c r="I215" t="n">
        <v>11.6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48671-2021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46239</v>
      </c>
      <c r="F216" t="inlineStr">
        <is>
          <t>SÖDERMANLANDS LÄN</t>
        </is>
      </c>
      <c r="G216" t="inlineStr">
        <is>
          <t>ESKILSTUNA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51547-2024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46239</v>
      </c>
      <c r="F217" t="inlineStr">
        <is>
          <t>SÖDERMANLANDS LÄN</t>
        </is>
      </c>
      <c r="G217" t="inlineStr">
        <is>
          <t>ESKILSTUNA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53476-2021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44468</v>
      </c>
      <c r="E218" s="1" t="n">
        <v>46239</v>
      </c>
      <c r="F218" t="inlineStr">
        <is>
          <t>SÖDERMANLANDS LÄN</t>
        </is>
      </c>
      <c r="G218" t="inlineStr">
        <is>
          <t>ESKILSTUNA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44979</v>
      </c>
      <c r="E219" s="1" t="n">
        <v>46239</v>
      </c>
      <c r="F219" t="inlineStr">
        <is>
          <t>SÖDERMANLANDS LÄN</t>
        </is>
      </c>
      <c r="G219" t="inlineStr">
        <is>
          <t>ESKILSTUNA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46239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Övriga Aktiebolag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45464</v>
      </c>
      <c r="E221" s="1" t="n">
        <v>46239</v>
      </c>
      <c r="F221" t="inlineStr">
        <is>
          <t>SÖDERMANLANDS LÄN</t>
        </is>
      </c>
      <c r="G221" t="inlineStr">
        <is>
          <t>ESKILSTUNA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45062</v>
      </c>
      <c r="E222" s="1" t="n">
        <v>46239</v>
      </c>
      <c r="F222" t="inlineStr">
        <is>
          <t>SÖDERMANLANDS LÄN</t>
        </is>
      </c>
      <c r="G222" t="inlineStr">
        <is>
          <t>ESKILSTUNA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13626-2023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45006</v>
      </c>
      <c r="E223" s="1" t="n">
        <v>46239</v>
      </c>
      <c r="F223" t="inlineStr">
        <is>
          <t>SÖDERMANLANDS LÄN</t>
        </is>
      </c>
      <c r="G223" t="inlineStr">
        <is>
          <t>ESKILSTUNA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45460</v>
      </c>
      <c r="E224" s="1" t="n">
        <v>46239</v>
      </c>
      <c r="F224" t="inlineStr">
        <is>
          <t>SÖDERMANLANDS LÄN</t>
        </is>
      </c>
      <c r="G224" t="inlineStr">
        <is>
          <t>ESKILSTUNA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54216-2022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44881</v>
      </c>
      <c r="E225" s="1" t="n">
        <v>46239</v>
      </c>
      <c r="F225" t="inlineStr">
        <is>
          <t>SÖDERMANLANDS LÄN</t>
        </is>
      </c>
      <c r="G225" t="inlineStr">
        <is>
          <t>ESKILSTUNA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46239</v>
      </c>
      <c r="F226" t="inlineStr">
        <is>
          <t>SÖDERMANLANDS LÄN</t>
        </is>
      </c>
      <c r="G226" t="inlineStr">
        <is>
          <t>ESKILSTUNA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55673-2024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45622</v>
      </c>
      <c r="E227" s="1" t="n">
        <v>46239</v>
      </c>
      <c r="F227" t="inlineStr">
        <is>
          <t>SÖDERMANLANDS LÄN</t>
        </is>
      </c>
      <c r="G227" t="inlineStr">
        <is>
          <t>ESKILSTUNA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44964</v>
      </c>
      <c r="E228" s="1" t="n">
        <v>46239</v>
      </c>
      <c r="F228" t="inlineStr">
        <is>
          <t>SÖDERMANLANDS LÄN</t>
        </is>
      </c>
      <c r="G228" t="inlineStr">
        <is>
          <t>ESKILSTUNA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44883</v>
      </c>
      <c r="E229" s="1" t="n">
        <v>46239</v>
      </c>
      <c r="F229" t="inlineStr">
        <is>
          <t>SÖDERMANLANDS LÄN</t>
        </is>
      </c>
      <c r="G229" t="inlineStr">
        <is>
          <t>ESKILSTUNA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45004</v>
      </c>
      <c r="E230" s="1" t="n">
        <v>46239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46872-2022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44851</v>
      </c>
      <c r="E231" s="1" t="n">
        <v>46239</v>
      </c>
      <c r="F231" t="inlineStr">
        <is>
          <t>SÖDERMANLANDS LÄN</t>
        </is>
      </c>
      <c r="G231" t="inlineStr">
        <is>
          <t>ESKILSTUNA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45604</v>
      </c>
      <c r="E232" s="1" t="n">
        <v>46239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44746</v>
      </c>
      <c r="E233" s="1" t="n">
        <v>46239</v>
      </c>
      <c r="F233" t="inlineStr">
        <is>
          <t>SÖDERMANLANDS LÄN</t>
        </is>
      </c>
      <c r="G233" t="inlineStr">
        <is>
          <t>ESKILSTUNA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46796-2023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46239</v>
      </c>
      <c r="F234" t="inlineStr">
        <is>
          <t>SÖDERMANLANDS LÄN</t>
        </is>
      </c>
      <c r="G234" t="inlineStr">
        <is>
          <t>ESKILSTUNA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45012</v>
      </c>
      <c r="E235" s="1" t="n">
        <v>46239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Kommuner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45365</v>
      </c>
      <c r="E236" s="1" t="n">
        <v>46239</v>
      </c>
      <c r="F236" t="inlineStr">
        <is>
          <t>SÖDERMANLANDS LÄN</t>
        </is>
      </c>
      <c r="G236" t="inlineStr">
        <is>
          <t>ESKILSTUNA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65349-2021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44515</v>
      </c>
      <c r="E237" s="1" t="n">
        <v>46239</v>
      </c>
      <c r="F237" t="inlineStr">
        <is>
          <t>SÖDERMANLANDS LÄN</t>
        </is>
      </c>
      <c r="G237" t="inlineStr">
        <is>
          <t>ESKILSTUNA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44886</v>
      </c>
      <c r="E238" s="1" t="n">
        <v>46239</v>
      </c>
      <c r="F238" t="inlineStr">
        <is>
          <t>SÖDERMANLANDS LÄN</t>
        </is>
      </c>
      <c r="G238" t="inlineStr">
        <is>
          <t>ESKILSTUNA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44886</v>
      </c>
      <c r="E239" s="1" t="n">
        <v>46239</v>
      </c>
      <c r="F239" t="inlineStr">
        <is>
          <t>SÖDERMANLANDS LÄN</t>
        </is>
      </c>
      <c r="G239" t="inlineStr">
        <is>
          <t>ESKILSTUNA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45006</v>
      </c>
      <c r="E240" s="1" t="n">
        <v>46239</v>
      </c>
      <c r="F240" t="inlineStr">
        <is>
          <t>SÖDERMANLANDS LÄN</t>
        </is>
      </c>
      <c r="G240" t="inlineStr">
        <is>
          <t>ESKILSTUNA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46239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Kyrkan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44571</v>
      </c>
      <c r="E242" s="1" t="n">
        <v>46239</v>
      </c>
      <c r="F242" t="inlineStr">
        <is>
          <t>SÖDERMANLANDS LÄN</t>
        </is>
      </c>
      <c r="G242" t="inlineStr">
        <is>
          <t>ESKILSTUNA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46239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46239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59276-2021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46239</v>
      </c>
      <c r="F245" t="inlineStr">
        <is>
          <t>SÖDERMANLANDS LÄN</t>
        </is>
      </c>
      <c r="G245" t="inlineStr">
        <is>
          <t>ESKILSTUNA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46239</v>
      </c>
      <c r="F246" t="inlineStr">
        <is>
          <t>SÖDERMANLANDS LÄN</t>
        </is>
      </c>
      <c r="G246" t="inlineStr">
        <is>
          <t>ESKILSTUNA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44634</v>
      </c>
      <c r="E247" s="1" t="n">
        <v>46239</v>
      </c>
      <c r="F247" t="inlineStr">
        <is>
          <t>SÖDERMANLANDS LÄN</t>
        </is>
      </c>
      <c r="G247" t="inlineStr">
        <is>
          <t>ESKILSTUNA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61298-2022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44915</v>
      </c>
      <c r="E248" s="1" t="n">
        <v>46239</v>
      </c>
      <c r="F248" t="inlineStr">
        <is>
          <t>SÖDERMANLANDS LÄN</t>
        </is>
      </c>
      <c r="G248" t="inlineStr">
        <is>
          <t>ESKILSTUNA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44729</v>
      </c>
      <c r="E249" s="1" t="n">
        <v>46239</v>
      </c>
      <c r="F249" t="inlineStr">
        <is>
          <t>SÖDERMANLANDS LÄN</t>
        </is>
      </c>
      <c r="G249" t="inlineStr">
        <is>
          <t>ESKILSTUNA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46239</v>
      </c>
      <c r="F250" t="inlineStr">
        <is>
          <t>SÖDERMANLANDS LÄN</t>
        </is>
      </c>
      <c r="G250" t="inlineStr">
        <is>
          <t>ESKILSTUNA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44904</v>
      </c>
      <c r="E251" s="1" t="n">
        <v>46239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Allmännings- och besparingsskogar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44946</v>
      </c>
      <c r="E252" s="1" t="n">
        <v>46239</v>
      </c>
      <c r="F252" t="inlineStr">
        <is>
          <t>SÖDERMANLANDS LÄN</t>
        </is>
      </c>
      <c r="G252" t="inlineStr">
        <is>
          <t>ESKILSTUNA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44983</v>
      </c>
      <c r="E253" s="1" t="n">
        <v>46239</v>
      </c>
      <c r="F253" t="inlineStr">
        <is>
          <t>SÖDERMANLANDS LÄN</t>
        </is>
      </c>
      <c r="G253" t="inlineStr">
        <is>
          <t>ESKILSTUNA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44889</v>
      </c>
      <c r="E254" s="1" t="n">
        <v>46239</v>
      </c>
      <c r="F254" t="inlineStr">
        <is>
          <t>SÖDERMANLANDS LÄN</t>
        </is>
      </c>
      <c r="G254" t="inlineStr">
        <is>
          <t>ESKILSTUNA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44592</v>
      </c>
      <c r="E255" s="1" t="n">
        <v>46239</v>
      </c>
      <c r="F255" t="inlineStr">
        <is>
          <t>SÖDERMANLANDS LÄN</t>
        </is>
      </c>
      <c r="G255" t="inlineStr">
        <is>
          <t>ESKILSTUNA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46239</v>
      </c>
      <c r="F256" t="inlineStr">
        <is>
          <t>SÖDERMANLANDS LÄN</t>
        </is>
      </c>
      <c r="G256" t="inlineStr">
        <is>
          <t>ESKILSTUNA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45061</v>
      </c>
      <c r="E257" s="1" t="n">
        <v>46239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Allmännings- och besparingsskogar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46239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Sveaskog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35076-2022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44797</v>
      </c>
      <c r="E259" s="1" t="n">
        <v>46239</v>
      </c>
      <c r="F259" t="inlineStr">
        <is>
          <t>SÖDERMANLANDS LÄN</t>
        </is>
      </c>
      <c r="G259" t="inlineStr">
        <is>
          <t>ESKILSTUNA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46239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Kyrkan</t>
        </is>
      </c>
      <c r="I260" t="n">
        <v>12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44918</v>
      </c>
      <c r="E261" s="1" t="n">
        <v>46239</v>
      </c>
      <c r="F261" t="inlineStr">
        <is>
          <t>SÖDERMANLANDS LÄN</t>
        </is>
      </c>
      <c r="G261" t="inlineStr">
        <is>
          <t>ESKILSTUNA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44588</v>
      </c>
      <c r="E262" s="1" t="n">
        <v>46239</v>
      </c>
      <c r="F262" t="inlineStr">
        <is>
          <t>SÖDERMANLANDS LÄN</t>
        </is>
      </c>
      <c r="G262" t="inlineStr">
        <is>
          <t>ESKILSTUNA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10715-2022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44626</v>
      </c>
      <c r="E263" s="1" t="n">
        <v>46239</v>
      </c>
      <c r="F263" t="inlineStr">
        <is>
          <t>SÖDERMANLANDS LÄN</t>
        </is>
      </c>
      <c r="G263" t="inlineStr">
        <is>
          <t>ESKILSTUNA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61367-2021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44499</v>
      </c>
      <c r="E264" s="1" t="n">
        <v>46239</v>
      </c>
      <c r="F264" t="inlineStr">
        <is>
          <t>SÖDERMANLANDS LÄN</t>
        </is>
      </c>
      <c r="G264" t="inlineStr">
        <is>
          <t>ESKILSTUNA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44953</v>
      </c>
      <c r="E265" s="1" t="n">
        <v>46239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Allmännings- och besparingsskogar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57524-2022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46239</v>
      </c>
      <c r="F266" t="inlineStr">
        <is>
          <t>SÖDERMANLANDS LÄN</t>
        </is>
      </c>
      <c r="G266" t="inlineStr">
        <is>
          <t>ESKILSTUNA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45005</v>
      </c>
      <c r="E267" s="1" t="n">
        <v>46239</v>
      </c>
      <c r="F267" t="inlineStr">
        <is>
          <t>SÖDERMANLANDS LÄN</t>
        </is>
      </c>
      <c r="G267" t="inlineStr">
        <is>
          <t>ESKILSTUNA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45303</v>
      </c>
      <c r="E268" s="1" t="n">
        <v>46239</v>
      </c>
      <c r="F268" t="inlineStr">
        <is>
          <t>SÖDERMANLANDS LÄN</t>
        </is>
      </c>
      <c r="G268" t="inlineStr">
        <is>
          <t>ESKILSTUNA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38075-2024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45544</v>
      </c>
      <c r="E269" s="1" t="n">
        <v>46239</v>
      </c>
      <c r="F269" t="inlineStr">
        <is>
          <t>SÖDERMANLANDS LÄN</t>
        </is>
      </c>
      <c r="G269" t="inlineStr">
        <is>
          <t>ESKILSTUNA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46239</v>
      </c>
      <c r="F270" t="inlineStr">
        <is>
          <t>SÖDERMANLANDS LÄN</t>
        </is>
      </c>
      <c r="G270" t="inlineStr">
        <is>
          <t>ESKILSTUNA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45303</v>
      </c>
      <c r="E271" s="1" t="n">
        <v>46239</v>
      </c>
      <c r="F271" t="inlineStr">
        <is>
          <t>SÖDERMANLANDS LÄN</t>
        </is>
      </c>
      <c r="G271" t="inlineStr">
        <is>
          <t>ESKILSTUNA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36648-2022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44804</v>
      </c>
      <c r="E272" s="1" t="n">
        <v>46239</v>
      </c>
      <c r="F272" t="inlineStr">
        <is>
          <t>SÖDERMANLANDS LÄN</t>
        </is>
      </c>
      <c r="G272" t="inlineStr">
        <is>
          <t>ESKILSTUNA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45167</v>
      </c>
      <c r="E273" s="1" t="n">
        <v>46239</v>
      </c>
      <c r="F273" t="inlineStr">
        <is>
          <t>SÖDERMANLANDS LÄN</t>
        </is>
      </c>
      <c r="G273" t="inlineStr">
        <is>
          <t>ESKILSTUNA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44930</v>
      </c>
      <c r="E274" s="1" t="n">
        <v>46239</v>
      </c>
      <c r="F274" t="inlineStr">
        <is>
          <t>SÖDERMANLANDS LÄN</t>
        </is>
      </c>
      <c r="G274" t="inlineStr">
        <is>
          <t>ESKILSTUNA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45889</v>
      </c>
      <c r="E275" s="1" t="n">
        <v>46239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Kyrkan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46239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Kyrkan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25668-2022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44732</v>
      </c>
      <c r="E277" s="1" t="n">
        <v>46239</v>
      </c>
      <c r="F277" t="inlineStr">
        <is>
          <t>SÖDERMANLANDS LÄN</t>
        </is>
      </c>
      <c r="G277" t="inlineStr">
        <is>
          <t>ESKILSTUNA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46239</v>
      </c>
      <c r="F278" t="inlineStr">
        <is>
          <t>SÖDERMANLANDS LÄN</t>
        </is>
      </c>
      <c r="G278" t="inlineStr">
        <is>
          <t>ESKILSTUNA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45897</v>
      </c>
      <c r="E279" s="1" t="n">
        <v>46239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Kyrkan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41183-2025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46239</v>
      </c>
      <c r="F280" t="inlineStr">
        <is>
          <t>SÖDERMANLANDS LÄN</t>
        </is>
      </c>
      <c r="G280" t="inlineStr">
        <is>
          <t>ESKILSTUNA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45664</v>
      </c>
      <c r="E281" s="1" t="n">
        <v>46239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Allmännings- och besparingsskogar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46239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Kyrkan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46239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46239</v>
      </c>
      <c r="F284" t="inlineStr">
        <is>
          <t>SÖDERMANLANDS LÄN</t>
        </is>
      </c>
      <c r="G284" t="inlineStr">
        <is>
          <t>ESKILSTUNA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45750</v>
      </c>
      <c r="E285" s="1" t="n">
        <v>46239</v>
      </c>
      <c r="F285" t="inlineStr">
        <is>
          <t>SÖDERMANLANDS LÄN</t>
        </is>
      </c>
      <c r="G285" t="inlineStr">
        <is>
          <t>ESKILSTUNA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46239</v>
      </c>
      <c r="F286" t="inlineStr">
        <is>
          <t>SÖDERMANLANDS LÄN</t>
        </is>
      </c>
      <c r="G286" t="inlineStr">
        <is>
          <t>ESKILSTUNA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45518</v>
      </c>
      <c r="E287" s="1" t="n">
        <v>46239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Övriga Aktiebolag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45708</v>
      </c>
      <c r="E288" s="1" t="n">
        <v>46239</v>
      </c>
      <c r="F288" t="inlineStr">
        <is>
          <t>SÖDERMANLANDS LÄN</t>
        </is>
      </c>
      <c r="G288" t="inlineStr">
        <is>
          <t>ESKILSTUNA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44616</v>
      </c>
      <c r="E289" s="1" t="n">
        <v>46239</v>
      </c>
      <c r="F289" t="inlineStr">
        <is>
          <t>SÖDERMANLANDS LÄN</t>
        </is>
      </c>
      <c r="G289" t="inlineStr">
        <is>
          <t>ESKILSTUNA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44889</v>
      </c>
      <c r="E290" s="1" t="n">
        <v>46239</v>
      </c>
      <c r="F290" t="inlineStr">
        <is>
          <t>SÖDERMANLANDS LÄN</t>
        </is>
      </c>
      <c r="G290" t="inlineStr">
        <is>
          <t>ESKILSTUNA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45910</v>
      </c>
      <c r="E291" s="1" t="n">
        <v>46239</v>
      </c>
      <c r="F291" t="inlineStr">
        <is>
          <t>SÖDERMANLANDS LÄN</t>
        </is>
      </c>
      <c r="G291" t="inlineStr">
        <is>
          <t>ESKILSTUNA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45303</v>
      </c>
      <c r="E292" s="1" t="n">
        <v>46239</v>
      </c>
      <c r="F292" t="inlineStr">
        <is>
          <t>SÖDERMANLANDS LÄN</t>
        </is>
      </c>
      <c r="G292" t="inlineStr">
        <is>
          <t>ESKILSTUNA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1346-2024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45303</v>
      </c>
      <c r="E293" s="1" t="n">
        <v>46239</v>
      </c>
      <c r="F293" t="inlineStr">
        <is>
          <t>SÖDERMANLANDS LÄN</t>
        </is>
      </c>
      <c r="G293" t="inlineStr">
        <is>
          <t>ESKILSTUNA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53098-2022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44873</v>
      </c>
      <c r="E294" s="1" t="n">
        <v>46239</v>
      </c>
      <c r="F294" t="inlineStr">
        <is>
          <t>SÖDERMANLANDS LÄN</t>
        </is>
      </c>
      <c r="G294" t="inlineStr">
        <is>
          <t>ESKILSTUNA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44965</v>
      </c>
      <c r="E295" s="1" t="n">
        <v>46239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44617</v>
      </c>
      <c r="E296" s="1" t="n">
        <v>46239</v>
      </c>
      <c r="F296" t="inlineStr">
        <is>
          <t>SÖDERMANLANDS LÄN</t>
        </is>
      </c>
      <c r="G296" t="inlineStr">
        <is>
          <t>ESKILSTUNA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12547-2022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44638</v>
      </c>
      <c r="E297" s="1" t="n">
        <v>46239</v>
      </c>
      <c r="F297" t="inlineStr">
        <is>
          <t>SÖDERMANLANDS LÄN</t>
        </is>
      </c>
      <c r="G297" t="inlineStr">
        <is>
          <t>ESKILSTUNA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44741</v>
      </c>
      <c r="E298" s="1" t="n">
        <v>46239</v>
      </c>
      <c r="F298" t="inlineStr">
        <is>
          <t>SÖDERMANLANDS LÄN</t>
        </is>
      </c>
      <c r="G298" t="inlineStr">
        <is>
          <t>ESKILSTUNA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11705-2022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44634</v>
      </c>
      <c r="E299" s="1" t="n">
        <v>46239</v>
      </c>
      <c r="F299" t="inlineStr">
        <is>
          <t>SÖDERMANLANDS LÄN</t>
        </is>
      </c>
      <c r="G299" t="inlineStr">
        <is>
          <t>ESKILSTUNA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45209</v>
      </c>
      <c r="E300" s="1" t="n">
        <v>46239</v>
      </c>
      <c r="F300" t="inlineStr">
        <is>
          <t>SÖDERMANLANDS LÄN</t>
        </is>
      </c>
      <c r="G300" t="inlineStr">
        <is>
          <t>ESKILSTUNA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46239</v>
      </c>
      <c r="F301" t="inlineStr">
        <is>
          <t>SÖDERMANLANDS LÄN</t>
        </is>
      </c>
      <c r="G301" t="inlineStr">
        <is>
          <t>ESKILSTUNA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61367-2021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44499</v>
      </c>
      <c r="E302" s="1" t="n">
        <v>46239</v>
      </c>
      <c r="F302" t="inlineStr">
        <is>
          <t>SÖDERMANLANDS LÄN</t>
        </is>
      </c>
      <c r="G302" t="inlineStr">
        <is>
          <t>ESKILSTUNA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65595-2021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44516</v>
      </c>
      <c r="E303" s="1" t="n">
        <v>46239</v>
      </c>
      <c r="F303" t="inlineStr">
        <is>
          <t>SÖDERMANLANDS LÄN</t>
        </is>
      </c>
      <c r="G303" t="inlineStr">
        <is>
          <t>ESKILSTUNA</t>
        </is>
      </c>
      <c r="I303" t="n">
        <v>9.5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45882-2022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44844</v>
      </c>
      <c r="E304" s="1" t="n">
        <v>46239</v>
      </c>
      <c r="F304" t="inlineStr">
        <is>
          <t>SÖDERMANLANDS LÄN</t>
        </is>
      </c>
      <c r="G304" t="inlineStr">
        <is>
          <t>ESKILSTUNA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44844</v>
      </c>
      <c r="E305" s="1" t="n">
        <v>46239</v>
      </c>
      <c r="F305" t="inlineStr">
        <is>
          <t>SÖDERMANLANDS LÄN</t>
        </is>
      </c>
      <c r="G305" t="inlineStr">
        <is>
          <t>ESKILSTUNA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44942</v>
      </c>
      <c r="E306" s="1" t="n">
        <v>46239</v>
      </c>
      <c r="F306" t="inlineStr">
        <is>
          <t>SÖDERMANLANDS LÄN</t>
        </is>
      </c>
      <c r="G306" t="inlineStr">
        <is>
          <t>ESKILSTUNA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46239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46239</v>
      </c>
      <c r="F308" t="inlineStr">
        <is>
          <t>SÖDERMANLANDS LÄN</t>
        </is>
      </c>
      <c r="G308" t="inlineStr">
        <is>
          <t>ESKILSTUNA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48877-2023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45209</v>
      </c>
      <c r="E309" s="1" t="n">
        <v>46239</v>
      </c>
      <c r="F309" t="inlineStr">
        <is>
          <t>SÖDERMANLANDS LÄN</t>
        </is>
      </c>
      <c r="G309" t="inlineStr">
        <is>
          <t>ESKILSTUNA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10010-2024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45363</v>
      </c>
      <c r="E310" s="1" t="n">
        <v>46239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Allmännings- och besparingsskogar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38895-2023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45163</v>
      </c>
      <c r="E311" s="1" t="n">
        <v>46239</v>
      </c>
      <c r="F311" t="inlineStr">
        <is>
          <t>SÖDERMANLANDS LÄN</t>
        </is>
      </c>
      <c r="G311" t="inlineStr">
        <is>
          <t>ESKILSTUNA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32708-2024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45514</v>
      </c>
      <c r="E312" s="1" t="n">
        <v>46239</v>
      </c>
      <c r="F312" t="inlineStr">
        <is>
          <t>SÖDERMANLANDS LÄN</t>
        </is>
      </c>
      <c r="G312" t="inlineStr">
        <is>
          <t>ESKILSTUNA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44928</v>
      </c>
      <c r="E313" s="1" t="n">
        <v>46239</v>
      </c>
      <c r="F313" t="inlineStr">
        <is>
          <t>SÖDERMANLANDS LÄN</t>
        </is>
      </c>
      <c r="G313" t="inlineStr">
        <is>
          <t>ESKILSTUNA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45058</v>
      </c>
      <c r="E314" s="1" t="n">
        <v>46239</v>
      </c>
      <c r="F314" t="inlineStr">
        <is>
          <t>SÖDERMANLANDS LÄN</t>
        </is>
      </c>
      <c r="G314" t="inlineStr">
        <is>
          <t>ESKILSTUNA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44789</v>
      </c>
      <c r="E315" s="1" t="n">
        <v>46239</v>
      </c>
      <c r="F315" t="inlineStr">
        <is>
          <t>SÖDERMANLANDS LÄN</t>
        </is>
      </c>
      <c r="G315" t="inlineStr">
        <is>
          <t>ESKILSTUNA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61829-2023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45266</v>
      </c>
      <c r="E316" s="1" t="n">
        <v>46239</v>
      </c>
      <c r="F316" t="inlineStr">
        <is>
          <t>SÖDERMANLANDS LÄN</t>
        </is>
      </c>
      <c r="G316" t="inlineStr">
        <is>
          <t>ESKILSTUNA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45341</v>
      </c>
      <c r="E317" s="1" t="n">
        <v>46239</v>
      </c>
      <c r="F317" t="inlineStr">
        <is>
          <t>SÖDERMANLANDS LÄN</t>
        </is>
      </c>
      <c r="G317" t="inlineStr">
        <is>
          <t>ESKILSTUNA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46239</v>
      </c>
      <c r="F318" t="inlineStr">
        <is>
          <t>SÖDERMANLANDS LÄN</t>
        </is>
      </c>
      <c r="G318" t="inlineStr">
        <is>
          <t>ESKILSTUNA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8920-2025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45713</v>
      </c>
      <c r="E319" s="1" t="n">
        <v>46239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Allmännings- och besparingsskogar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45695</v>
      </c>
      <c r="E320" s="1" t="n">
        <v>46239</v>
      </c>
      <c r="F320" t="inlineStr">
        <is>
          <t>SÖDERMANLANDS LÄN</t>
        </is>
      </c>
      <c r="G320" t="inlineStr">
        <is>
          <t>ESKILSTUNA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44832</v>
      </c>
      <c r="E321" s="1" t="n">
        <v>46239</v>
      </c>
      <c r="F321" t="inlineStr">
        <is>
          <t>SÖDERMANLANDS LÄN</t>
        </is>
      </c>
      <c r="G321" t="inlineStr">
        <is>
          <t>ESKILSTUNA</t>
        </is>
      </c>
      <c r="I321" t="n">
        <v>19.9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15592-2023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45020</v>
      </c>
      <c r="E322" s="1" t="n">
        <v>46239</v>
      </c>
      <c r="F322" t="inlineStr">
        <is>
          <t>SÖDERMANLANDS LÄN</t>
        </is>
      </c>
      <c r="G322" t="inlineStr">
        <is>
          <t>ESKILSTUNA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6659-2024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45341</v>
      </c>
      <c r="E323" s="1" t="n">
        <v>46239</v>
      </c>
      <c r="F323" t="inlineStr">
        <is>
          <t>SÖDERMANLANDS LÄN</t>
        </is>
      </c>
      <c r="G323" t="inlineStr">
        <is>
          <t>ESKILSTUNA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46239</v>
      </c>
      <c r="F324" t="inlineStr">
        <is>
          <t>SÖDERMANLANDS LÄN</t>
        </is>
      </c>
      <c r="G324" t="inlineStr">
        <is>
          <t>ESKILSTUNA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45695</v>
      </c>
      <c r="E325" s="1" t="n">
        <v>46239</v>
      </c>
      <c r="F325" t="inlineStr">
        <is>
          <t>SÖDERMANLANDS LÄN</t>
        </is>
      </c>
      <c r="G325" t="inlineStr">
        <is>
          <t>ESKILSTUNA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45637</v>
      </c>
      <c r="E326" s="1" t="n">
        <v>46239</v>
      </c>
      <c r="F326" t="inlineStr">
        <is>
          <t>SÖDERMANLANDS LÄN</t>
        </is>
      </c>
      <c r="G326" t="inlineStr">
        <is>
          <t>ESKILSTUNA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45301</v>
      </c>
      <c r="E327" s="1" t="n">
        <v>46239</v>
      </c>
      <c r="F327" t="inlineStr">
        <is>
          <t>SÖDERMANLANDS LÄN</t>
        </is>
      </c>
      <c r="G327" t="inlineStr">
        <is>
          <t>ESKILSTUNA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53181-2024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45611</v>
      </c>
      <c r="E328" s="1" t="n">
        <v>46239</v>
      </c>
      <c r="F328" t="inlineStr">
        <is>
          <t>SÖDERMANLANDS LÄN</t>
        </is>
      </c>
      <c r="G328" t="inlineStr">
        <is>
          <t>ESKILSTUNA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1538-2025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45670</v>
      </c>
      <c r="E329" s="1" t="n">
        <v>46239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46239</v>
      </c>
      <c r="F330" t="inlineStr">
        <is>
          <t>SÖDERMANLANDS LÄN</t>
        </is>
      </c>
      <c r="G330" t="inlineStr">
        <is>
          <t>ESKILSTUNA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70560-2021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46239</v>
      </c>
      <c r="F331" t="inlineStr">
        <is>
          <t>SÖDERMANLANDS LÄN</t>
        </is>
      </c>
      <c r="G331" t="inlineStr">
        <is>
          <t>ESKILSTUNA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53933-2024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46239</v>
      </c>
      <c r="F332" t="inlineStr">
        <is>
          <t>SÖDERMANLANDS LÄN</t>
        </is>
      </c>
      <c r="G332" t="inlineStr">
        <is>
          <t>ESKILSTUNA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45183</v>
      </c>
      <c r="E333" s="1" t="n">
        <v>46239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45950</v>
      </c>
      <c r="E334" s="1" t="n">
        <v>46239</v>
      </c>
      <c r="F334" t="inlineStr">
        <is>
          <t>SÖDERMANLANDS LÄN</t>
        </is>
      </c>
      <c r="G334" t="inlineStr">
        <is>
          <t>ESKILSTUNA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46239</v>
      </c>
      <c r="F335" t="inlineStr">
        <is>
          <t>SÖDERMANLANDS LÄN</t>
        </is>
      </c>
      <c r="G335" t="inlineStr">
        <is>
          <t>ESKILSTUNA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60276-2024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45642</v>
      </c>
      <c r="E336" s="1" t="n">
        <v>46239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46239</v>
      </c>
      <c r="F337" t="inlineStr">
        <is>
          <t>SÖDERMANLANDS LÄN</t>
        </is>
      </c>
      <c r="G337" t="inlineStr">
        <is>
          <t>ESKILSTUNA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46239</v>
      </c>
      <c r="F338" t="inlineStr">
        <is>
          <t>SÖDERMANLANDS LÄN</t>
        </is>
      </c>
      <c r="G338" t="inlineStr">
        <is>
          <t>ESKILSTUNA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44953</v>
      </c>
      <c r="E339" s="1" t="n">
        <v>46239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Allmännings- och besparingsskogar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60246-2024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45642</v>
      </c>
      <c r="E340" s="1" t="n">
        <v>46239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13826-2025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45737</v>
      </c>
      <c r="E341" s="1" t="n">
        <v>46239</v>
      </c>
      <c r="F341" t="inlineStr">
        <is>
          <t>SÖDERMANLANDS LÄN</t>
        </is>
      </c>
      <c r="G341" t="inlineStr">
        <is>
          <t>ESKILSTUNA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44019-2021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44434</v>
      </c>
      <c r="E342" s="1" t="n">
        <v>46239</v>
      </c>
      <c r="F342" t="inlineStr">
        <is>
          <t>SÖDERMANLANDS LÄN</t>
        </is>
      </c>
      <c r="G342" t="inlineStr">
        <is>
          <t>ESKILSTUNA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44593</v>
      </c>
      <c r="E343" s="1" t="n">
        <v>46239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45365</v>
      </c>
      <c r="E344" s="1" t="n">
        <v>46239</v>
      </c>
      <c r="F344" t="inlineStr">
        <is>
          <t>SÖDERMANLANDS LÄN</t>
        </is>
      </c>
      <c r="G344" t="inlineStr">
        <is>
          <t>ESKILSTUNA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45049</v>
      </c>
      <c r="E345" s="1" t="n">
        <v>46239</v>
      </c>
      <c r="F345" t="inlineStr">
        <is>
          <t>SÖDERMANLANDS LÄN</t>
        </is>
      </c>
      <c r="G345" t="inlineStr">
        <is>
          <t>ESKILSTUNA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29051-2026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46199</v>
      </c>
      <c r="E346" s="1" t="n">
        <v>46239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22759-2026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46157</v>
      </c>
      <c r="E347" s="1" t="n">
        <v>46239</v>
      </c>
      <c r="F347" t="inlineStr">
        <is>
          <t>SÖDERMANLANDS LÄN</t>
        </is>
      </c>
      <c r="G347" t="inlineStr">
        <is>
          <t>ESKILSTUNA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46157</v>
      </c>
      <c r="E348" s="1" t="n">
        <v>46239</v>
      </c>
      <c r="F348" t="inlineStr">
        <is>
          <t>SÖDERMANLANDS LÄN</t>
        </is>
      </c>
      <c r="G348" t="inlineStr">
        <is>
          <t>ESKILSTUNA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29053-2026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46199</v>
      </c>
      <c r="E349" s="1" t="n">
        <v>46239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11522-2026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46239</v>
      </c>
      <c r="F350" t="inlineStr">
        <is>
          <t>SÖDERMANLANDS LÄN</t>
        </is>
      </c>
      <c r="G350" t="inlineStr">
        <is>
          <t>ESKILSTUNA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9711-2025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45715</v>
      </c>
      <c r="E351" s="1" t="n">
        <v>46239</v>
      </c>
      <c r="F351" t="inlineStr">
        <is>
          <t>SÖDERMANLANDS LÄN</t>
        </is>
      </c>
      <c r="G351" t="inlineStr">
        <is>
          <t>ESKILSTUNA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40930-2025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46239</v>
      </c>
      <c r="F352" t="inlineStr">
        <is>
          <t>SÖDERMANLANDS LÄN</t>
        </is>
      </c>
      <c r="G352" t="inlineStr">
        <is>
          <t>ESKILSTUNA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46239</v>
      </c>
      <c r="F353" t="inlineStr">
        <is>
          <t>SÖDERMANLANDS LÄN</t>
        </is>
      </c>
      <c r="G353" t="inlineStr">
        <is>
          <t>ESKILSTUNA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24537-2025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45798</v>
      </c>
      <c r="E354" s="1" t="n">
        <v>46239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46239</v>
      </c>
      <c r="F355" t="inlineStr">
        <is>
          <t>SÖDERMANLANDS LÄN</t>
        </is>
      </c>
      <c r="G355" t="inlineStr">
        <is>
          <t>ESKILSTUNA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52203-2025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45953</v>
      </c>
      <c r="E356" s="1" t="n">
        <v>46239</v>
      </c>
      <c r="F356" t="inlineStr">
        <is>
          <t>SÖDERMANLANDS LÄN</t>
        </is>
      </c>
      <c r="G356" t="inlineStr">
        <is>
          <t>ESKILSTUNA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24534-2025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45798</v>
      </c>
      <c r="E357" s="1" t="n">
        <v>46239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Sveaskog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24535-2025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45798</v>
      </c>
      <c r="E358" s="1" t="n">
        <v>46239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Sveaskog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24536-2025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45798</v>
      </c>
      <c r="E359" s="1" t="n">
        <v>46239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46239</v>
      </c>
      <c r="F360" t="inlineStr">
        <is>
          <t>SÖDERMANLANDS LÄN</t>
        </is>
      </c>
      <c r="G360" t="inlineStr">
        <is>
          <t>ESKILSTUNA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24652-2025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45798</v>
      </c>
      <c r="E361" s="1" t="n">
        <v>46239</v>
      </c>
      <c r="F361" t="inlineStr">
        <is>
          <t>SÖDERMANLANDS LÄN</t>
        </is>
      </c>
      <c r="G361" t="inlineStr">
        <is>
          <t>ESKILSTUNA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24662-2025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45798</v>
      </c>
      <c r="E362" s="1" t="n">
        <v>46239</v>
      </c>
      <c r="F362" t="inlineStr">
        <is>
          <t>SÖDERMANLANDS LÄN</t>
        </is>
      </c>
      <c r="G362" t="inlineStr">
        <is>
          <t>ESKILSTUNA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46239</v>
      </c>
      <c r="F363" t="inlineStr">
        <is>
          <t>SÖDERMANLANDS LÄN</t>
        </is>
      </c>
      <c r="G363" t="inlineStr">
        <is>
          <t>ESKILSTUNA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43488-2024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45568</v>
      </c>
      <c r="E364" s="1" t="n">
        <v>46239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43489-2024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46239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46239</v>
      </c>
      <c r="F366" t="inlineStr">
        <is>
          <t>SÖDERMANLANDS LÄN</t>
        </is>
      </c>
      <c r="G366" t="inlineStr">
        <is>
          <t>ESKILSTUNA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46239</v>
      </c>
      <c r="F367" t="inlineStr">
        <is>
          <t>SÖDERMANLANDS LÄN</t>
        </is>
      </c>
      <c r="G367" t="inlineStr">
        <is>
          <t>ESKILSTUNA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57138-2025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45979</v>
      </c>
      <c r="E368" s="1" t="n">
        <v>46239</v>
      </c>
      <c r="F368" t="inlineStr">
        <is>
          <t>SÖDERMANLANDS LÄN</t>
        </is>
      </c>
      <c r="G368" t="inlineStr">
        <is>
          <t>ESKILSTUNA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57061-2021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44482</v>
      </c>
      <c r="E369" s="1" t="n">
        <v>46239</v>
      </c>
      <c r="F369" t="inlineStr">
        <is>
          <t>SÖDERMANLANDS LÄN</t>
        </is>
      </c>
      <c r="G369" t="inlineStr">
        <is>
          <t>ESKILSTUNA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46164</v>
      </c>
      <c r="E370" s="1" t="n">
        <v>46239</v>
      </c>
      <c r="F370" t="inlineStr">
        <is>
          <t>SÖDERMANLANDS LÄN</t>
        </is>
      </c>
      <c r="G370" t="inlineStr">
        <is>
          <t>ESKILSTUNA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46164</v>
      </c>
      <c r="E371" s="1" t="n">
        <v>46239</v>
      </c>
      <c r="F371" t="inlineStr">
        <is>
          <t>SÖDERMANLANDS LÄN</t>
        </is>
      </c>
      <c r="G371" t="inlineStr">
        <is>
          <t>ESKILSTUNA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55812-2022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44886</v>
      </c>
      <c r="E372" s="1" t="n">
        <v>46239</v>
      </c>
      <c r="F372" t="inlineStr">
        <is>
          <t>SÖDERMANLANDS LÄN</t>
        </is>
      </c>
      <c r="G372" t="inlineStr">
        <is>
          <t>ESKILSTUNA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60326-2025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46239</v>
      </c>
      <c r="F373" t="inlineStr">
        <is>
          <t>SÖDERMANLANDS LÄN</t>
        </is>
      </c>
      <c r="G373" t="inlineStr">
        <is>
          <t>ESKILSTUNA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68022-2021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44525</v>
      </c>
      <c r="E374" s="1" t="n">
        <v>46239</v>
      </c>
      <c r="F374" t="inlineStr">
        <is>
          <t>SÖDERMANLANDS LÄN</t>
        </is>
      </c>
      <c r="G374" t="inlineStr">
        <is>
          <t>ESKILSTUNA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46239</v>
      </c>
      <c r="F375" t="inlineStr">
        <is>
          <t>SÖDERMANLANDS LÄN</t>
        </is>
      </c>
      <c r="G375" t="inlineStr">
        <is>
          <t>ESKILSTUNA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46239</v>
      </c>
      <c r="F376" t="inlineStr">
        <is>
          <t>SÖDERMANLANDS LÄN</t>
        </is>
      </c>
      <c r="G376" t="inlineStr">
        <is>
          <t>ESKILSTUNA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46239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52221-2025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45953</v>
      </c>
      <c r="E378" s="1" t="n">
        <v>46239</v>
      </c>
      <c r="F378" t="inlineStr">
        <is>
          <t>SÖDERMANLANDS LÄN</t>
        </is>
      </c>
      <c r="G378" t="inlineStr">
        <is>
          <t>ESKILSTUNA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54598-2021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44473</v>
      </c>
      <c r="E379" s="1" t="n">
        <v>46239</v>
      </c>
      <c r="F379" t="inlineStr">
        <is>
          <t>SÖDERMANLANDS LÄN</t>
        </is>
      </c>
      <c r="G379" t="inlineStr">
        <is>
          <t>ESKILSTUNA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46239</v>
      </c>
      <c r="F380" t="inlineStr">
        <is>
          <t>SÖDERMANLANDS LÄN</t>
        </is>
      </c>
      <c r="G380" t="inlineStr">
        <is>
          <t>ESKILSTUNA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46216</v>
      </c>
      <c r="E381" s="1" t="n">
        <v>46239</v>
      </c>
      <c r="F381" t="inlineStr">
        <is>
          <t>SÖDERMANLANDS LÄN</t>
        </is>
      </c>
      <c r="G381" t="inlineStr">
        <is>
          <t>ESKILSTUNA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31131-2026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46216</v>
      </c>
      <c r="E382" s="1" t="n">
        <v>46239</v>
      </c>
      <c r="F382" t="inlineStr">
        <is>
          <t>SÖDERMANLANDS LÄN</t>
        </is>
      </c>
      <c r="G382" t="inlineStr">
        <is>
          <t>ESKILSTUNA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45077</v>
      </c>
      <c r="E383" s="1" t="n">
        <v>46239</v>
      </c>
      <c r="F383" t="inlineStr">
        <is>
          <t>SÖDERMANLANDS LÄN</t>
        </is>
      </c>
      <c r="G383" t="inlineStr">
        <is>
          <t>ESKILSTUNA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46213</v>
      </c>
      <c r="E384" s="1" t="n">
        <v>46239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46217</v>
      </c>
      <c r="E385" s="1" t="n">
        <v>46239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Kommuner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45965</v>
      </c>
      <c r="E386" s="1" t="n">
        <v>46239</v>
      </c>
      <c r="F386" t="inlineStr">
        <is>
          <t>SÖDERMANLANDS LÄN</t>
        </is>
      </c>
      <c r="G386" t="inlineStr">
        <is>
          <t>ESKILSTUNA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16391-2022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44671</v>
      </c>
      <c r="E387" s="1" t="n">
        <v>46239</v>
      </c>
      <c r="F387" t="inlineStr">
        <is>
          <t>SÖDERMANLANDS LÄN</t>
        </is>
      </c>
      <c r="G387" t="inlineStr">
        <is>
          <t>ESKILSTUNA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46217</v>
      </c>
      <c r="E388" s="1" t="n">
        <v>46239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46219</v>
      </c>
      <c r="E389" s="1" t="n">
        <v>46239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46239</v>
      </c>
      <c r="F390" t="inlineStr">
        <is>
          <t>SÖDERMANLANDS LÄN</t>
        </is>
      </c>
      <c r="G390" t="inlineStr">
        <is>
          <t>ESKILSTUNA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26022-2026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46239</v>
      </c>
      <c r="F391" t="inlineStr">
        <is>
          <t>SÖDERMANLANDS LÄN</t>
        </is>
      </c>
      <c r="G391" t="inlineStr">
        <is>
          <t>ESKILSTUNA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52830-2021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44467</v>
      </c>
      <c r="E392" s="1" t="n">
        <v>46239</v>
      </c>
      <c r="F392" t="inlineStr">
        <is>
          <t>SÖDERMANLANDS LÄN</t>
        </is>
      </c>
      <c r="G392" t="inlineStr">
        <is>
          <t>ESKILSTUNA</t>
        </is>
      </c>
      <c r="I392" t="n">
        <v>8.6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46239</v>
      </c>
      <c r="F393" t="inlineStr">
        <is>
          <t>SÖDERMANLANDS LÄN</t>
        </is>
      </c>
      <c r="G393" t="inlineStr">
        <is>
          <t>ESKILSTUNA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30960-2023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46239</v>
      </c>
      <c r="F394" t="inlineStr">
        <is>
          <t>SÖDERMANLANDS LÄN</t>
        </is>
      </c>
      <c r="G394" t="inlineStr">
        <is>
          <t>ESKILSTUNA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30971-2023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46239</v>
      </c>
      <c r="F395" t="inlineStr">
        <is>
          <t>SÖDERMANLANDS LÄN</t>
        </is>
      </c>
      <c r="G395" t="inlineStr">
        <is>
          <t>ESKILSTUNA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46239</v>
      </c>
      <c r="F396" t="inlineStr">
        <is>
          <t>SÖDERMANLANDS LÄN</t>
        </is>
      </c>
      <c r="G396" t="inlineStr">
        <is>
          <t>ESKILSTUNA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43426-2021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44432</v>
      </c>
      <c r="E397" s="1" t="n">
        <v>46239</v>
      </c>
      <c r="F397" t="inlineStr">
        <is>
          <t>SÖDERMANLANDS LÄN</t>
        </is>
      </c>
      <c r="G397" t="inlineStr">
        <is>
          <t>ESKILSTUNA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62268-2023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46239</v>
      </c>
      <c r="F398" t="inlineStr">
        <is>
          <t>SÖDERMANLANDS LÄN</t>
        </is>
      </c>
      <c r="G398" t="inlineStr">
        <is>
          <t>ESKILSTUNA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46239</v>
      </c>
      <c r="F399" t="inlineStr">
        <is>
          <t>SÖDERMANLANDS LÄN</t>
        </is>
      </c>
      <c r="G399" t="inlineStr">
        <is>
          <t>ESKILSTUNA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46239</v>
      </c>
      <c r="F400" t="inlineStr">
        <is>
          <t>SÖDERMANLANDS LÄN</t>
        </is>
      </c>
      <c r="G400" t="inlineStr">
        <is>
          <t>ESKILSTUNA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51801-2025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45950</v>
      </c>
      <c r="E401" s="1" t="n">
        <v>46239</v>
      </c>
      <c r="F401" t="inlineStr">
        <is>
          <t>SÖDERMANLANDS LÄN</t>
        </is>
      </c>
      <c r="G401" t="inlineStr">
        <is>
          <t>ESKILSTUNA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6405-2023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44965</v>
      </c>
      <c r="E402" s="1" t="n">
        <v>46239</v>
      </c>
      <c r="F402" t="inlineStr">
        <is>
          <t>SÖDERMANLANDS LÄN</t>
        </is>
      </c>
      <c r="G402" t="inlineStr">
        <is>
          <t>ESKILSTUNA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46239</v>
      </c>
      <c r="F403" t="inlineStr">
        <is>
          <t>SÖDERMANLANDS LÄN</t>
        </is>
      </c>
      <c r="G403" t="inlineStr">
        <is>
          <t>ESKILSTUNA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47581-2024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45587</v>
      </c>
      <c r="E404" s="1" t="n">
        <v>46239</v>
      </c>
      <c r="F404" t="inlineStr">
        <is>
          <t>SÖDERMANLANDS LÄN</t>
        </is>
      </c>
      <c r="G404" t="inlineStr">
        <is>
          <t>ESKILSTUNA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41997-2021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44426</v>
      </c>
      <c r="E405" s="1" t="n">
        <v>46239</v>
      </c>
      <c r="F405" t="inlineStr">
        <is>
          <t>SÖDERMANLANDS LÄN</t>
        </is>
      </c>
      <c r="G405" t="inlineStr">
        <is>
          <t>ESKILSTUNA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65614-2021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44516</v>
      </c>
      <c r="E406" s="1" t="n">
        <v>46239</v>
      </c>
      <c r="F406" t="inlineStr">
        <is>
          <t>SÖDERMANLANDS LÄN</t>
        </is>
      </c>
      <c r="G406" t="inlineStr">
        <is>
          <t>ESKILSTUNA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61416-2022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44916</v>
      </c>
      <c r="E407" s="1" t="n">
        <v>46239</v>
      </c>
      <c r="F407" t="inlineStr">
        <is>
          <t>SÖDERMANLANDS LÄN</t>
        </is>
      </c>
      <c r="G407" t="inlineStr">
        <is>
          <t>ESKILSTUNA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55800-2022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44888</v>
      </c>
      <c r="E408" s="1" t="n">
        <v>46239</v>
      </c>
      <c r="F408" t="inlineStr">
        <is>
          <t>SÖDERMANLANDS LÄN</t>
        </is>
      </c>
      <c r="G408" t="inlineStr">
        <is>
          <t>ESKILSTUNA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50310-2022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46239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Kyrkan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45756</v>
      </c>
      <c r="E410" s="1" t="n">
        <v>46239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Allmännings- och besparingsskogar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44664</v>
      </c>
      <c r="E411" s="1" t="n">
        <v>46239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Allmännings- och besparingsskogar</t>
        </is>
      </c>
      <c r="I411" t="n">
        <v>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25227-2022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44729</v>
      </c>
      <c r="E412" s="1" t="n">
        <v>46239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Kyrkan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45211</v>
      </c>
      <c r="E413" s="1" t="n">
        <v>46239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16339-2024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45407</v>
      </c>
      <c r="E414" s="1" t="n">
        <v>46239</v>
      </c>
      <c r="F414" t="inlineStr">
        <is>
          <t>SÖDERMANLANDS LÄN</t>
        </is>
      </c>
      <c r="G414" t="inlineStr">
        <is>
          <t>ESKILSTUNA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46239</v>
      </c>
      <c r="F415" t="inlineStr">
        <is>
          <t>SÖDERMANLANDS LÄN</t>
        </is>
      </c>
      <c r="G415" t="inlineStr">
        <is>
          <t>ESKILSTUNA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46239</v>
      </c>
      <c r="F416" t="inlineStr">
        <is>
          <t>SÖDERMANLANDS LÄN</t>
        </is>
      </c>
      <c r="G416" t="inlineStr">
        <is>
          <t>ESKILSTUNA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45429</v>
      </c>
      <c r="E417" s="1" t="n">
        <v>46239</v>
      </c>
      <c r="F417" t="inlineStr">
        <is>
          <t>SÖDERMANLANDS LÄN</t>
        </is>
      </c>
      <c r="G417" t="inlineStr">
        <is>
          <t>ESKILSTUNA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45056</v>
      </c>
      <c r="E418" s="1" t="n">
        <v>46239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46191</v>
      </c>
      <c r="E419" s="1" t="n">
        <v>46239</v>
      </c>
      <c r="F419" t="inlineStr">
        <is>
          <t>SÖDERMANLANDS LÄN</t>
        </is>
      </c>
      <c r="G419" t="inlineStr">
        <is>
          <t>ESKILSTUNA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45079</v>
      </c>
      <c r="E420" s="1" t="n">
        <v>46239</v>
      </c>
      <c r="F420" t="inlineStr">
        <is>
          <t>SÖDERMANLANDS LÄN</t>
        </is>
      </c>
      <c r="G420" t="inlineStr">
        <is>
          <t>ESKILSTUNA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59276-2021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44490</v>
      </c>
      <c r="E421" s="1" t="n">
        <v>46239</v>
      </c>
      <c r="F421" t="inlineStr">
        <is>
          <t>SÖDERMANLANDS LÄN</t>
        </is>
      </c>
      <c r="G421" t="inlineStr">
        <is>
          <t>ESKILSTUNA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57213-2023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46239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Allmännings- och besparingsskogar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57538-2022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44889</v>
      </c>
      <c r="E423" s="1" t="n">
        <v>46239</v>
      </c>
      <c r="F423" t="inlineStr">
        <is>
          <t>SÖDERMANLANDS LÄN</t>
        </is>
      </c>
      <c r="G423" t="inlineStr">
        <is>
          <t>ESKILSTUNA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55699-2024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46239</v>
      </c>
      <c r="F424" t="inlineStr">
        <is>
          <t>SÖDERMANLANDS LÄN</t>
        </is>
      </c>
      <c r="G424" t="inlineStr">
        <is>
          <t>ESKILSTUNA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27779-2026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46191</v>
      </c>
      <c r="E425" s="1" t="n">
        <v>46239</v>
      </c>
      <c r="F425" t="inlineStr">
        <is>
          <t>SÖDERMANLANDS LÄN</t>
        </is>
      </c>
      <c r="G425" t="inlineStr">
        <is>
          <t>ESKILSTUNA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46239</v>
      </c>
      <c r="F426" t="inlineStr">
        <is>
          <t>SÖDERMANLANDS LÄN</t>
        </is>
      </c>
      <c r="G426" t="inlineStr">
        <is>
          <t>ESKILSTUNA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46239</v>
      </c>
      <c r="F427" t="inlineStr">
        <is>
          <t>SÖDERMANLANDS LÄN</t>
        </is>
      </c>
      <c r="G427" t="inlineStr">
        <is>
          <t>ESKILSTUNA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32373-2026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46238</v>
      </c>
      <c r="E428" s="1" t="n">
        <v>46239</v>
      </c>
      <c r="F428" t="inlineStr">
        <is>
          <t>SÖDERMANLANDS LÄN</t>
        </is>
      </c>
      <c r="G428" t="inlineStr">
        <is>
          <t>ESKILSTUNA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46239</v>
      </c>
      <c r="F429" t="inlineStr">
        <is>
          <t>SÖDERMANLANDS LÄN</t>
        </is>
      </c>
      <c r="G429" t="inlineStr">
        <is>
          <t>ESKILSTUNA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61170-2021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44497</v>
      </c>
      <c r="E430" s="1" t="n">
        <v>46239</v>
      </c>
      <c r="F430" t="inlineStr">
        <is>
          <t>SÖDERMANLANDS LÄN</t>
        </is>
      </c>
      <c r="G430" t="inlineStr">
        <is>
          <t>ESKILSTUNA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46044</v>
      </c>
      <c r="E431" s="1" t="n">
        <v>46239</v>
      </c>
      <c r="F431" t="inlineStr">
        <is>
          <t>SÖDERMANLANDS LÄN</t>
        </is>
      </c>
      <c r="G431" t="inlineStr">
        <is>
          <t>ESKILSTUNA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46239</v>
      </c>
      <c r="F432" t="inlineStr">
        <is>
          <t>SÖDERMANLANDS LÄN</t>
        </is>
      </c>
      <c r="G432" t="inlineStr">
        <is>
          <t>ESKILSTUNA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46043</v>
      </c>
      <c r="E433" s="1" t="n">
        <v>46239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46238</v>
      </c>
      <c r="E434" s="1" t="n">
        <v>46239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46239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Sveaskog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44966</v>
      </c>
      <c r="E436" s="1" t="n">
        <v>46239</v>
      </c>
      <c r="F436" t="inlineStr">
        <is>
          <t>SÖDERMANLANDS LÄN</t>
        </is>
      </c>
      <c r="G436" t="inlineStr">
        <is>
          <t>ESKILSTUNA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19271-2023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45049</v>
      </c>
      <c r="E437" s="1" t="n">
        <v>46239</v>
      </c>
      <c r="F437" t="inlineStr">
        <is>
          <t>SÖDERMANLANDS LÄN</t>
        </is>
      </c>
      <c r="G437" t="inlineStr">
        <is>
          <t>ESKILSTUNA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1340-2024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45303</v>
      </c>
      <c r="E438" s="1" t="n">
        <v>46239</v>
      </c>
      <c r="F438" t="inlineStr">
        <is>
          <t>SÖDERMANLANDS LÄN</t>
        </is>
      </c>
      <c r="G438" t="inlineStr">
        <is>
          <t>ESKILSTUNA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52274-2024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45608</v>
      </c>
      <c r="E439" s="1" t="n">
        <v>46239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Övriga Aktiebolag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45007</v>
      </c>
      <c r="E440" s="1" t="n">
        <v>46239</v>
      </c>
      <c r="F440" t="inlineStr">
        <is>
          <t>SÖDERMANLANDS LÄN</t>
        </is>
      </c>
      <c r="G440" t="inlineStr">
        <is>
          <t>ESKILSTUNA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16104-2026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46239</v>
      </c>
      <c r="F441" t="inlineStr">
        <is>
          <t>SÖDERMANLANDS LÄN</t>
        </is>
      </c>
      <c r="G441" t="inlineStr">
        <is>
          <t>ESKILSTUNA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46239</v>
      </c>
      <c r="F442" t="inlineStr">
        <is>
          <t>SÖDERMANLANDS LÄN</t>
        </is>
      </c>
      <c r="G442" t="inlineStr">
        <is>
          <t>ESKILSTUNA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46108</v>
      </c>
      <c r="E443" s="1" t="n">
        <v>46239</v>
      </c>
      <c r="F443" t="inlineStr">
        <is>
          <t>SÖDERMANLANDS LÄN</t>
        </is>
      </c>
      <c r="G443" t="inlineStr">
        <is>
          <t>ESKILSTUNA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16135-2026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46108</v>
      </c>
      <c r="E444" s="1" t="n">
        <v>46239</v>
      </c>
      <c r="F444" t="inlineStr">
        <is>
          <t>SÖDERMANLANDS LÄN</t>
        </is>
      </c>
      <c r="G444" t="inlineStr">
        <is>
          <t>ESKILSTUNA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45905</v>
      </c>
      <c r="E445" s="1" t="n">
        <v>46239</v>
      </c>
      <c r="F445" t="inlineStr">
        <is>
          <t>SÖDERMANLANDS LÄN</t>
        </is>
      </c>
      <c r="G445" t="inlineStr">
        <is>
          <t>ESKILSTUNA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45271</v>
      </c>
      <c r="E446" s="1" t="n">
        <v>46239</v>
      </c>
      <c r="F446" t="inlineStr">
        <is>
          <t>SÖDERMANLANDS LÄN</t>
        </is>
      </c>
      <c r="G446" t="inlineStr">
        <is>
          <t>ESKILSTUNA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70265-2021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44536</v>
      </c>
      <c r="E447" s="1" t="n">
        <v>46239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46608-2024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45582</v>
      </c>
      <c r="E448" s="1" t="n">
        <v>46239</v>
      </c>
      <c r="F448" t="inlineStr">
        <is>
          <t>SÖDERMANLANDS LÄN</t>
        </is>
      </c>
      <c r="G448" t="inlineStr">
        <is>
          <t>ESKILSTUNA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18105-2026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46125</v>
      </c>
      <c r="E449" s="1" t="n">
        <v>46239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Sveaskog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68020-2021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44525</v>
      </c>
      <c r="E450" s="1" t="n">
        <v>46239</v>
      </c>
      <c r="F450" t="inlineStr">
        <is>
          <t>SÖDERMANLANDS LÄN</t>
        </is>
      </c>
      <c r="G450" t="inlineStr">
        <is>
          <t>ESKILSTUNA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45544</v>
      </c>
      <c r="E451" s="1" t="n">
        <v>46239</v>
      </c>
      <c r="F451" t="inlineStr">
        <is>
          <t>SÖDERMANLANDS LÄN</t>
        </is>
      </c>
      <c r="G451" t="inlineStr">
        <is>
          <t>ESKILSTUNA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45146</v>
      </c>
      <c r="E452" s="1" t="n">
        <v>46239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Kyrkan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13153-2026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46092</v>
      </c>
      <c r="E453" s="1" t="n">
        <v>46239</v>
      </c>
      <c r="F453" t="inlineStr">
        <is>
          <t>SÖDERMANLANDS LÄN</t>
        </is>
      </c>
      <c r="G453" t="inlineStr">
        <is>
          <t>ESKILSTUNA</t>
        </is>
      </c>
      <c r="I453" t="n">
        <v>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56384-2025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46239</v>
      </c>
      <c r="F454" t="inlineStr">
        <is>
          <t>SÖDERMANLANDS LÄN</t>
        </is>
      </c>
      <c r="G454" t="inlineStr">
        <is>
          <t>ESKILSTUNA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45069</v>
      </c>
      <c r="E455" s="1" t="n">
        <v>46239</v>
      </c>
      <c r="F455" t="inlineStr">
        <is>
          <t>SÖDERMANLANDS LÄN</t>
        </is>
      </c>
      <c r="G455" t="inlineStr">
        <is>
          <t>ESKILSTUNA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45833</v>
      </c>
      <c r="E456" s="1" t="n">
        <v>46239</v>
      </c>
      <c r="F456" t="inlineStr">
        <is>
          <t>SÖDERMANLANDS LÄN</t>
        </is>
      </c>
      <c r="G456" t="inlineStr">
        <is>
          <t>ESKILSTUNA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10715-2022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44626</v>
      </c>
      <c r="E457" s="1" t="n">
        <v>46239</v>
      </c>
      <c r="F457" t="inlineStr">
        <is>
          <t>SÖDERMANLANDS LÄN</t>
        </is>
      </c>
      <c r="G457" t="inlineStr">
        <is>
          <t>ESKILSTUNA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45918</v>
      </c>
      <c r="E458" s="1" t="n">
        <v>46239</v>
      </c>
      <c r="F458" t="inlineStr">
        <is>
          <t>SÖDERMANLANDS LÄN</t>
        </is>
      </c>
      <c r="G458" t="inlineStr">
        <is>
          <t>ESKILSTUNA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44927-2023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45190</v>
      </c>
      <c r="E459" s="1" t="n">
        <v>46239</v>
      </c>
      <c r="F459" t="inlineStr">
        <is>
          <t>SÖDERMANLANDS LÄN</t>
        </is>
      </c>
      <c r="G459" t="inlineStr">
        <is>
          <t>ESKILSTUNA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45435</v>
      </c>
      <c r="E460" s="1" t="n">
        <v>46239</v>
      </c>
      <c r="F460" t="inlineStr">
        <is>
          <t>SÖDERMANLANDS LÄN</t>
        </is>
      </c>
      <c r="G460" t="inlineStr">
        <is>
          <t>ESKILSTUNA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36565-2022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44804</v>
      </c>
      <c r="E461" s="1" t="n">
        <v>46239</v>
      </c>
      <c r="F461" t="inlineStr">
        <is>
          <t>SÖDERMANLANDS LÄN</t>
        </is>
      </c>
      <c r="G461" t="inlineStr">
        <is>
          <t>ESKILSTUNA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22605-2023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45071</v>
      </c>
      <c r="E462" s="1" t="n">
        <v>46239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Kyrkan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44572</v>
      </c>
      <c r="E463" s="1" t="n">
        <v>46239</v>
      </c>
      <c r="F463" t="inlineStr">
        <is>
          <t>SÖDERMANLANDS LÄN</t>
        </is>
      </c>
      <c r="G463" t="inlineStr">
        <is>
          <t>ESKILSTUNA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7406-2022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44606</v>
      </c>
      <c r="E464" s="1" t="n">
        <v>46239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Kyrkan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45093</v>
      </c>
      <c r="E465" s="1" t="n">
        <v>46239</v>
      </c>
      <c r="F465" t="inlineStr">
        <is>
          <t>SÖDERMANLANDS LÄN</t>
        </is>
      </c>
      <c r="G465" t="inlineStr">
        <is>
          <t>ESKILSTUNA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60533-2024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45643</v>
      </c>
      <c r="E466" s="1" t="n">
        <v>46239</v>
      </c>
      <c r="F466" t="inlineStr">
        <is>
          <t>SÖDERMANLANDS LÄN</t>
        </is>
      </c>
      <c r="G466" t="inlineStr">
        <is>
          <t>ESKILSTUNA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13495-2024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45387</v>
      </c>
      <c r="E467" s="1" t="n">
        <v>46239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Kyrkan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45992</v>
      </c>
      <c r="E468" s="1" t="n">
        <v>46239</v>
      </c>
      <c r="F468" t="inlineStr">
        <is>
          <t>SÖDERMANLANDS LÄN</t>
        </is>
      </c>
      <c r="G468" t="inlineStr">
        <is>
          <t>ESKILSTUNA</t>
        </is>
      </c>
      <c r="I468" t="n">
        <v>10.8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29646-2023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46239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50484-2025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45945</v>
      </c>
      <c r="E470" s="1" t="n">
        <v>46239</v>
      </c>
      <c r="F470" t="inlineStr">
        <is>
          <t>SÖDERMANLANDS LÄN</t>
        </is>
      </c>
      <c r="G470" t="inlineStr">
        <is>
          <t>ESKILSTUNA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45210</v>
      </c>
      <c r="E471" s="1" t="n">
        <v>46239</v>
      </c>
      <c r="F471" t="inlineStr">
        <is>
          <t>SÖDERMANLANDS LÄN</t>
        </is>
      </c>
      <c r="G471" t="inlineStr">
        <is>
          <t>ESKILSTUNA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20529-2026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46140</v>
      </c>
      <c r="E472" s="1" t="n">
        <v>46239</v>
      </c>
      <c r="F472" t="inlineStr">
        <is>
          <t>SÖDERMANLANDS LÄN</t>
        </is>
      </c>
      <c r="G472" t="inlineStr">
        <is>
          <t>ESKILSTUNA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20823-2022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44701</v>
      </c>
      <c r="E473" s="1" t="n">
        <v>46239</v>
      </c>
      <c r="F473" t="inlineStr">
        <is>
          <t>SÖDERMANLANDS LÄN</t>
        </is>
      </c>
      <c r="G473" t="inlineStr">
        <is>
          <t>ESKILSTUNA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46239</v>
      </c>
      <c r="F474" t="inlineStr">
        <is>
          <t>SÖDERMANLANDS LÄN</t>
        </is>
      </c>
      <c r="G474" t="inlineStr">
        <is>
          <t>ESKILSTUNA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55763-2022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44886</v>
      </c>
      <c r="E475" s="1" t="n">
        <v>46239</v>
      </c>
      <c r="F475" t="inlineStr">
        <is>
          <t>SÖDERMANLANDS LÄN</t>
        </is>
      </c>
      <c r="G475" t="inlineStr">
        <is>
          <t>ESKILSTUNA</t>
        </is>
      </c>
      <c r="I475" t="n">
        <v>15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43221-2023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46239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15.8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45237</v>
      </c>
      <c r="E477" s="1" t="n">
        <v>46239</v>
      </c>
      <c r="F477" t="inlineStr">
        <is>
          <t>SÖDERMANLANDS LÄN</t>
        </is>
      </c>
      <c r="G477" t="inlineStr">
        <is>
          <t>ESKILSTUNA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4200-2025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45685</v>
      </c>
      <c r="E478" s="1" t="n">
        <v>46239</v>
      </c>
      <c r="F478" t="inlineStr">
        <is>
          <t>SÖDERMANLANDS LÄN</t>
        </is>
      </c>
      <c r="G478" t="inlineStr">
        <is>
          <t>ESKILSTUNA</t>
        </is>
      </c>
      <c r="I478" t="n">
        <v>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15917-2022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44664</v>
      </c>
      <c r="E479" s="1" t="n">
        <v>46239</v>
      </c>
      <c r="F479" t="inlineStr">
        <is>
          <t>SÖDERMANLANDS LÄN</t>
        </is>
      </c>
      <c r="G479" t="inlineStr">
        <is>
          <t>ESKILSTUNA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11117-2025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45723</v>
      </c>
      <c r="E480" s="1" t="n">
        <v>46239</v>
      </c>
      <c r="F480" t="inlineStr">
        <is>
          <t>SÖDERMANLANDS LÄN</t>
        </is>
      </c>
      <c r="G480" t="inlineStr">
        <is>
          <t>ESKILSTUNA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55963-2023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45240</v>
      </c>
      <c r="E481" s="1" t="n">
        <v>46239</v>
      </c>
      <c r="F481" t="inlineStr">
        <is>
          <t>SÖDERMANLANDS LÄN</t>
        </is>
      </c>
      <c r="G481" t="inlineStr">
        <is>
          <t>ESKILSTUNA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25229-2022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44729</v>
      </c>
      <c r="E482" s="1" t="n">
        <v>46239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61831-2023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45266</v>
      </c>
      <c r="E483" s="1" t="n">
        <v>46239</v>
      </c>
      <c r="F483" t="inlineStr">
        <is>
          <t>SÖDERMANLANDS LÄN</t>
        </is>
      </c>
      <c r="G483" t="inlineStr">
        <is>
          <t>ESKILSTUNA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29068-2022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44749</v>
      </c>
      <c r="E484" s="1" t="n">
        <v>46239</v>
      </c>
      <c r="F484" t="inlineStr">
        <is>
          <t>SÖDERMANLANDS LÄN</t>
        </is>
      </c>
      <c r="G484" t="inlineStr">
        <is>
          <t>ESKILSTUNA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1330-2024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45303</v>
      </c>
      <c r="E485" s="1" t="n">
        <v>46239</v>
      </c>
      <c r="F485" t="inlineStr">
        <is>
          <t>SÖDERMANLANDS LÄN</t>
        </is>
      </c>
      <c r="G485" t="inlineStr">
        <is>
          <t>ESKILSTUNA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1334-2024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45303</v>
      </c>
      <c r="E486" s="1" t="n">
        <v>46239</v>
      </c>
      <c r="F486" t="inlineStr">
        <is>
          <t>SÖDERMANLANDS LÄN</t>
        </is>
      </c>
      <c r="G486" t="inlineStr">
        <is>
          <t>ESKILSTUNA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37769-2023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46239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Kommuner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29750-2022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44755</v>
      </c>
      <c r="E488" s="1" t="n">
        <v>46239</v>
      </c>
      <c r="F488" t="inlineStr">
        <is>
          <t>SÖDERMANLANDS LÄN</t>
        </is>
      </c>
      <c r="G488" t="inlineStr">
        <is>
          <t>ESKILSTUNA</t>
        </is>
      </c>
      <c r="I488" t="n">
        <v>20.1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9703-2025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46239</v>
      </c>
      <c r="F489" t="inlineStr">
        <is>
          <t>SÖDERMANLANDS LÄN</t>
        </is>
      </c>
      <c r="G489" t="inlineStr">
        <is>
          <t>ESKILSTUNA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30968-2022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44768</v>
      </c>
      <c r="E490" s="1" t="n">
        <v>46239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1333-2020</t>
        </is>
      </c>
      <c r="B491" t="inlineStr">
        <is>
          <t>samrådsanmälan</t>
        </is>
      </c>
      <c r="C491" t="inlineStr">
        <is>
          <t>Åtgärd i nyckelbiotop</t>
        </is>
      </c>
      <c r="D491" s="1" t="n">
        <v>43993</v>
      </c>
      <c r="E491" s="1" t="n">
        <v>46239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Allmännings- och besparingsskogar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383-2023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44959</v>
      </c>
      <c r="E492" s="1" t="n">
        <v>46239</v>
      </c>
      <c r="F492" t="inlineStr">
        <is>
          <t>SÖDERMANLANDS LÄN</t>
        </is>
      </c>
      <c r="G492" t="inlineStr">
        <is>
          <t>ESKILSTUNA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6471-2021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44449</v>
      </c>
      <c r="E493" s="1" t="n">
        <v>46239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3665-2023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45217</v>
      </c>
      <c r="E494" s="1" t="n">
        <v>46239</v>
      </c>
      <c r="F494" t="inlineStr">
        <is>
          <t>SÖDERMANLANDS LÄN</t>
        </is>
      </c>
      <c r="G494" t="inlineStr">
        <is>
          <t>ESKILSTUNA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4583-2023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45282</v>
      </c>
      <c r="E495" s="1" t="n">
        <v>46239</v>
      </c>
      <c r="F495" t="inlineStr">
        <is>
          <t>SÖDERMANLANDS LÄN</t>
        </is>
      </c>
      <c r="G495" t="inlineStr">
        <is>
          <t>ESKILSTUNA</t>
        </is>
      </c>
      <c r="I495" t="n">
        <v>31.4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1601-2025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45798</v>
      </c>
      <c r="E496" s="1" t="n">
        <v>46239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1602-2025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45798</v>
      </c>
      <c r="E497" s="1" t="n">
        <v>46239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291-2025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45686</v>
      </c>
      <c r="E498" s="1" t="n">
        <v>46239</v>
      </c>
      <c r="F498" t="inlineStr">
        <is>
          <t>SÖDERMANLANDS LÄN</t>
        </is>
      </c>
      <c r="G498" t="inlineStr">
        <is>
          <t>ESKILSTUNA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2917-2024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45504</v>
      </c>
      <c r="E499" s="1" t="n">
        <v>46239</v>
      </c>
      <c r="F499" t="inlineStr">
        <is>
          <t>SÖDERMANLANDS LÄN</t>
        </is>
      </c>
      <c r="G499" t="inlineStr">
        <is>
          <t>ESKILSTUNA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1920-2025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45826</v>
      </c>
      <c r="E500" s="1" t="n">
        <v>46239</v>
      </c>
      <c r="F500" t="inlineStr">
        <is>
          <t>SÖDERMANLANDS LÄN</t>
        </is>
      </c>
      <c r="G500" t="inlineStr">
        <is>
          <t>ESKILSTUNA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1030-2026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46125</v>
      </c>
      <c r="E501" s="1" t="n">
        <v>46239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1871-2026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46199</v>
      </c>
      <c r="E502" s="1" t="n">
        <v>46239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>
      <c r="A503" t="inlineStr">
        <is>
          <t>S 1870-2026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46199</v>
      </c>
      <c r="E503" s="1" t="n">
        <v>46239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2026-08-05T20:37:16Z</dcterms:created>
  <dcterms:modified xmlns:dcterms="http://purl.org/dc/terms/" xmlns:xsi="http://www.w3.org/2001/XMLSchema-instance" xsi:type="dcterms:W3CDTF">2026-08-05T20:37:17Z</dcterms:modified>
</cp:coreProperties>
</file>