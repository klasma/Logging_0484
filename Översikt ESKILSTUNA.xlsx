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46268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46268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46268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46268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46268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46268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46268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46268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46268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46268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46268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46268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46268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46268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46268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46268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46268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46268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46268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46268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12443-2024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45379</v>
      </c>
      <c r="E24" s="1" t="n">
        <v>46268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8.9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Blåsippa
Mattlummer
Revlummer</t>
        </is>
      </c>
      <c r="W24">
        <f>HYPERLINK("https://klasma.github.io/Logging_0484/artfynd/A 12443-2024 artfynd.xlsx", "A 12443-2024")</f>
        <v/>
      </c>
      <c r="X24">
        <f>HYPERLINK("https://klasma.github.io/Logging_0484/kartor/A 12443-2024 karta.png", "A 12443-2024")</f>
        <v/>
      </c>
      <c r="Y24">
        <f>HYPERLINK("https://klasma.github.io/Logging_0484/kartor_geotiff/A 12443-2024 georefererad karta.tif", "A 12443-2024")</f>
        <v/>
      </c>
      <c r="AA24">
        <f>HYPERLINK("https://klasma.github.io/Logging_0484/klagomål/A 12443-2024 FSC-klagomål.docx", "A 12443-2024")</f>
        <v/>
      </c>
      <c r="AB24">
        <f>HYPERLINK("https://klasma.github.io/Logging_0484/klagomålsmail/A 12443-2024 FSC-klagomål mail.docx", "A 12443-2024")</f>
        <v/>
      </c>
      <c r="AC24">
        <f>HYPERLINK("https://klasma.github.io/Logging_0484/tillsyn/A 12443-2024 tillsynsbegäran.docx", "A 12443-2024")</f>
        <v/>
      </c>
      <c r="AD24">
        <f>HYPERLINK("https://klasma.github.io/Logging_0484/tillsynsmail/A 12443-2024 tillsynsbegäran mail.docx", "A 12443-2024")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46268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46268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46268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46268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46268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46268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46268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46268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46268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46268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46268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46268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46268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46268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46268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46268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46268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Svart trolldruva
Spillkråka</t>
        </is>
      </c>
      <c r="W41">
        <f>HYPERLINK("https://klasma.github.io/Logging_0484/artfynd/A 34986-2025 artfynd.xlsx", "A 34986-2025")</f>
        <v/>
      </c>
      <c r="X41">
        <f>HYPERLINK("https://klasma.github.io/Logging_0484/kartor/A 34986-2025 karta.png", "A 34986-2025")</f>
        <v/>
      </c>
      <c r="Y41">
        <f>HYPERLINK("https://klasma.github.io/Logging_0484/kartor_geotiff/A 34986-2025 georefererad karta.tif", "A 34986-2025")</f>
        <v/>
      </c>
      <c r="AA41">
        <f>HYPERLINK("https://klasma.github.io/Logging_0484/klagomål/A 34986-2025 FSC-klagomål.docx", "A 34986-2025")</f>
        <v/>
      </c>
      <c r="AB41">
        <f>HYPERLINK("https://klasma.github.io/Logging_0484/klagomålsmail/A 34986-2025 FSC-klagomål mail.docx", "A 34986-2025")</f>
        <v/>
      </c>
      <c r="AC41">
        <f>HYPERLINK("https://klasma.github.io/Logging_0484/tillsyn/A 34986-2025 tillsynsbegäran.docx", "A 34986-2025")</f>
        <v/>
      </c>
      <c r="AD41">
        <f>HYPERLINK("https://klasma.github.io/Logging_0484/tillsynsmail/A 34986-2025 tillsynsbegäran mail.docx", "A 34986-2025")</f>
        <v/>
      </c>
      <c r="AE41">
        <f>HYPERLINK("https://klasma.github.io/Logging_0484/fåglar/A 34986-2025 prioriterade fågelarter.docx", "A 34986-2025")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46268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46268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46268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46268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Solvända</t>
        </is>
      </c>
      <c r="W45">
        <f>HYPERLINK("https://klasma.github.io/Logging_0484/artfynd/A 22760-2026 artfynd.xlsx", "A 22760-2026")</f>
        <v/>
      </c>
      <c r="X45">
        <f>HYPERLINK("https://klasma.github.io/Logging_0484/kartor/A 22760-2026 karta.png", "A 22760-2026")</f>
        <v/>
      </c>
      <c r="Y45">
        <f>HYPERLINK("https://klasma.github.io/Logging_0484/kartor_geotiff/A 22760-2026 georefererad karta.tif", "A 22760-2026")</f>
        <v/>
      </c>
      <c r="AA45">
        <f>HYPERLINK("https://klasma.github.io/Logging_0484/klagomål/A 22760-2026 FSC-klagomål.docx", "A 22760-2026")</f>
        <v/>
      </c>
      <c r="AB45">
        <f>HYPERLINK("https://klasma.github.io/Logging_0484/klagomålsmail/A 22760-2026 FSC-klagomål mail.docx", "A 22760-2026")</f>
        <v/>
      </c>
      <c r="AC45">
        <f>HYPERLINK("https://klasma.github.io/Logging_0484/tillsyn/A 22760-2026 tillsynsbegäran.docx", "A 22760-2026")</f>
        <v/>
      </c>
      <c r="AD45">
        <f>HYPERLINK("https://klasma.github.io/Logging_0484/tillsynsmail/A 22760-2026 tillsynsbegäran mail.docx", "A 22760-2026")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46268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46268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46268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46268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46268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46268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46268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46268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46268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46268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46268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46268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46268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46268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46268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46268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46268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50760-2023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46268</v>
      </c>
      <c r="F63" t="inlineStr">
        <is>
          <t>SÖDERMANLANDS LÄN</t>
        </is>
      </c>
      <c r="G63" t="inlineStr">
        <is>
          <t>ESKILSTUNA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Pärluggla</t>
        </is>
      </c>
      <c r="W63">
        <f>HYPERLINK("https://klasma.github.io/Logging_0484/artfynd/A 50760-2023 artfynd.xlsx", "A 50760-2023")</f>
        <v/>
      </c>
      <c r="X63">
        <f>HYPERLINK("https://klasma.github.io/Logging_0484/kartor/A 50760-2023 karta.png", "A 50760-2023")</f>
        <v/>
      </c>
      <c r="Y63">
        <f>HYPERLINK("https://klasma.github.io/Logging_0484/kartor_geotiff/A 50760-2023 georefererad karta.tif", "A 50760-2023")</f>
        <v/>
      </c>
      <c r="AA63">
        <f>HYPERLINK("https://klasma.github.io/Logging_0484/klagomål/A 50760-2023 FSC-klagomål.docx", "A 50760-2023")</f>
        <v/>
      </c>
      <c r="AB63">
        <f>HYPERLINK("https://klasma.github.io/Logging_0484/klagomålsmail/A 50760-2023 FSC-klagomål mail.docx", "A 50760-2023")</f>
        <v/>
      </c>
      <c r="AC63">
        <f>HYPERLINK("https://klasma.github.io/Logging_0484/tillsyn/A 50760-2023 tillsynsbegäran.docx", "A 50760-2023")</f>
        <v/>
      </c>
      <c r="AD63">
        <f>HYPERLINK("https://klasma.github.io/Logging_0484/tillsynsmail/A 50760-2023 tillsynsbegäran mail.docx", "A 50760-2023")</f>
        <v/>
      </c>
      <c r="AE63">
        <f>HYPERLINK("https://klasma.github.io/Logging_0484/fåglar/A 50760-2023 prioriterade fågelarter.docx", "A 50760-2023")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46268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46268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46268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46268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46268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46268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8518-2026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46065</v>
      </c>
      <c r="E70" s="1" t="n">
        <v>46268</v>
      </c>
      <c r="F70" t="inlineStr">
        <is>
          <t>SÖDERMANLANDS LÄN</t>
        </is>
      </c>
      <c r="G70" t="inlineStr">
        <is>
          <t>ESKILSTUNA</t>
        </is>
      </c>
      <c r="I70" t="n">
        <v>8.9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8518-2026 artfynd.xlsx", "A 8518-2026")</f>
        <v/>
      </c>
      <c r="X70">
        <f>HYPERLINK("https://klasma.github.io/Logging_0484/kartor/A 8518-2026 karta.png", "A 8518-2026")</f>
        <v/>
      </c>
      <c r="Y70">
        <f>HYPERLINK("https://klasma.github.io/Logging_0484/kartor_geotiff/A 8518-2026 georefererad karta.tif", "A 8518-2026")</f>
        <v/>
      </c>
      <c r="AA70">
        <f>HYPERLINK("https://klasma.github.io/Logging_0484/klagomål/A 8518-2026 FSC-klagomål.docx", "A 8518-2026")</f>
        <v/>
      </c>
      <c r="AB70">
        <f>HYPERLINK("https://klasma.github.io/Logging_0484/klagomålsmail/A 8518-2026 FSC-klagomål mail.docx", "A 8518-2026")</f>
        <v/>
      </c>
      <c r="AC70">
        <f>HYPERLINK("https://klasma.github.io/Logging_0484/tillsyn/A 8518-2026 tillsynsbegäran.docx", "A 8518-2026")</f>
        <v/>
      </c>
      <c r="AD70">
        <f>HYPERLINK("https://klasma.github.io/Logging_0484/tillsynsmail/A 8518-2026 tillsynsbegäran mail.docx", "A 8518-2026")</f>
        <v/>
      </c>
    </row>
    <row r="71" ht="15" customHeight="1">
      <c r="A71" t="inlineStr">
        <is>
          <t>A 14327-2023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46268</v>
      </c>
      <c r="F71" t="inlineStr">
        <is>
          <t>SÖDERMANLANDS LÄN</t>
        </is>
      </c>
      <c r="G71" t="inlineStr">
        <is>
          <t>ESKILSTUNA</t>
        </is>
      </c>
      <c r="H71" t="inlineStr">
        <is>
          <t>Kommuner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HYPERLINK("https://klasma.github.io/Logging_0484/artfynd/A 14327-2023 artfynd.xlsx", "A 14327-2023")</f>
        <v/>
      </c>
      <c r="X71">
        <f>HYPERLINK("https://klasma.github.io/Logging_0484/kartor/A 14327-2023 karta.png", "A 14327-2023")</f>
        <v/>
      </c>
      <c r="Y71">
        <f>HYPERLINK("https://klasma.github.io/Logging_0484/kartor_geotiff/A 14327-2023 georefererad karta.tif", "A 14327-2023")</f>
        <v/>
      </c>
      <c r="AA71">
        <f>HYPERLINK("https://klasma.github.io/Logging_0484/klagomål/A 14327-2023 FSC-klagomål.docx", "A 14327-2023")</f>
        <v/>
      </c>
      <c r="AB71">
        <f>HYPERLINK("https://klasma.github.io/Logging_0484/klagomålsmail/A 14327-2023 FSC-klagomål mail.docx", "A 14327-2023")</f>
        <v/>
      </c>
      <c r="AC71">
        <f>HYPERLINK("https://klasma.github.io/Logging_0484/tillsyn/A 14327-2023 tillsynsbegäran.docx", "A 14327-2023")</f>
        <v/>
      </c>
      <c r="AD71">
        <f>HYPERLINK("https://klasma.github.io/Logging_0484/tillsynsmail/A 14327-2023 tillsynsbegäran mail.docx", "A 14327-2023")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46268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HYPERLINK("https://klasma.github.io/Logging_0484/artfynd/A 15608-2026 artfynd.xlsx", "A 15608-2026")</f>
        <v/>
      </c>
      <c r="X72">
        <f>HYPERLINK("https://klasma.github.io/Logging_0484/kartor/A 15608-2026 karta.png", "A 15608-2026")</f>
        <v/>
      </c>
      <c r="Y72">
        <f>HYPERLINK("https://klasma.github.io/Logging_0484/kartor_geotiff/A 15608-2026 georefererad karta.tif", "A 15608-2026")</f>
        <v/>
      </c>
      <c r="AA72">
        <f>HYPERLINK("https://klasma.github.io/Logging_0484/klagomål/A 15608-2026 FSC-klagomål.docx", "A 15608-2026")</f>
        <v/>
      </c>
      <c r="AB72">
        <f>HYPERLINK("https://klasma.github.io/Logging_0484/klagomålsmail/A 15608-2026 FSC-klagomål mail.docx", "A 15608-2026")</f>
        <v/>
      </c>
      <c r="AC72">
        <f>HYPERLINK("https://klasma.github.io/Logging_0484/tillsyn/A 15608-2026 tillsynsbegäran.docx", "A 15608-2026")</f>
        <v/>
      </c>
      <c r="AD72">
        <f>HYPERLINK("https://klasma.github.io/Logging_0484/tillsynsmail/A 15608-2026 tillsynsbegäran mail.docx", "A 15608-2026")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46268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46268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46268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46268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48676-2021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46268</v>
      </c>
      <c r="F77" t="inlineStr">
        <is>
          <t>SÖDERMANLANDS LÄN</t>
        </is>
      </c>
      <c r="G77" t="inlineStr">
        <is>
          <t>ESKILSTUNA</t>
        </is>
      </c>
      <c r="I77" t="n">
        <v>8.4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Bronshjon</t>
        </is>
      </c>
      <c r="W77">
        <f>HYPERLINK("https://klasma.github.io/Logging_0484/artfynd/A 48676-2021 artfynd.xlsx", "A 48676-2021")</f>
        <v/>
      </c>
      <c r="X77">
        <f>HYPERLINK("https://klasma.github.io/Logging_0484/kartor/A 48676-2021 karta.png", "A 48676-2021")</f>
        <v/>
      </c>
      <c r="Y77">
        <f>HYPERLINK("https://klasma.github.io/Logging_0484/kartor_geotiff/A 48676-2021 georefererad karta.tif", "A 48676-2021")</f>
        <v/>
      </c>
      <c r="AA77">
        <f>HYPERLINK("https://klasma.github.io/Logging_0484/klagomål/A 48676-2021 FSC-klagomål.docx", "A 48676-2021")</f>
        <v/>
      </c>
      <c r="AB77">
        <f>HYPERLINK("https://klasma.github.io/Logging_0484/klagomålsmail/A 48676-2021 FSC-klagomål mail.docx", "A 48676-2021")</f>
        <v/>
      </c>
      <c r="AC77">
        <f>HYPERLINK("https://klasma.github.io/Logging_0484/tillsyn/A 48676-2021 tillsynsbegäran.docx", "A 48676-2021")</f>
        <v/>
      </c>
      <c r="AD77">
        <f>HYPERLINK("https://klasma.github.io/Logging_0484/tillsynsmail/A 48676-2021 tillsynsbegäran mail.docx", "A 48676-2021")</f>
        <v/>
      </c>
    </row>
    <row r="78" ht="15" customHeight="1">
      <c r="A78" t="inlineStr">
        <is>
          <t>A 38361-2024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45545</v>
      </c>
      <c r="E78" s="1" t="n">
        <v>46268</v>
      </c>
      <c r="F78" t="inlineStr">
        <is>
          <t>SÖDERMANLANDS LÄN</t>
        </is>
      </c>
      <c r="G78" t="inlineStr">
        <is>
          <t>ESKILSTUNA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HYPERLINK("https://klasma.github.io/Logging_0484/artfynd/A 38361-2024 artfynd.xlsx", "A 38361-2024")</f>
        <v/>
      </c>
      <c r="X78">
        <f>HYPERLINK("https://klasma.github.io/Logging_0484/kartor/A 38361-2024 karta.png", "A 38361-2024")</f>
        <v/>
      </c>
      <c r="Y78">
        <f>HYPERLINK("https://klasma.github.io/Logging_0484/kartor_geotiff/A 38361-2024 georefererad karta.tif", "A 38361-2024")</f>
        <v/>
      </c>
      <c r="AA78">
        <f>HYPERLINK("https://klasma.github.io/Logging_0484/klagomål/A 38361-2024 FSC-klagomål.docx", "A 38361-2024")</f>
        <v/>
      </c>
      <c r="AB78">
        <f>HYPERLINK("https://klasma.github.io/Logging_0484/klagomålsmail/A 38361-2024 FSC-klagomål mail.docx", "A 38361-2024")</f>
        <v/>
      </c>
      <c r="AC78">
        <f>HYPERLINK("https://klasma.github.io/Logging_0484/tillsyn/A 38361-2024 tillsynsbegäran.docx", "A 38361-2024")</f>
        <v/>
      </c>
      <c r="AD78">
        <f>HYPERLINK("https://klasma.github.io/Logging_0484/tillsynsmail/A 38361-2024 tillsynsbegäran mail.docx", "A 38361-2024")</f>
        <v/>
      </c>
      <c r="AE78">
        <f>HYPERLINK("https://klasma.github.io/Logging_0484/fåglar/A 38361-2024 prioriterade fågelarter.docx", "A 38361-2024")</f>
        <v/>
      </c>
    </row>
    <row r="79" ht="15" customHeight="1">
      <c r="A79" t="inlineStr">
        <is>
          <t>A 26097-2026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46268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HYPERLINK("https://klasma.github.io/Logging_0484/artfynd/A 26097-2026 artfynd.xlsx", "A 26097-2026")</f>
        <v/>
      </c>
      <c r="X79">
        <f>HYPERLINK("https://klasma.github.io/Logging_0484/kartor/A 26097-2026 karta.png", "A 26097-2026")</f>
        <v/>
      </c>
      <c r="Y79">
        <f>HYPERLINK("https://klasma.github.io/Logging_0484/kartor_geotiff/A 26097-2026 georefererad karta.tif", "A 26097-2026")</f>
        <v/>
      </c>
      <c r="AA79">
        <f>HYPERLINK("https://klasma.github.io/Logging_0484/klagomål/A 26097-2026 FSC-klagomål.docx", "A 26097-2026")</f>
        <v/>
      </c>
      <c r="AB79">
        <f>HYPERLINK("https://klasma.github.io/Logging_0484/klagomålsmail/A 26097-2026 FSC-klagomål mail.docx", "A 26097-2026")</f>
        <v/>
      </c>
      <c r="AC79">
        <f>HYPERLINK("https://klasma.github.io/Logging_0484/tillsyn/A 26097-2026 tillsynsbegäran.docx", "A 26097-2026")</f>
        <v/>
      </c>
      <c r="AD79">
        <f>HYPERLINK("https://klasma.github.io/Logging_0484/tillsynsmail/A 26097-2026 tillsynsbegäran mail.docx", "A 26097-2026")</f>
        <v/>
      </c>
    </row>
    <row r="80" ht="15" customHeight="1">
      <c r="A80" t="inlineStr">
        <is>
          <t>A 26008-2026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46268</v>
      </c>
      <c r="F80" t="inlineStr">
        <is>
          <t>SÖDERMANLANDS LÄN</t>
        </is>
      </c>
      <c r="G80" t="inlineStr">
        <is>
          <t>ESKILSTUNA</t>
        </is>
      </c>
      <c r="I80" t="n">
        <v>2.8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8</v>
      </c>
      <c r="U80" t="n">
        <v>0</v>
      </c>
      <c r="V80" s="2" t="inlineStr">
        <is>
          <t>Svart trolldruva</t>
        </is>
      </c>
      <c r="W80">
        <f>HYPERLINK("https://klasma.github.io/Logging_0484/artfynd/A 26008-2026 artfynd.xlsx", "A 26008-2026")</f>
        <v/>
      </c>
      <c r="X80">
        <f>HYPERLINK("https://klasma.github.io/Logging_0484/kartor/A 26008-2026 karta.png", "A 26008-2026")</f>
        <v/>
      </c>
      <c r="Y80">
        <f>HYPERLINK("https://klasma.github.io/Logging_0484/kartor_geotiff/A 26008-2026 georefererad karta.tif", "A 26008-2026")</f>
        <v/>
      </c>
      <c r="AA80">
        <f>HYPERLINK("https://klasma.github.io/Logging_0484/klagomål/A 26008-2026 FSC-klagomål.docx", "A 26008-2026")</f>
        <v/>
      </c>
      <c r="AB80">
        <f>HYPERLINK("https://klasma.github.io/Logging_0484/klagomålsmail/A 26008-2026 FSC-klagomål mail.docx", "A 26008-2026")</f>
        <v/>
      </c>
      <c r="AC80">
        <f>HYPERLINK("https://klasma.github.io/Logging_0484/tillsyn/A 26008-2026 tillsynsbegäran.docx", "A 26008-2026")</f>
        <v/>
      </c>
      <c r="AD80">
        <f>HYPERLINK("https://klasma.github.io/Logging_0484/tillsynsmail/A 26008-2026 tillsynsbegäran mail.docx", "A 26008-2026")</f>
        <v/>
      </c>
    </row>
    <row r="81" ht="15" customHeight="1">
      <c r="A81" t="inlineStr">
        <is>
          <t>A 26094-2026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46268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3.4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HYPERLINK("https://klasma.github.io/Logging_0484/artfynd/A 26094-2026 artfynd.xlsx", "A 26094-2026")</f>
        <v/>
      </c>
      <c r="X81">
        <f>HYPERLINK("https://klasma.github.io/Logging_0484/kartor/A 26094-2026 karta.png", "A 26094-2026")</f>
        <v/>
      </c>
      <c r="Y81">
        <f>HYPERLINK("https://klasma.github.io/Logging_0484/kartor_geotiff/A 26094-2026 georefererad karta.tif", "A 26094-2026")</f>
        <v/>
      </c>
      <c r="AA81">
        <f>HYPERLINK("https://klasma.github.io/Logging_0484/klagomål/A 26094-2026 FSC-klagomål.docx", "A 26094-2026")</f>
        <v/>
      </c>
      <c r="AB81">
        <f>HYPERLINK("https://klasma.github.io/Logging_0484/klagomålsmail/A 26094-2026 FSC-klagomål mail.docx", "A 26094-2026")</f>
        <v/>
      </c>
      <c r="AC81">
        <f>HYPERLINK("https://klasma.github.io/Logging_0484/tillsyn/A 26094-2026 tillsynsbegäran.docx", "A 26094-2026")</f>
        <v/>
      </c>
      <c r="AD81">
        <f>HYPERLINK("https://klasma.github.io/Logging_0484/tillsynsmail/A 26094-2026 tillsynsbegäran mail.docx", "A 26094-2026")</f>
        <v/>
      </c>
      <c r="AE81">
        <f>HYPERLINK("https://klasma.github.io/Logging_0484/fåglar/A 26094-2026 prioriterade fågelarter.docx", "A 26094-2026")</f>
        <v/>
      </c>
    </row>
    <row r="82" ht="15" customHeight="1">
      <c r="A82" t="inlineStr">
        <is>
          <t>A 67047-2021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44522</v>
      </c>
      <c r="E82" s="1" t="n">
        <v>46268</v>
      </c>
      <c r="F82" t="inlineStr">
        <is>
          <t>SÖDERMANLANDS LÄN</t>
        </is>
      </c>
      <c r="G82" t="inlineStr">
        <is>
          <t>ESKILSTUNA</t>
        </is>
      </c>
      <c r="H82" t="inlineStr">
        <is>
          <t>Kyrkan</t>
        </is>
      </c>
      <c r="I82" t="n">
        <v>2.7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HYPERLINK("https://klasma.github.io/Logging_0484/artfynd/A 67047-2021 artfynd.xlsx", "A 67047-2021")</f>
        <v/>
      </c>
      <c r="X82">
        <f>HYPERLINK("https://klasma.github.io/Logging_0484/kartor/A 67047-2021 karta.png", "A 67047-2021")</f>
        <v/>
      </c>
      <c r="Y82">
        <f>HYPERLINK("https://klasma.github.io/Logging_0484/kartor_geotiff/A 67047-2021 georefererad karta.tif", "A 67047-2021")</f>
        <v/>
      </c>
      <c r="AA82">
        <f>HYPERLINK("https://klasma.github.io/Logging_0484/klagomål/A 67047-2021 FSC-klagomål.docx", "A 67047-2021")</f>
        <v/>
      </c>
      <c r="AB82">
        <f>HYPERLINK("https://klasma.github.io/Logging_0484/klagomålsmail/A 67047-2021 FSC-klagomål mail.docx", "A 67047-2021")</f>
        <v/>
      </c>
      <c r="AC82">
        <f>HYPERLINK("https://klasma.github.io/Logging_0484/tillsyn/A 67047-2021 tillsynsbegäran.docx", "A 67047-2021")</f>
        <v/>
      </c>
      <c r="AD82">
        <f>HYPERLINK("https://klasma.github.io/Logging_0484/tillsynsmail/A 67047-2021 tillsynsbegäran mail.docx", "A 67047-2021")</f>
        <v/>
      </c>
    </row>
    <row r="83" ht="15" customHeight="1">
      <c r="A83" t="inlineStr">
        <is>
          <t>A 27892-2026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46268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Nattviol</t>
        </is>
      </c>
      <c r="W83">
        <f>HYPERLINK("https://klasma.github.io/Logging_0484/artfynd/A 27892-2026 artfynd.xlsx", "A 27892-2026")</f>
        <v/>
      </c>
      <c r="X83">
        <f>HYPERLINK("https://klasma.github.io/Logging_0484/kartor/A 27892-2026 karta.png", "A 27892-2026")</f>
        <v/>
      </c>
      <c r="Y83">
        <f>HYPERLINK("https://klasma.github.io/Logging_0484/kartor_geotiff/A 27892-2026 georefererad karta.tif", "A 27892-2026")</f>
        <v/>
      </c>
      <c r="AA83">
        <f>HYPERLINK("https://klasma.github.io/Logging_0484/klagomål/A 27892-2026 FSC-klagomål.docx", "A 27892-2026")</f>
        <v/>
      </c>
      <c r="AB83">
        <f>HYPERLINK("https://klasma.github.io/Logging_0484/klagomålsmail/A 27892-2026 FSC-klagomål mail.docx", "A 27892-2026")</f>
        <v/>
      </c>
      <c r="AC83">
        <f>HYPERLINK("https://klasma.github.io/Logging_0484/tillsyn/A 27892-2026 tillsynsbegäran.docx", "A 27892-2026")</f>
        <v/>
      </c>
      <c r="AD83">
        <f>HYPERLINK("https://klasma.github.io/Logging_0484/tillsynsmail/A 27892-2026 tillsynsbegäran mail.docx", "A 27892-2026")</f>
        <v/>
      </c>
    </row>
    <row r="84" ht="15" customHeight="1">
      <c r="A84" t="inlineStr">
        <is>
          <t>A 33004-2026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46244</v>
      </c>
      <c r="E84" s="1" t="n">
        <v>46268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Kommuner</t>
        </is>
      </c>
      <c r="I84" t="n">
        <v>1.7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33004-2026 artfynd.xlsx", "A 33004-2026")</f>
        <v/>
      </c>
      <c r="X84">
        <f>HYPERLINK("https://klasma.github.io/Logging_0484/kartor/A 33004-2026 karta.png", "A 33004-2026")</f>
        <v/>
      </c>
      <c r="Y84">
        <f>HYPERLINK("https://klasma.github.io/Logging_0484/kartor_geotiff/A 33004-2026 georefererad karta.tif", "A 33004-2026")</f>
        <v/>
      </c>
      <c r="AA84">
        <f>HYPERLINK("https://klasma.github.io/Logging_0484/klagomål/A 33004-2026 FSC-klagomål.docx", "A 33004-2026")</f>
        <v/>
      </c>
      <c r="AB84">
        <f>HYPERLINK("https://klasma.github.io/Logging_0484/klagomålsmail/A 33004-2026 FSC-klagomål mail.docx", "A 33004-2026")</f>
        <v/>
      </c>
      <c r="AC84">
        <f>HYPERLINK("https://klasma.github.io/Logging_0484/tillsyn/A 33004-2026 tillsynsbegäran.docx", "A 33004-2026")</f>
        <v/>
      </c>
      <c r="AD84">
        <f>HYPERLINK("https://klasma.github.io/Logging_0484/tillsynsmail/A 33004-2026 tillsynsbegäran mail.docx", "A 33004-2026")</f>
        <v/>
      </c>
    </row>
    <row r="85" ht="15" customHeight="1">
      <c r="A85" t="inlineStr">
        <is>
          <t>A 47648-2022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46268</v>
      </c>
      <c r="F85" t="inlineStr">
        <is>
          <t>SÖDERMANLANDS LÄN</t>
        </is>
      </c>
      <c r="G85" t="inlineStr">
        <is>
          <t>ESKILSTUNA</t>
        </is>
      </c>
      <c r="I85" t="n">
        <v>1.8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Grönsångare</t>
        </is>
      </c>
      <c r="W85">
        <f>HYPERLINK("https://klasma.github.io/Logging_0484/artfynd/A 47648-2022 artfynd.xlsx", "A 47648-2022")</f>
        <v/>
      </c>
      <c r="X85">
        <f>HYPERLINK("https://klasma.github.io/Logging_0484/kartor/A 47648-2022 karta.png", "A 47648-2022")</f>
        <v/>
      </c>
      <c r="Y85">
        <f>HYPERLINK("https://klasma.github.io/Logging_0484/kartor_geotiff/A 47648-2022 georefererad karta.tif", "A 47648-2022")</f>
        <v/>
      </c>
      <c r="AA85">
        <f>HYPERLINK("https://klasma.github.io/Logging_0484/klagomål/A 47648-2022 FSC-klagomål.docx", "A 47648-2022")</f>
        <v/>
      </c>
      <c r="AB85">
        <f>HYPERLINK("https://klasma.github.io/Logging_0484/klagomålsmail/A 47648-2022 FSC-klagomål mail.docx", "A 47648-2022")</f>
        <v/>
      </c>
      <c r="AC85">
        <f>HYPERLINK("https://klasma.github.io/Logging_0484/tillsyn/A 47648-2022 tillsynsbegäran.docx", "A 47648-2022")</f>
        <v/>
      </c>
      <c r="AD85">
        <f>HYPERLINK("https://klasma.github.io/Logging_0484/tillsynsmail/A 47648-2022 tillsynsbegäran mail.docx", "A 47648-2022")</f>
        <v/>
      </c>
      <c r="AE85">
        <f>HYPERLINK("https://klasma.github.io/Logging_0484/fåglar/A 47648-2022 prioriterade fågelarter.docx", "A 47648-2022")</f>
        <v/>
      </c>
    </row>
    <row r="86" ht="15" customHeight="1">
      <c r="A86" t="inlineStr">
        <is>
          <t>A 53399-2023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46268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Grönvit nattviol</t>
        </is>
      </c>
      <c r="W86">
        <f>HYPERLINK("https://klasma.github.io/Logging_0484/artfynd/A 53399-2023 artfynd.xlsx", "A 53399-2023")</f>
        <v/>
      </c>
      <c r="X86">
        <f>HYPERLINK("https://klasma.github.io/Logging_0484/kartor/A 53399-2023 karta.png", "A 53399-2023")</f>
        <v/>
      </c>
      <c r="Y86">
        <f>HYPERLINK("https://klasma.github.io/Logging_0484/kartor_geotiff/A 53399-2023 georefererad karta.tif", "A 53399-2023")</f>
        <v/>
      </c>
      <c r="AA86">
        <f>HYPERLINK("https://klasma.github.io/Logging_0484/klagomål/A 53399-2023 FSC-klagomål.docx", "A 53399-2023")</f>
        <v/>
      </c>
      <c r="AB86">
        <f>HYPERLINK("https://klasma.github.io/Logging_0484/klagomålsmail/A 53399-2023 FSC-klagomål mail.docx", "A 53399-2023")</f>
        <v/>
      </c>
      <c r="AC86">
        <f>HYPERLINK("https://klasma.github.io/Logging_0484/tillsyn/A 53399-2023 tillsynsbegäran.docx", "A 53399-2023")</f>
        <v/>
      </c>
      <c r="AD86">
        <f>HYPERLINK("https://klasma.github.io/Logging_0484/tillsynsmail/A 53399-2023 tillsynsbegäran mail.docx", "A 53399-2023")</f>
        <v/>
      </c>
    </row>
    <row r="87" ht="15" customHeight="1">
      <c r="A87" t="inlineStr">
        <is>
          <t>A 43547-2022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44834</v>
      </c>
      <c r="E87" s="1" t="n">
        <v>46268</v>
      </c>
      <c r="F87" t="inlineStr">
        <is>
          <t>SÖDERMANLANDS LÄN</t>
        </is>
      </c>
      <c r="G87" t="inlineStr">
        <is>
          <t>ESKILSTUNA</t>
        </is>
      </c>
      <c r="I87" t="n">
        <v>3.2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HYPERLINK("https://klasma.github.io/Logging_0484/artfynd/A 43547-2022 artfynd.xlsx", "A 43547-2022")</f>
        <v/>
      </c>
      <c r="X87">
        <f>HYPERLINK("https://klasma.github.io/Logging_0484/kartor/A 43547-2022 karta.png", "A 43547-2022")</f>
        <v/>
      </c>
      <c r="Y87">
        <f>HYPERLINK("https://klasma.github.io/Logging_0484/kartor_geotiff/A 43547-2022 georefererad karta.tif", "A 43547-2022")</f>
        <v/>
      </c>
      <c r="Z87">
        <f>HYPERLINK("https://klasma.github.io/Logging_0484/knärot/A 43547-2022 karta knärot.png", "A 43547-2022")</f>
        <v/>
      </c>
      <c r="AA87">
        <f>HYPERLINK("https://klasma.github.io/Logging_0484/klagomål/A 43547-2022 FSC-klagomål.docx", "A 43547-2022")</f>
        <v/>
      </c>
      <c r="AB87">
        <f>HYPERLINK("https://klasma.github.io/Logging_0484/klagomålsmail/A 43547-2022 FSC-klagomål mail.docx", "A 43547-2022")</f>
        <v/>
      </c>
      <c r="AC87">
        <f>HYPERLINK("https://klasma.github.io/Logging_0484/tillsyn/A 43547-2022 tillsynsbegäran.docx", "A 43547-2022")</f>
        <v/>
      </c>
      <c r="AD87">
        <f>HYPERLINK("https://klasma.github.io/Logging_0484/tillsynsmail/A 43547-2022 tillsynsbegäran mail.docx", "A 43547-2022")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46268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29047-2026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46199</v>
      </c>
      <c r="E89" s="1" t="n">
        <v>46268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Kandelabersvamp</t>
        </is>
      </c>
      <c r="W89">
        <f>HYPERLINK("https://klasma.github.io/Logging_0484/artfynd/A 29047-2026 artfynd.xlsx", "A 29047-2026")</f>
        <v/>
      </c>
      <c r="X89">
        <f>HYPERLINK("https://klasma.github.io/Logging_0484/kartor/A 29047-2026 karta.png", "A 29047-2026")</f>
        <v/>
      </c>
      <c r="Y89">
        <f>HYPERLINK("https://klasma.github.io/Logging_0484/kartor_geotiff/A 29047-2026 georefererad karta.tif", "A 29047-2026")</f>
        <v/>
      </c>
      <c r="AA89">
        <f>HYPERLINK("https://klasma.github.io/Logging_0484/klagomål/A 29047-2026 FSC-klagomål.docx", "A 29047-2026")</f>
        <v/>
      </c>
      <c r="AB89">
        <f>HYPERLINK("https://klasma.github.io/Logging_0484/klagomålsmail/A 29047-2026 FSC-klagomål mail.docx", "A 29047-2026")</f>
        <v/>
      </c>
      <c r="AC89">
        <f>HYPERLINK("https://klasma.github.io/Logging_0484/tillsyn/A 29047-2026 tillsynsbegäran.docx", "A 29047-2026")</f>
        <v/>
      </c>
      <c r="AD89">
        <f>HYPERLINK("https://klasma.github.io/Logging_0484/tillsynsmail/A 29047-2026 tillsynsbegäran mail.docx", "A 29047-2026")</f>
        <v/>
      </c>
    </row>
    <row r="90" ht="15" customHeight="1">
      <c r="A90" t="inlineStr">
        <is>
          <t>A 30975-2023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46268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Bombmurkla</t>
        </is>
      </c>
      <c r="W90">
        <f>HYPERLINK("https://klasma.github.io/Logging_0484/artfynd/A 30975-2023 artfynd.xlsx", "A 30975-2023")</f>
        <v/>
      </c>
      <c r="X90">
        <f>HYPERLINK("https://klasma.github.io/Logging_0484/kartor/A 30975-2023 karta.png", "A 30975-2023")</f>
        <v/>
      </c>
      <c r="Y90">
        <f>HYPERLINK("https://klasma.github.io/Logging_0484/kartor_geotiff/A 30975-2023 georefererad karta.tif", "A 30975-2023")</f>
        <v/>
      </c>
      <c r="AA90">
        <f>HYPERLINK("https://klasma.github.io/Logging_0484/klagomål/A 30975-2023 FSC-klagomål.docx", "A 30975-2023")</f>
        <v/>
      </c>
      <c r="AB90">
        <f>HYPERLINK("https://klasma.github.io/Logging_0484/klagomålsmail/A 30975-2023 FSC-klagomål mail.docx", "A 30975-2023")</f>
        <v/>
      </c>
      <c r="AC90">
        <f>HYPERLINK("https://klasma.github.io/Logging_0484/tillsyn/A 30975-2023 tillsynsbegäran.docx", "A 30975-2023")</f>
        <v/>
      </c>
      <c r="AD90">
        <f>HYPERLINK("https://klasma.github.io/Logging_0484/tillsynsmail/A 30975-2023 tillsynsbegäran mail.docx", "A 30975-2023")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46268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46268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46268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46268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44490</v>
      </c>
      <c r="E95" s="1" t="n">
        <v>46268</v>
      </c>
      <c r="F95" t="inlineStr">
        <is>
          <t>SÖDERMANLANDS LÄN</t>
        </is>
      </c>
      <c r="G95" t="inlineStr">
        <is>
          <t>ESKILSTUNA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46268</v>
      </c>
      <c r="F96" t="inlineStr">
        <is>
          <t>SÖDERMANLANDS LÄN</t>
        </is>
      </c>
      <c r="G96" t="inlineStr">
        <is>
          <t>ESKILSTUNA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46268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46268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46268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46268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46268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46268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46268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46268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46268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46268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46268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46268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46268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46268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46268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46268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46268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46268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46268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46268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46268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46268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46268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46268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46268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46268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46268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46268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44588</v>
      </c>
      <c r="E125" s="1" t="n">
        <v>46268</v>
      </c>
      <c r="F125" t="inlineStr">
        <is>
          <t>SÖDERMANLANDS LÄN</t>
        </is>
      </c>
      <c r="G125" t="inlineStr">
        <is>
          <t>ESKILSTUNA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46268</v>
      </c>
      <c r="F126" t="inlineStr">
        <is>
          <t>SÖDERMANLANDS LÄN</t>
        </is>
      </c>
      <c r="G126" t="inlineStr">
        <is>
          <t>ESKILSTUNA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46268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46268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46268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46268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46268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46268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46268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46268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46268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46268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46268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46268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46268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46268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46268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46268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46268</v>
      </c>
      <c r="F143" t="inlineStr">
        <is>
          <t>SÖDERMANLANDS LÄN</t>
        </is>
      </c>
      <c r="G143" t="inlineStr">
        <is>
          <t>ESKILSTUNA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46268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46268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46268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44449</v>
      </c>
      <c r="E147" s="1" t="n">
        <v>46268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46268</v>
      </c>
      <c r="F148" t="inlineStr">
        <is>
          <t>SÖDERMANLANDS LÄN</t>
        </is>
      </c>
      <c r="G148" t="inlineStr">
        <is>
          <t>ESKILSTUNA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46268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46268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46268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46268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46268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46268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46268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46268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Allmännings- och besparingsskogar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70191-2021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46268</v>
      </c>
      <c r="F157" t="inlineStr">
        <is>
          <t>SÖDERMANLANDS LÄN</t>
        </is>
      </c>
      <c r="G157" t="inlineStr">
        <is>
          <t>ESKILSTUNA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46268</v>
      </c>
      <c r="F158" t="inlineStr">
        <is>
          <t>SÖDERMANLANDS LÄN</t>
        </is>
      </c>
      <c r="G158" t="inlineStr">
        <is>
          <t>ESKILSTUNA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46268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46268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46268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46268</v>
      </c>
      <c r="F162" t="inlineStr">
        <is>
          <t>SÖDERMANLANDS LÄN</t>
        </is>
      </c>
      <c r="G162" t="inlineStr">
        <is>
          <t>ESKILSTUNA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46268</v>
      </c>
      <c r="F163" t="inlineStr">
        <is>
          <t>SÖDERMANLANDS LÄN</t>
        </is>
      </c>
      <c r="G163" t="inlineStr">
        <is>
          <t>ESKILSTUNA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44755</v>
      </c>
      <c r="E164" s="1" t="n">
        <v>46268</v>
      </c>
      <c r="F164" t="inlineStr">
        <is>
          <t>SÖDERMANLANDS LÄN</t>
        </is>
      </c>
      <c r="G164" t="inlineStr">
        <is>
          <t>ESKILSTUNA</t>
        </is>
      </c>
      <c r="I164" t="n">
        <v>20.1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46268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44946</v>
      </c>
      <c r="E166" s="1" t="n">
        <v>46268</v>
      </c>
      <c r="F166" t="inlineStr">
        <is>
          <t>SÖDERMANLANDS LÄN</t>
        </is>
      </c>
      <c r="G166" t="inlineStr">
        <is>
          <t>ESKILSTUNA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45005</v>
      </c>
      <c r="E167" s="1" t="n">
        <v>46268</v>
      </c>
      <c r="F167" t="inlineStr">
        <is>
          <t>SÖDERMANLANDS LÄN</t>
        </is>
      </c>
      <c r="G167" t="inlineStr">
        <is>
          <t>ESKILSTUNA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44886</v>
      </c>
      <c r="E168" s="1" t="n">
        <v>46268</v>
      </c>
      <c r="F168" t="inlineStr">
        <is>
          <t>SÖDERMANLANDS LÄN</t>
        </is>
      </c>
      <c r="G168" t="inlineStr">
        <is>
          <t>ESKILSTUNA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46268</v>
      </c>
      <c r="F169" t="inlineStr">
        <is>
          <t>SÖDERMANLANDS LÄN</t>
        </is>
      </c>
      <c r="G169" t="inlineStr">
        <is>
          <t>ESKILSTUNA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46268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46268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Kommuner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46268</v>
      </c>
      <c r="F172" t="inlineStr">
        <is>
          <t>SÖDERMANLANDS LÄN</t>
        </is>
      </c>
      <c r="G172" t="inlineStr">
        <is>
          <t>ESKILSTUNA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15592-2023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45020</v>
      </c>
      <c r="E173" s="1" t="n">
        <v>46268</v>
      </c>
      <c r="F173" t="inlineStr">
        <is>
          <t>SÖDERMANLANDS LÄN</t>
        </is>
      </c>
      <c r="G173" t="inlineStr">
        <is>
          <t>ESKILSTUNA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45341</v>
      </c>
      <c r="E174" s="1" t="n">
        <v>46268</v>
      </c>
      <c r="F174" t="inlineStr">
        <is>
          <t>SÖDERMANLANDS LÄN</t>
        </is>
      </c>
      <c r="G174" t="inlineStr">
        <is>
          <t>ESKILSTUNA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46268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46268</v>
      </c>
      <c r="F176" t="inlineStr">
        <is>
          <t>SÖDERMANLANDS LÄN</t>
        </is>
      </c>
      <c r="G176" t="inlineStr">
        <is>
          <t>ESKILSTUNA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46268</v>
      </c>
      <c r="F177" t="inlineStr">
        <is>
          <t>SÖDERMANLANDS LÄN</t>
        </is>
      </c>
      <c r="G177" t="inlineStr">
        <is>
          <t>ESKILSTUNA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45608</v>
      </c>
      <c r="E178" s="1" t="n">
        <v>46268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Övriga Aktiebolag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44819</v>
      </c>
      <c r="E179" s="1" t="n">
        <v>46268</v>
      </c>
      <c r="F179" t="inlineStr">
        <is>
          <t>SÖDERMANLANDS LÄN</t>
        </is>
      </c>
      <c r="G179" t="inlineStr">
        <is>
          <t>ESKILSTUNA</t>
        </is>
      </c>
      <c r="I179" t="n">
        <v>11.6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32708-2024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45514</v>
      </c>
      <c r="E180" s="1" t="n">
        <v>46268</v>
      </c>
      <c r="F180" t="inlineStr">
        <is>
          <t>SÖDERMANLANDS LÄN</t>
        </is>
      </c>
      <c r="G180" t="inlineStr">
        <is>
          <t>ESKILSTUNA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46268</v>
      </c>
      <c r="F181" t="inlineStr">
        <is>
          <t>SÖDERMANLANDS LÄN</t>
        </is>
      </c>
      <c r="G181" t="inlineStr">
        <is>
          <t>ESKILSTUNA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46268</v>
      </c>
      <c r="F182" t="inlineStr">
        <is>
          <t>SÖDERMANLANDS LÄN</t>
        </is>
      </c>
      <c r="G182" t="inlineStr">
        <is>
          <t>ESKILSTUNA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45301</v>
      </c>
      <c r="E183" s="1" t="n">
        <v>46268</v>
      </c>
      <c r="F183" t="inlineStr">
        <is>
          <t>SÖDERMANLANDS LÄN</t>
        </is>
      </c>
      <c r="G183" t="inlineStr">
        <is>
          <t>ESKILSTUNA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46268</v>
      </c>
      <c r="F184" t="inlineStr">
        <is>
          <t>SÖDERMANLANDS LÄN</t>
        </is>
      </c>
      <c r="G184" t="inlineStr">
        <is>
          <t>ESKILSTUNA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30968-2022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44768</v>
      </c>
      <c r="E185" s="1" t="n">
        <v>46268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Sveaskog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44634</v>
      </c>
      <c r="E186" s="1" t="n">
        <v>46268</v>
      </c>
      <c r="F186" t="inlineStr">
        <is>
          <t>SÖDERMANLANDS LÄN</t>
        </is>
      </c>
      <c r="G186" t="inlineStr">
        <is>
          <t>ESKILSTUNA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45007</v>
      </c>
      <c r="E187" s="1" t="n">
        <v>46268</v>
      </c>
      <c r="F187" t="inlineStr">
        <is>
          <t>SÖDERMANLANDS LÄN</t>
        </is>
      </c>
      <c r="G187" t="inlineStr">
        <is>
          <t>ESKILSTUNA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44582</v>
      </c>
      <c r="E188" s="1" t="n">
        <v>46268</v>
      </c>
      <c r="F188" t="inlineStr">
        <is>
          <t>SÖDERMANLANDS LÄN</t>
        </is>
      </c>
      <c r="G188" t="inlineStr">
        <is>
          <t>ESKILSTUNA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68020-2021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44525</v>
      </c>
      <c r="E189" s="1" t="n">
        <v>46268</v>
      </c>
      <c r="F189" t="inlineStr">
        <is>
          <t>SÖDERMANLANDS LÄN</t>
        </is>
      </c>
      <c r="G189" t="inlineStr">
        <is>
          <t>ESKILSTUNA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46268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44889</v>
      </c>
      <c r="E191" s="1" t="n">
        <v>46268</v>
      </c>
      <c r="F191" t="inlineStr">
        <is>
          <t>SÖDERMANLANDS LÄN</t>
        </is>
      </c>
      <c r="G191" t="inlineStr">
        <is>
          <t>ESKILSTUNA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44886</v>
      </c>
      <c r="E192" s="1" t="n">
        <v>46268</v>
      </c>
      <c r="F192" t="inlineStr">
        <is>
          <t>SÖDERMANLANDS LÄN</t>
        </is>
      </c>
      <c r="G192" t="inlineStr">
        <is>
          <t>ESKILSTUNA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38895-2023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45163</v>
      </c>
      <c r="E193" s="1" t="n">
        <v>46268</v>
      </c>
      <c r="F193" t="inlineStr">
        <is>
          <t>SÖDERMANLANDS LÄN</t>
        </is>
      </c>
      <c r="G193" t="inlineStr">
        <is>
          <t>ESKILSTUNA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44804</v>
      </c>
      <c r="E194" s="1" t="n">
        <v>46268</v>
      </c>
      <c r="F194" t="inlineStr">
        <is>
          <t>SÖDERMANLANDS LÄN</t>
        </is>
      </c>
      <c r="G194" t="inlineStr">
        <is>
          <t>ESKILSTUNA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45568</v>
      </c>
      <c r="E195" s="1" t="n">
        <v>46268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Allmännings- och besparingsskogar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46268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Allmännings- och besparingsskogar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45882-2022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44844</v>
      </c>
      <c r="E197" s="1" t="n">
        <v>46268</v>
      </c>
      <c r="F197" t="inlineStr">
        <is>
          <t>SÖDERMANLANDS LÄN</t>
        </is>
      </c>
      <c r="G197" t="inlineStr">
        <is>
          <t>ESKILSTUNA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44844</v>
      </c>
      <c r="E198" s="1" t="n">
        <v>46268</v>
      </c>
      <c r="F198" t="inlineStr">
        <is>
          <t>SÖDERMANLANDS LÄN</t>
        </is>
      </c>
      <c r="G198" t="inlineStr">
        <is>
          <t>ESKILSTUNA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44883</v>
      </c>
      <c r="E199" s="1" t="n">
        <v>46268</v>
      </c>
      <c r="F199" t="inlineStr">
        <is>
          <t>SÖDERMANLANDS LÄN</t>
        </is>
      </c>
      <c r="G199" t="inlineStr">
        <is>
          <t>ESKILSTUNA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24537-2025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45798</v>
      </c>
      <c r="E200" s="1" t="n">
        <v>46268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Sveaskog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45708</v>
      </c>
      <c r="E201" s="1" t="n">
        <v>46268</v>
      </c>
      <c r="F201" t="inlineStr">
        <is>
          <t>SÖDERMANLANDS LÄN</t>
        </is>
      </c>
      <c r="G201" t="inlineStr">
        <is>
          <t>ESKILSTUNA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61830-2023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45266</v>
      </c>
      <c r="E202" s="1" t="n">
        <v>46268</v>
      </c>
      <c r="F202" t="inlineStr">
        <is>
          <t>SÖDERMANLANDS LÄN</t>
        </is>
      </c>
      <c r="G202" t="inlineStr">
        <is>
          <t>ESKILSTUNA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45544</v>
      </c>
      <c r="E203" s="1" t="n">
        <v>46268</v>
      </c>
      <c r="F203" t="inlineStr">
        <is>
          <t>SÖDERMANLANDS LÄN</t>
        </is>
      </c>
      <c r="G203" t="inlineStr">
        <is>
          <t>ESKILSTUNA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44626</v>
      </c>
      <c r="E204" s="1" t="n">
        <v>46268</v>
      </c>
      <c r="F204" t="inlineStr">
        <is>
          <t>SÖDERMANLANDS LÄN</t>
        </is>
      </c>
      <c r="G204" t="inlineStr">
        <is>
          <t>ESKILSTUNA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10271-2024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46268</v>
      </c>
      <c r="F205" t="inlineStr">
        <is>
          <t>SÖDERMANLANDS LÄN</t>
        </is>
      </c>
      <c r="G205" t="inlineStr">
        <is>
          <t>ESKILSTUNA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45041</v>
      </c>
      <c r="E206" s="1" t="n">
        <v>46268</v>
      </c>
      <c r="F206" t="inlineStr">
        <is>
          <t>SÖDERMANLANDS LÄN</t>
        </is>
      </c>
      <c r="G206" t="inlineStr">
        <is>
          <t>ESKILSTUNA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46268</v>
      </c>
      <c r="F207" t="inlineStr">
        <is>
          <t>SÖDERMANLANDS LÄN</t>
        </is>
      </c>
      <c r="G207" t="inlineStr">
        <is>
          <t>ESKILSTUNA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45006</v>
      </c>
      <c r="E208" s="1" t="n">
        <v>46268</v>
      </c>
      <c r="F208" t="inlineStr">
        <is>
          <t>SÖDERMANLANDS LÄN</t>
        </is>
      </c>
      <c r="G208" t="inlineStr">
        <is>
          <t>ESKILSTUNA</t>
        </is>
      </c>
      <c r="I208" t="n">
        <v>16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46268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46268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Kyrkan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55763-2022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44886</v>
      </c>
      <c r="E211" s="1" t="n">
        <v>46268</v>
      </c>
      <c r="F211" t="inlineStr">
        <is>
          <t>SÖDERMANLANDS LÄN</t>
        </is>
      </c>
      <c r="G211" t="inlineStr">
        <is>
          <t>ESKILSTUNA</t>
        </is>
      </c>
      <c r="I211" t="n">
        <v>15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46268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30096-2025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45826</v>
      </c>
      <c r="E213" s="1" t="n">
        <v>46268</v>
      </c>
      <c r="F213" t="inlineStr">
        <is>
          <t>SÖDERMANLANDS LÄN</t>
        </is>
      </c>
      <c r="G213" t="inlineStr">
        <is>
          <t>ESKILSTUNA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70265-2021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44536</v>
      </c>
      <c r="E214" s="1" t="n">
        <v>46268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Sveaskog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46268</v>
      </c>
      <c r="F215" t="inlineStr">
        <is>
          <t>SÖDERMANLANDS LÄN</t>
        </is>
      </c>
      <c r="G215" t="inlineStr">
        <is>
          <t>ESKILSTUNA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30117-2025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46268</v>
      </c>
      <c r="F216" t="inlineStr">
        <is>
          <t>SÖDERMANLANDS LÄN</t>
        </is>
      </c>
      <c r="G216" t="inlineStr">
        <is>
          <t>ESKILSTUNA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46268</v>
      </c>
      <c r="F217" t="inlineStr">
        <is>
          <t>SÖDERMANLANDS LÄN</t>
        </is>
      </c>
      <c r="G217" t="inlineStr">
        <is>
          <t>ESKILSTUNA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46268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45897</v>
      </c>
      <c r="E219" s="1" t="n">
        <v>46268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46268</v>
      </c>
      <c r="F220" t="inlineStr">
        <is>
          <t>SÖDERMANLANDS LÄN</t>
        </is>
      </c>
      <c r="G220" t="inlineStr">
        <is>
          <t>ESKILSTUNA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46268</v>
      </c>
      <c r="F221" t="inlineStr">
        <is>
          <t>SÖDERMANLANDS LÄN</t>
        </is>
      </c>
      <c r="G221" t="inlineStr">
        <is>
          <t>ESKILSTUNA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46268</v>
      </c>
      <c r="F222" t="inlineStr">
        <is>
          <t>SÖDERMANLANDS LÄN</t>
        </is>
      </c>
      <c r="G222" t="inlineStr">
        <is>
          <t>ESKILSTUNA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4200-2025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45685</v>
      </c>
      <c r="E223" s="1" t="n">
        <v>46268</v>
      </c>
      <c r="F223" t="inlineStr">
        <is>
          <t>SÖDERMANLANDS LÄN</t>
        </is>
      </c>
      <c r="G223" t="inlineStr">
        <is>
          <t>ESKILSTUNA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70613-2021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44537</v>
      </c>
      <c r="E224" s="1" t="n">
        <v>46268</v>
      </c>
      <c r="F224" t="inlineStr">
        <is>
          <t>SÖDERMANLANDS LÄN</t>
        </is>
      </c>
      <c r="G224" t="inlineStr">
        <is>
          <t>ESKILSTUNA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65614-2021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44516</v>
      </c>
      <c r="E225" s="1" t="n">
        <v>46268</v>
      </c>
      <c r="F225" t="inlineStr">
        <is>
          <t>SÖDERMANLANDS LÄN</t>
        </is>
      </c>
      <c r="G225" t="inlineStr">
        <is>
          <t>ESKILSTUNA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45695</v>
      </c>
      <c r="E226" s="1" t="n">
        <v>46268</v>
      </c>
      <c r="F226" t="inlineStr">
        <is>
          <t>SÖDERMANLANDS LÄN</t>
        </is>
      </c>
      <c r="G226" t="inlineStr">
        <is>
          <t>ESKILSTUNA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46268</v>
      </c>
      <c r="F227" t="inlineStr">
        <is>
          <t>SÖDERMANLANDS LÄN</t>
        </is>
      </c>
      <c r="G227" t="inlineStr">
        <is>
          <t>ESKILSTUNA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46268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Allmännings- och besparingsskogar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46268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46268</v>
      </c>
      <c r="F230" t="inlineStr">
        <is>
          <t>SÖDERMANLANDS LÄN</t>
        </is>
      </c>
      <c r="G230" t="inlineStr">
        <is>
          <t>ESKILSTUNA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61314-2022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44915</v>
      </c>
      <c r="E231" s="1" t="n">
        <v>46268</v>
      </c>
      <c r="F231" t="inlineStr">
        <is>
          <t>SÖDERMANLANDS LÄN</t>
        </is>
      </c>
      <c r="G231" t="inlineStr">
        <is>
          <t>ESKILSTUNA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44983</v>
      </c>
      <c r="E232" s="1" t="n">
        <v>46268</v>
      </c>
      <c r="F232" t="inlineStr">
        <is>
          <t>SÖDERMANLANDS LÄN</t>
        </is>
      </c>
      <c r="G232" t="inlineStr">
        <is>
          <t>ESKILSTUNA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46268</v>
      </c>
      <c r="F233" t="inlineStr">
        <is>
          <t>SÖDERMANLANDS LÄN</t>
        </is>
      </c>
      <c r="G233" t="inlineStr">
        <is>
          <t>ESKILSTUNA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59138-2024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45637</v>
      </c>
      <c r="E234" s="1" t="n">
        <v>46268</v>
      </c>
      <c r="F234" t="inlineStr">
        <is>
          <t>SÖDERMANLANDS LÄN</t>
        </is>
      </c>
      <c r="G234" t="inlineStr">
        <is>
          <t>ESKILSTUNA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57304-2023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45245</v>
      </c>
      <c r="E235" s="1" t="n">
        <v>46268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Sveaskog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45006</v>
      </c>
      <c r="E236" s="1" t="n">
        <v>46268</v>
      </c>
      <c r="F236" t="inlineStr">
        <is>
          <t>SÖDERMANLANDS LÄN</t>
        </is>
      </c>
      <c r="G236" t="inlineStr">
        <is>
          <t>ESKILSTUNA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21133-2023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45062</v>
      </c>
      <c r="E237" s="1" t="n">
        <v>46268</v>
      </c>
      <c r="F237" t="inlineStr">
        <is>
          <t>SÖDERMANLANDS LÄN</t>
        </is>
      </c>
      <c r="G237" t="inlineStr">
        <is>
          <t>ESKILSTUNA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45334</v>
      </c>
      <c r="E238" s="1" t="n">
        <v>46268</v>
      </c>
      <c r="F238" t="inlineStr">
        <is>
          <t>SÖDERMANLANDS LÄN</t>
        </is>
      </c>
      <c r="G238" t="inlineStr">
        <is>
          <t>ESKILSTUNA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62693-2023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46268</v>
      </c>
      <c r="F239" t="inlineStr">
        <is>
          <t>SÖDERMANLANDS LÄN</t>
        </is>
      </c>
      <c r="G239" t="inlineStr">
        <is>
          <t>ESKILSTUNA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44930</v>
      </c>
      <c r="E240" s="1" t="n">
        <v>46268</v>
      </c>
      <c r="F240" t="inlineStr">
        <is>
          <t>SÖDERMANLANDS LÄN</t>
        </is>
      </c>
      <c r="G240" t="inlineStr">
        <is>
          <t>ESKILSTUNA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48362-2022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44858</v>
      </c>
      <c r="E241" s="1" t="n">
        <v>46268</v>
      </c>
      <c r="F241" t="inlineStr">
        <is>
          <t>SÖDERMANLANDS LÄN</t>
        </is>
      </c>
      <c r="G241" t="inlineStr">
        <is>
          <t>ESKILSTUNA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45079</v>
      </c>
      <c r="E242" s="1" t="n">
        <v>46268</v>
      </c>
      <c r="F242" t="inlineStr">
        <is>
          <t>SÖDERMANLANDS LÄN</t>
        </is>
      </c>
      <c r="G242" t="inlineStr">
        <is>
          <t>ESKILSTUNA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45604</v>
      </c>
      <c r="E243" s="1" t="n">
        <v>46268</v>
      </c>
      <c r="F243" t="inlineStr">
        <is>
          <t>SÖDERMANLANDS LÄN</t>
        </is>
      </c>
      <c r="G243" t="inlineStr">
        <is>
          <t>ESKILSTUNA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46268</v>
      </c>
      <c r="F244" t="inlineStr">
        <is>
          <t>SÖDERMANLANDS LÄN</t>
        </is>
      </c>
      <c r="G244" t="inlineStr">
        <is>
          <t>ESKILSTUNA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19271-2023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45049</v>
      </c>
      <c r="E245" s="1" t="n">
        <v>46268</v>
      </c>
      <c r="F245" t="inlineStr">
        <is>
          <t>SÖDERMANLANDS LÄN</t>
        </is>
      </c>
      <c r="G245" t="inlineStr">
        <is>
          <t>ESKILSTUNA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45464</v>
      </c>
      <c r="E246" s="1" t="n">
        <v>46268</v>
      </c>
      <c r="F246" t="inlineStr">
        <is>
          <t>SÖDERMANLANDS LÄN</t>
        </is>
      </c>
      <c r="G246" t="inlineStr">
        <is>
          <t>ESKILSTUNA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45036</v>
      </c>
      <c r="E247" s="1" t="n">
        <v>46268</v>
      </c>
      <c r="F247" t="inlineStr">
        <is>
          <t>SÖDERMANLANDS LÄN</t>
        </is>
      </c>
      <c r="G247" t="inlineStr">
        <is>
          <t>ESKILSTUNA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45460</v>
      </c>
      <c r="E248" s="1" t="n">
        <v>46268</v>
      </c>
      <c r="F248" t="inlineStr">
        <is>
          <t>SÖDERMANLANDS LÄN</t>
        </is>
      </c>
      <c r="G248" t="inlineStr">
        <is>
          <t>ESKILSTUNA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55282-2023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45237</v>
      </c>
      <c r="E249" s="1" t="n">
        <v>46268</v>
      </c>
      <c r="F249" t="inlineStr">
        <is>
          <t>SÖDERMANLANDS LÄN</t>
        </is>
      </c>
      <c r="G249" t="inlineStr">
        <is>
          <t>ESKILSTUNA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1538-2025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45670</v>
      </c>
      <c r="E250" s="1" t="n">
        <v>46268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Sveaskog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46268</v>
      </c>
      <c r="F251" t="inlineStr">
        <is>
          <t>SÖDERMANLANDS LÄN</t>
        </is>
      </c>
      <c r="G251" t="inlineStr">
        <is>
          <t>ESKILSTUNA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46268</v>
      </c>
      <c r="F252" t="inlineStr">
        <is>
          <t>SÖDERMANLANDS LÄN</t>
        </is>
      </c>
      <c r="G252" t="inlineStr">
        <is>
          <t>ESKILSTUNA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26910-2023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46268</v>
      </c>
      <c r="F253" t="inlineStr">
        <is>
          <t>SÖDERMANLANDS LÄN</t>
        </is>
      </c>
      <c r="G253" t="inlineStr">
        <is>
          <t>ESKILSTUNA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44881</v>
      </c>
      <c r="E254" s="1" t="n">
        <v>46268</v>
      </c>
      <c r="F254" t="inlineStr">
        <is>
          <t>SÖDERMANLANDS LÄN</t>
        </is>
      </c>
      <c r="G254" t="inlineStr">
        <is>
          <t>ESKILSTUNA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51801-2025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45950</v>
      </c>
      <c r="E255" s="1" t="n">
        <v>46268</v>
      </c>
      <c r="F255" t="inlineStr">
        <is>
          <t>SÖDERMANLANDS LÄN</t>
        </is>
      </c>
      <c r="G255" t="inlineStr">
        <is>
          <t>ESKILSTUNA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45950</v>
      </c>
      <c r="E256" s="1" t="n">
        <v>46268</v>
      </c>
      <c r="F256" t="inlineStr">
        <is>
          <t>SÖDERMANLANDS LÄN</t>
        </is>
      </c>
      <c r="G256" t="inlineStr">
        <is>
          <t>ESKILSTUNA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46268</v>
      </c>
      <c r="F257" t="inlineStr">
        <is>
          <t>SÖDERMANLANDS LÄN</t>
        </is>
      </c>
      <c r="G257" t="inlineStr">
        <is>
          <t>ESKILSTUNA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52248-2025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45953</v>
      </c>
      <c r="E258" s="1" t="n">
        <v>46268</v>
      </c>
      <c r="F258" t="inlineStr">
        <is>
          <t>SÖDERMANLANDS LÄN</t>
        </is>
      </c>
      <c r="G258" t="inlineStr">
        <is>
          <t>ESKILSTUNA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46268</v>
      </c>
      <c r="F259" t="inlineStr">
        <is>
          <t>SÖDERMANLANDS LÄN</t>
        </is>
      </c>
      <c r="G259" t="inlineStr">
        <is>
          <t>ESKILSTUNA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35698-2022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44799</v>
      </c>
      <c r="E260" s="1" t="n">
        <v>46268</v>
      </c>
      <c r="F260" t="inlineStr">
        <is>
          <t>SÖDERMANLANDS LÄN</t>
        </is>
      </c>
      <c r="G260" t="inlineStr">
        <is>
          <t>ESKILSTUNA</t>
        </is>
      </c>
      <c r="I260" t="n">
        <v>9.199999999999999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46268</v>
      </c>
      <c r="F261" t="inlineStr">
        <is>
          <t>SÖDERMANLANDS LÄN</t>
        </is>
      </c>
      <c r="G261" t="inlineStr">
        <is>
          <t>ESKILSTUNA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46608-2024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45582</v>
      </c>
      <c r="E262" s="1" t="n">
        <v>46268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44616</v>
      </c>
      <c r="E263" s="1" t="n">
        <v>46268</v>
      </c>
      <c r="F263" t="inlineStr">
        <is>
          <t>SÖDERMANLANDS LÄN</t>
        </is>
      </c>
      <c r="G263" t="inlineStr">
        <is>
          <t>ESKILSTUNA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59276-2021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44490</v>
      </c>
      <c r="E264" s="1" t="n">
        <v>46268</v>
      </c>
      <c r="F264" t="inlineStr">
        <is>
          <t>SÖDERMANLANDS LÄN</t>
        </is>
      </c>
      <c r="G264" t="inlineStr">
        <is>
          <t>ESKILSTUNA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61367-2021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44499</v>
      </c>
      <c r="E265" s="1" t="n">
        <v>46268</v>
      </c>
      <c r="F265" t="inlineStr">
        <is>
          <t>SÖDERMANLANDS LÄN</t>
        </is>
      </c>
      <c r="G265" t="inlineStr">
        <is>
          <t>ESKILSTUNA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44979</v>
      </c>
      <c r="E266" s="1" t="n">
        <v>46268</v>
      </c>
      <c r="F266" t="inlineStr">
        <is>
          <t>SÖDERMANLANDS LÄN</t>
        </is>
      </c>
      <c r="G266" t="inlineStr">
        <is>
          <t>ESKILSTUNA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46268</v>
      </c>
      <c r="F267" t="inlineStr">
        <is>
          <t>SÖDERMANLANDS LÄN</t>
        </is>
      </c>
      <c r="G267" t="inlineStr">
        <is>
          <t>ESKILSTUNA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46268</v>
      </c>
      <c r="F268" t="inlineStr">
        <is>
          <t>SÖDERMANLANDS LÄN</t>
        </is>
      </c>
      <c r="G268" t="inlineStr">
        <is>
          <t>ESKILSTUNA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59276-2021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44490</v>
      </c>
      <c r="E269" s="1" t="n">
        <v>46268</v>
      </c>
      <c r="F269" t="inlineStr">
        <is>
          <t>SÖDERMANLANDS LÄN</t>
        </is>
      </c>
      <c r="G269" t="inlineStr">
        <is>
          <t>ESKILSTUNA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45974</v>
      </c>
      <c r="E270" s="1" t="n">
        <v>46268</v>
      </c>
      <c r="F270" t="inlineStr">
        <is>
          <t>SÖDERMANLANDS LÄN</t>
        </is>
      </c>
      <c r="G270" t="inlineStr">
        <is>
          <t>ESKILSTUNA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46268</v>
      </c>
      <c r="F271" t="inlineStr">
        <is>
          <t>SÖDERMANLANDS LÄN</t>
        </is>
      </c>
      <c r="G271" t="inlineStr">
        <is>
          <t>ESKILSTUNA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46268</v>
      </c>
      <c r="F272" t="inlineStr">
        <is>
          <t>SÖDERMANLANDS LÄN</t>
        </is>
      </c>
      <c r="G272" t="inlineStr">
        <is>
          <t>ESKILSTUNA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46268</v>
      </c>
      <c r="F273" t="inlineStr">
        <is>
          <t>SÖDERMANLANDS LÄN</t>
        </is>
      </c>
      <c r="G273" t="inlineStr">
        <is>
          <t>ESKILSTUNA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11705-2022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44634</v>
      </c>
      <c r="E274" s="1" t="n">
        <v>46268</v>
      </c>
      <c r="F274" t="inlineStr">
        <is>
          <t>SÖDERMANLANDS LÄN</t>
        </is>
      </c>
      <c r="G274" t="inlineStr">
        <is>
          <t>ESKILSTUNA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44946</v>
      </c>
      <c r="E275" s="1" t="n">
        <v>46268</v>
      </c>
      <c r="F275" t="inlineStr">
        <is>
          <t>SÖDERMANLANDS LÄN</t>
        </is>
      </c>
      <c r="G275" t="inlineStr">
        <is>
          <t>ESKILSTUNA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46085</v>
      </c>
      <c r="E276" s="1" t="n">
        <v>46268</v>
      </c>
      <c r="F276" t="inlineStr">
        <is>
          <t>SÖDERMANLANDS LÄN</t>
        </is>
      </c>
      <c r="G276" t="inlineStr">
        <is>
          <t>ESKILSTUNA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53098-2022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46268</v>
      </c>
      <c r="F277" t="inlineStr">
        <is>
          <t>SÖDERMANLANDS LÄN</t>
        </is>
      </c>
      <c r="G277" t="inlineStr">
        <is>
          <t>ESKILSTUNA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46268</v>
      </c>
      <c r="F278" t="inlineStr">
        <is>
          <t>SÖDERMANLANDS LÄN</t>
        </is>
      </c>
      <c r="G278" t="inlineStr">
        <is>
          <t>ESKILSTUNA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44946</v>
      </c>
      <c r="E279" s="1" t="n">
        <v>46268</v>
      </c>
      <c r="F279" t="inlineStr">
        <is>
          <t>SÖDERMANLANDS LÄN</t>
        </is>
      </c>
      <c r="G279" t="inlineStr">
        <is>
          <t>ESKILSTUNA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46044</v>
      </c>
      <c r="E280" s="1" t="n">
        <v>46268</v>
      </c>
      <c r="F280" t="inlineStr">
        <is>
          <t>SÖDERMANLANDS LÄN</t>
        </is>
      </c>
      <c r="G280" t="inlineStr">
        <is>
          <t>ESKILSTUNA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46268</v>
      </c>
      <c r="F281" t="inlineStr">
        <is>
          <t>SÖDERMANLANDS LÄN</t>
        </is>
      </c>
      <c r="G281" t="inlineStr">
        <is>
          <t>ESKILSTUNA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45994</v>
      </c>
      <c r="E282" s="1" t="n">
        <v>46268</v>
      </c>
      <c r="F282" t="inlineStr">
        <is>
          <t>SÖDERMANLANDS LÄN</t>
        </is>
      </c>
      <c r="G282" t="inlineStr">
        <is>
          <t>ESKILSTUNA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46268</v>
      </c>
      <c r="F283" t="inlineStr">
        <is>
          <t>SÖDERMANLANDS LÄN</t>
        </is>
      </c>
      <c r="G283" t="inlineStr">
        <is>
          <t>ESKILSTUNA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60754-2025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46268</v>
      </c>
      <c r="F284" t="inlineStr">
        <is>
          <t>SÖDERMANLANDS LÄN</t>
        </is>
      </c>
      <c r="G284" t="inlineStr">
        <is>
          <t>ESKILSTUNA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45537</v>
      </c>
      <c r="E285" s="1" t="n">
        <v>46268</v>
      </c>
      <c r="F285" t="inlineStr">
        <is>
          <t>SÖDERMANLANDS LÄN</t>
        </is>
      </c>
      <c r="G285" t="inlineStr">
        <is>
          <t>ESKILSTUNA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45341</v>
      </c>
      <c r="E286" s="1" t="n">
        <v>46268</v>
      </c>
      <c r="F286" t="inlineStr">
        <is>
          <t>SÖDERMANLANDS LÄN</t>
        </is>
      </c>
      <c r="G286" t="inlineStr">
        <is>
          <t>ESKILSTUNA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45103</v>
      </c>
      <c r="E287" s="1" t="n">
        <v>46268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Sveaskog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45670</v>
      </c>
      <c r="E288" s="1" t="n">
        <v>46268</v>
      </c>
      <c r="F288" t="inlineStr">
        <is>
          <t>SÖDERMANLANDS LÄN</t>
        </is>
      </c>
      <c r="G288" t="inlineStr">
        <is>
          <t>ESKILSTUNA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46268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44953</v>
      </c>
      <c r="E290" s="1" t="n">
        <v>46268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Allmännings- och besparingsskogar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46268</v>
      </c>
      <c r="F291" t="inlineStr">
        <is>
          <t>SÖDERMANLANDS LÄN</t>
        </is>
      </c>
      <c r="G291" t="inlineStr">
        <is>
          <t>ESKILSTUNA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44965</v>
      </c>
      <c r="E292" s="1" t="n">
        <v>46268</v>
      </c>
      <c r="F292" t="inlineStr">
        <is>
          <t>SÖDERMANLANDS LÄN</t>
        </is>
      </c>
      <c r="G292" t="inlineStr">
        <is>
          <t>ESKILSTUNA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44839</v>
      </c>
      <c r="E293" s="1" t="n">
        <v>46268</v>
      </c>
      <c r="F293" t="inlineStr">
        <is>
          <t>SÖDERMANLANDS LÄN</t>
        </is>
      </c>
      <c r="G293" t="inlineStr">
        <is>
          <t>ESKILSTUNA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46268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49469-2022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44861</v>
      </c>
      <c r="E295" s="1" t="n">
        <v>46268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44998</v>
      </c>
      <c r="E296" s="1" t="n">
        <v>46268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Kommuner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20842-2023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45058</v>
      </c>
      <c r="E297" s="1" t="n">
        <v>46268</v>
      </c>
      <c r="F297" t="inlineStr">
        <is>
          <t>SÖDERMANLANDS LÄN</t>
        </is>
      </c>
      <c r="G297" t="inlineStr">
        <is>
          <t>ESKILSTUNA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46268</v>
      </c>
      <c r="F298" t="inlineStr">
        <is>
          <t>SÖDERMANLANDS LÄN</t>
        </is>
      </c>
      <c r="G298" t="inlineStr">
        <is>
          <t>ESKILSTUNA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46268</v>
      </c>
      <c r="F299" t="inlineStr">
        <is>
          <t>SÖDERMANLANDS LÄN</t>
        </is>
      </c>
      <c r="G299" t="inlineStr">
        <is>
          <t>ESKILSTUNA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59151-2022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44904</v>
      </c>
      <c r="E300" s="1" t="n">
        <v>46268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16339-2024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45407</v>
      </c>
      <c r="E301" s="1" t="n">
        <v>46268</v>
      </c>
      <c r="F301" t="inlineStr">
        <is>
          <t>SÖDERMANLANDS LÄN</t>
        </is>
      </c>
      <c r="G301" t="inlineStr">
        <is>
          <t>ESKILSTUNA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44626</v>
      </c>
      <c r="E302" s="1" t="n">
        <v>46268</v>
      </c>
      <c r="F302" t="inlineStr">
        <is>
          <t>SÖDERMANLANDS LÄN</t>
        </is>
      </c>
      <c r="G302" t="inlineStr">
        <is>
          <t>ESKILSTUNA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16125-2026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46268</v>
      </c>
      <c r="F303" t="inlineStr">
        <is>
          <t>SÖDERMANLANDS LÄN</t>
        </is>
      </c>
      <c r="G303" t="inlineStr">
        <is>
          <t>ESKILSTUNA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46268</v>
      </c>
      <c r="F304" t="inlineStr">
        <is>
          <t>SÖDERMANLANDS LÄN</t>
        </is>
      </c>
      <c r="G304" t="inlineStr">
        <is>
          <t>ESKILSTUNA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45119</v>
      </c>
      <c r="E305" s="1" t="n">
        <v>46268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Sveaskog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44803</v>
      </c>
      <c r="E306" s="1" t="n">
        <v>46268</v>
      </c>
      <c r="F306" t="inlineStr">
        <is>
          <t>SÖDERMANLANDS LÄN</t>
        </is>
      </c>
      <c r="G306" t="inlineStr">
        <is>
          <t>ESKILSTUNA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36153-2022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44803</v>
      </c>
      <c r="E307" s="1" t="n">
        <v>46268</v>
      </c>
      <c r="F307" t="inlineStr">
        <is>
          <t>SÖDERMANLANDS LÄN</t>
        </is>
      </c>
      <c r="G307" t="inlineStr">
        <is>
          <t>ESKILSTUNA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46268</v>
      </c>
      <c r="F308" t="inlineStr">
        <is>
          <t>SÖDERMANLANDS LÄN</t>
        </is>
      </c>
      <c r="G308" t="inlineStr">
        <is>
          <t>ESKILSTUNA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16135-2026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46108</v>
      </c>
      <c r="E309" s="1" t="n">
        <v>46268</v>
      </c>
      <c r="F309" t="inlineStr">
        <is>
          <t>SÖDERMANLANDS LÄN</t>
        </is>
      </c>
      <c r="G309" t="inlineStr">
        <is>
          <t>ESKILSTUNA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42545-2025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46268</v>
      </c>
      <c r="F310" t="inlineStr">
        <is>
          <t>SÖDERMANLANDS LÄN</t>
        </is>
      </c>
      <c r="G310" t="inlineStr">
        <is>
          <t>ESKILSTUNA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1340-2024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45303</v>
      </c>
      <c r="E311" s="1" t="n">
        <v>46268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45303</v>
      </c>
      <c r="E312" s="1" t="n">
        <v>46268</v>
      </c>
      <c r="F312" t="inlineStr">
        <is>
          <t>SÖDERMANLANDS LÄN</t>
        </is>
      </c>
      <c r="G312" t="inlineStr">
        <is>
          <t>ESKILSTUNA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46268</v>
      </c>
      <c r="F313" t="inlineStr">
        <is>
          <t>SÖDERMANLANDS LÄN</t>
        </is>
      </c>
      <c r="G313" t="inlineStr">
        <is>
          <t>ESKILSTUNA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18105-2026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46125</v>
      </c>
      <c r="E314" s="1" t="n">
        <v>46268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Sveaskog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46268</v>
      </c>
      <c r="F315" t="inlineStr">
        <is>
          <t>SÖDERMANLANDS LÄN</t>
        </is>
      </c>
      <c r="G315" t="inlineStr">
        <is>
          <t>ESKILSTUNA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45004</v>
      </c>
      <c r="E316" s="1" t="n">
        <v>46268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45750</v>
      </c>
      <c r="E317" s="1" t="n">
        <v>46268</v>
      </c>
      <c r="F317" t="inlineStr">
        <is>
          <t>SÖDERMANLANDS LÄN</t>
        </is>
      </c>
      <c r="G317" t="inlineStr">
        <is>
          <t>ESKILSTUNA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13153-2026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46092</v>
      </c>
      <c r="E318" s="1" t="n">
        <v>46268</v>
      </c>
      <c r="F318" t="inlineStr">
        <is>
          <t>SÖDERMANLANDS LÄN</t>
        </is>
      </c>
      <c r="G318" t="inlineStr">
        <is>
          <t>ESKILSTUNA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46268</v>
      </c>
      <c r="F319" t="inlineStr">
        <is>
          <t>SÖDERMANLANDS LÄN</t>
        </is>
      </c>
      <c r="G319" t="inlineStr">
        <is>
          <t>ESKILSTUNA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46268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Kyrkan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52830-2021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46268</v>
      </c>
      <c r="F321" t="inlineStr">
        <is>
          <t>SÖDERMANLANDS LÄN</t>
        </is>
      </c>
      <c r="G321" t="inlineStr">
        <is>
          <t>ESKILSTUNA</t>
        </is>
      </c>
      <c r="I321" t="n">
        <v>8.6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46268</v>
      </c>
      <c r="F322" t="inlineStr">
        <is>
          <t>SÖDERMANLANDS LÄN</t>
        </is>
      </c>
      <c r="G322" t="inlineStr">
        <is>
          <t>ESKILSTUNA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44862-2025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46268</v>
      </c>
      <c r="F323" t="inlineStr">
        <is>
          <t>SÖDERMANLANDS LÄN</t>
        </is>
      </c>
      <c r="G323" t="inlineStr">
        <is>
          <t>ESKILSTUNA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59773-2025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46268</v>
      </c>
      <c r="F324" t="inlineStr">
        <is>
          <t>SÖDERMANLANDS LÄN</t>
        </is>
      </c>
      <c r="G324" t="inlineStr">
        <is>
          <t>ESKILSTUNA</t>
        </is>
      </c>
      <c r="I324" t="n">
        <v>10.8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45077</v>
      </c>
      <c r="E325" s="1" t="n">
        <v>46268</v>
      </c>
      <c r="F325" t="inlineStr">
        <is>
          <t>SÖDERMANLANDS LÄN</t>
        </is>
      </c>
      <c r="G325" t="inlineStr">
        <is>
          <t>ESKILSTUNA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46268</v>
      </c>
      <c r="F326" t="inlineStr">
        <is>
          <t>SÖDERMANLANDS LÄN</t>
        </is>
      </c>
      <c r="G326" t="inlineStr">
        <is>
          <t>ESKILSTUNA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1346-2024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45303</v>
      </c>
      <c r="E327" s="1" t="n">
        <v>46268</v>
      </c>
      <c r="F327" t="inlineStr">
        <is>
          <t>SÖDERMANLANDS LÄN</t>
        </is>
      </c>
      <c r="G327" t="inlineStr">
        <is>
          <t>ESKILSTUNA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20984-2023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45061</v>
      </c>
      <c r="E328" s="1" t="n">
        <v>46268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Allmännings- och besparingsskogar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45756</v>
      </c>
      <c r="E329" s="1" t="n">
        <v>46268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Allmännings- och besparingsskogar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25668-2022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44732</v>
      </c>
      <c r="E330" s="1" t="n">
        <v>46268</v>
      </c>
      <c r="F330" t="inlineStr">
        <is>
          <t>SÖDERMANLANDS LÄN</t>
        </is>
      </c>
      <c r="G330" t="inlineStr">
        <is>
          <t>ESKILSTUNA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46268</v>
      </c>
      <c r="F331" t="inlineStr">
        <is>
          <t>SÖDERMANLANDS LÄN</t>
        </is>
      </c>
      <c r="G331" t="inlineStr">
        <is>
          <t>ESKILSTUNA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43501-2022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44837</v>
      </c>
      <c r="E332" s="1" t="n">
        <v>46268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Sveaskog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33255-2024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45518</v>
      </c>
      <c r="E333" s="1" t="n">
        <v>46268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Övriga Aktiebolag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45833</v>
      </c>
      <c r="E334" s="1" t="n">
        <v>46268</v>
      </c>
      <c r="F334" t="inlineStr">
        <is>
          <t>SÖDERMANLANDS LÄN</t>
        </is>
      </c>
      <c r="G334" t="inlineStr">
        <is>
          <t>ESKILSTUNA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61861-2022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44917</v>
      </c>
      <c r="E335" s="1" t="n">
        <v>46268</v>
      </c>
      <c r="F335" t="inlineStr">
        <is>
          <t>SÖDERMANLANDS LÄN</t>
        </is>
      </c>
      <c r="G335" t="inlineStr">
        <is>
          <t>ESKILSTUNA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16391-2022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44671</v>
      </c>
      <c r="E336" s="1" t="n">
        <v>46268</v>
      </c>
      <c r="F336" t="inlineStr">
        <is>
          <t>SÖDERMANLANDS LÄN</t>
        </is>
      </c>
      <c r="G336" t="inlineStr">
        <is>
          <t>ESKILSTUNA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50484-2025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45945</v>
      </c>
      <c r="E337" s="1" t="n">
        <v>46268</v>
      </c>
      <c r="F337" t="inlineStr">
        <is>
          <t>SÖDERMANLANDS LÄN</t>
        </is>
      </c>
      <c r="G337" t="inlineStr">
        <is>
          <t>ESKILSTUNA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20355-2024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45435</v>
      </c>
      <c r="E338" s="1" t="n">
        <v>46268</v>
      </c>
      <c r="F338" t="inlineStr">
        <is>
          <t>SÖDERMANLANDS LÄN</t>
        </is>
      </c>
      <c r="G338" t="inlineStr">
        <is>
          <t>ESKILSTUNA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46268</v>
      </c>
      <c r="F339" t="inlineStr">
        <is>
          <t>SÖDERMANLANDS LÄN</t>
        </is>
      </c>
      <c r="G339" t="inlineStr">
        <is>
          <t>ESKILSTUNA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36565-2022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44804</v>
      </c>
      <c r="E340" s="1" t="n">
        <v>46268</v>
      </c>
      <c r="F340" t="inlineStr">
        <is>
          <t>SÖDERMANLANDS LÄN</t>
        </is>
      </c>
      <c r="G340" t="inlineStr">
        <is>
          <t>ESKILSTUNA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20823-2022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44701</v>
      </c>
      <c r="E341" s="1" t="n">
        <v>46268</v>
      </c>
      <c r="F341" t="inlineStr">
        <is>
          <t>SÖDERMANLANDS LÄN</t>
        </is>
      </c>
      <c r="G341" t="inlineStr">
        <is>
          <t>ESKILSTUNA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53476-2021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44468</v>
      </c>
      <c r="E342" s="1" t="n">
        <v>46268</v>
      </c>
      <c r="F342" t="inlineStr">
        <is>
          <t>SÖDERMANLANDS LÄN</t>
        </is>
      </c>
      <c r="G342" t="inlineStr">
        <is>
          <t>ESKILSTUNA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44942</v>
      </c>
      <c r="E343" s="1" t="n">
        <v>46268</v>
      </c>
      <c r="F343" t="inlineStr">
        <is>
          <t>SÖDERMANLANDS LÄN</t>
        </is>
      </c>
      <c r="G343" t="inlineStr">
        <is>
          <t>ESKILSTUNA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46268</v>
      </c>
      <c r="F344" t="inlineStr">
        <is>
          <t>SÖDERMANLANDS LÄN</t>
        </is>
      </c>
      <c r="G344" t="inlineStr">
        <is>
          <t>ESKILSTUNA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44797</v>
      </c>
      <c r="E345" s="1" t="n">
        <v>46268</v>
      </c>
      <c r="F345" t="inlineStr">
        <is>
          <t>SÖDERMANLANDS LÄN</t>
        </is>
      </c>
      <c r="G345" t="inlineStr">
        <is>
          <t>ESKILSTUNA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19502-2024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45429</v>
      </c>
      <c r="E346" s="1" t="n">
        <v>46268</v>
      </c>
      <c r="F346" t="inlineStr">
        <is>
          <t>SÖDERMANLANDS LÄN</t>
        </is>
      </c>
      <c r="G346" t="inlineStr">
        <is>
          <t>ESKILSTUNA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61416-2022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44916</v>
      </c>
      <c r="E347" s="1" t="n">
        <v>46268</v>
      </c>
      <c r="F347" t="inlineStr">
        <is>
          <t>SÖDERMANLANDS LÄN</t>
        </is>
      </c>
      <c r="G347" t="inlineStr">
        <is>
          <t>ESKILSTUNA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46150</v>
      </c>
      <c r="E348" s="1" t="n">
        <v>46268</v>
      </c>
      <c r="F348" t="inlineStr">
        <is>
          <t>SÖDERMANLANDS LÄN</t>
        </is>
      </c>
      <c r="G348" t="inlineStr">
        <is>
          <t>ESKILSTUNA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42801-2022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44832</v>
      </c>
      <c r="E349" s="1" t="n">
        <v>46268</v>
      </c>
      <c r="F349" t="inlineStr">
        <is>
          <t>SÖDERMANLANDS LÄN</t>
        </is>
      </c>
      <c r="G349" t="inlineStr">
        <is>
          <t>ESKILSTUNA</t>
        </is>
      </c>
      <c r="I349" t="n">
        <v>19.9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44588</v>
      </c>
      <c r="E350" s="1" t="n">
        <v>46268</v>
      </c>
      <c r="F350" t="inlineStr">
        <is>
          <t>SÖDERMANLANDS LÄN</t>
        </is>
      </c>
      <c r="G350" t="inlineStr">
        <is>
          <t>ESKILSTUNA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45387</v>
      </c>
      <c r="E351" s="1" t="n">
        <v>46268</v>
      </c>
      <c r="F351" t="inlineStr">
        <is>
          <t>SÖDERMANLANDS LÄN</t>
        </is>
      </c>
      <c r="G351" t="inlineStr">
        <is>
          <t>ESKILSTUNA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36648-2022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44804</v>
      </c>
      <c r="E352" s="1" t="n">
        <v>46268</v>
      </c>
      <c r="F352" t="inlineStr">
        <is>
          <t>SÖDERMANLANDS LÄN</t>
        </is>
      </c>
      <c r="G352" t="inlineStr">
        <is>
          <t>ESKILSTUNA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46157</v>
      </c>
      <c r="E353" s="1" t="n">
        <v>46268</v>
      </c>
      <c r="F353" t="inlineStr">
        <is>
          <t>SÖDERMANLANDS LÄN</t>
        </is>
      </c>
      <c r="G353" t="inlineStr">
        <is>
          <t>ESKILSTUNA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61988-2022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44918</v>
      </c>
      <c r="E354" s="1" t="n">
        <v>46268</v>
      </c>
      <c r="F354" t="inlineStr">
        <is>
          <t>SÖDERMANLANDS LÄN</t>
        </is>
      </c>
      <c r="G354" t="inlineStr">
        <is>
          <t>ESKILSTUNA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45107</v>
      </c>
      <c r="E355" s="1" t="n">
        <v>46268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Allmännings- och besparingsskogar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9711-2025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45715</v>
      </c>
      <c r="E356" s="1" t="n">
        <v>46268</v>
      </c>
      <c r="F356" t="inlineStr">
        <is>
          <t>SÖDERMANLANDS LÄN</t>
        </is>
      </c>
      <c r="G356" t="inlineStr">
        <is>
          <t>ESKILSTUNA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46268</v>
      </c>
      <c r="F357" t="inlineStr">
        <is>
          <t>SÖDERMANLANDS LÄN</t>
        </is>
      </c>
      <c r="G357" t="inlineStr">
        <is>
          <t>ESKILSTUNA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40930-2025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46268</v>
      </c>
      <c r="F358" t="inlineStr">
        <is>
          <t>SÖDERMANLANDS LÄN</t>
        </is>
      </c>
      <c r="G358" t="inlineStr">
        <is>
          <t>ESKILSTUNA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46162</v>
      </c>
      <c r="E359" s="1" t="n">
        <v>46268</v>
      </c>
      <c r="F359" t="inlineStr">
        <is>
          <t>SÖDERMANLANDS LÄN</t>
        </is>
      </c>
      <c r="G359" t="inlineStr">
        <is>
          <t>ESKILSTUNA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25229-2022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44729</v>
      </c>
      <c r="E360" s="1" t="n">
        <v>46268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Allmännings- och besparingsskogar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45363</v>
      </c>
      <c r="E361" s="1" t="n">
        <v>46268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Allmännings- och besparingsskogar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52203-2025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45953</v>
      </c>
      <c r="E362" s="1" t="n">
        <v>46268</v>
      </c>
      <c r="F362" t="inlineStr">
        <is>
          <t>SÖDERMANLANDS LÄN</t>
        </is>
      </c>
      <c r="G362" t="inlineStr">
        <is>
          <t>ESKILSTUNA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45664</v>
      </c>
      <c r="E363" s="1" t="n">
        <v>46268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Allmännings- och besparingsskogar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45093</v>
      </c>
      <c r="E364" s="1" t="n">
        <v>46268</v>
      </c>
      <c r="F364" t="inlineStr">
        <is>
          <t>SÖDERMANLANDS LÄN</t>
        </is>
      </c>
      <c r="G364" t="inlineStr">
        <is>
          <t>ESKILSTUNA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44966</v>
      </c>
      <c r="E365" s="1" t="n">
        <v>46268</v>
      </c>
      <c r="F365" t="inlineStr">
        <is>
          <t>SÖDERMANLANDS LÄN</t>
        </is>
      </c>
      <c r="G365" t="inlineStr">
        <is>
          <t>ESKILSTUNA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45587</v>
      </c>
      <c r="E366" s="1" t="n">
        <v>46268</v>
      </c>
      <c r="F366" t="inlineStr">
        <is>
          <t>SÖDERMANLANDS LÄN</t>
        </is>
      </c>
      <c r="G366" t="inlineStr">
        <is>
          <t>ESKILSTUNA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23665-2026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46164</v>
      </c>
      <c r="E367" s="1" t="n">
        <v>46268</v>
      </c>
      <c r="F367" t="inlineStr">
        <is>
          <t>SÖDERMANLANDS LÄN</t>
        </is>
      </c>
      <c r="G367" t="inlineStr">
        <is>
          <t>ESKILSTUNA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48671-2021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44452</v>
      </c>
      <c r="E368" s="1" t="n">
        <v>46268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52221-2025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45953</v>
      </c>
      <c r="E369" s="1" t="n">
        <v>46268</v>
      </c>
      <c r="F369" t="inlineStr">
        <is>
          <t>SÖDERMANLANDS LÄN</t>
        </is>
      </c>
      <c r="G369" t="inlineStr">
        <is>
          <t>ESKILSTUNA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46268</v>
      </c>
      <c r="F370" t="inlineStr">
        <is>
          <t>SÖDERMANLANDS LÄN</t>
        </is>
      </c>
      <c r="G370" t="inlineStr">
        <is>
          <t>ESKILSTUNA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30960-2023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46268</v>
      </c>
      <c r="F371" t="inlineStr">
        <is>
          <t>SÖDERMANLANDS LÄN</t>
        </is>
      </c>
      <c r="G371" t="inlineStr">
        <is>
          <t>ESKILSTUNA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46268</v>
      </c>
      <c r="F372" t="inlineStr">
        <is>
          <t>SÖDERMANLANDS LÄN</t>
        </is>
      </c>
      <c r="G372" t="inlineStr">
        <is>
          <t>ESKILSTUNA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46268</v>
      </c>
      <c r="F373" t="inlineStr">
        <is>
          <t>SÖDERMANLANDS LÄN</t>
        </is>
      </c>
      <c r="G373" t="inlineStr">
        <is>
          <t>ESKILSTUNA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44956</v>
      </c>
      <c r="E374" s="1" t="n">
        <v>46268</v>
      </c>
      <c r="F374" t="inlineStr">
        <is>
          <t>SÖDERMANLANDS LÄN</t>
        </is>
      </c>
      <c r="G374" t="inlineStr">
        <is>
          <t>ESKILSTUNA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19523-2024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45429</v>
      </c>
      <c r="E375" s="1" t="n">
        <v>46268</v>
      </c>
      <c r="F375" t="inlineStr">
        <is>
          <t>SÖDERMANLANDS LÄN</t>
        </is>
      </c>
      <c r="G375" t="inlineStr">
        <is>
          <t>ESKILSTUNA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44938</v>
      </c>
      <c r="E376" s="1" t="n">
        <v>46268</v>
      </c>
      <c r="F376" t="inlineStr">
        <is>
          <t>SÖDERMANLANDS LÄN</t>
        </is>
      </c>
      <c r="G376" t="inlineStr">
        <is>
          <t>ESKILSTUNA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46872-2022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44851</v>
      </c>
      <c r="E377" s="1" t="n">
        <v>46268</v>
      </c>
      <c r="F377" t="inlineStr">
        <is>
          <t>SÖDERMANLANDS LÄN</t>
        </is>
      </c>
      <c r="G377" t="inlineStr">
        <is>
          <t>ESKILSTUNA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22058-2023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45069</v>
      </c>
      <c r="E378" s="1" t="n">
        <v>46268</v>
      </c>
      <c r="F378" t="inlineStr">
        <is>
          <t>SÖDERMANLANDS LÄN</t>
        </is>
      </c>
      <c r="G378" t="inlineStr">
        <is>
          <t>ESKILSTUNA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7406-2022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44606</v>
      </c>
      <c r="E379" s="1" t="n">
        <v>46268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Kyrkan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25483-2026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46268</v>
      </c>
      <c r="F380" t="inlineStr">
        <is>
          <t>SÖDERMANLANDS LÄN</t>
        </is>
      </c>
      <c r="G380" t="inlineStr">
        <is>
          <t>ESKILSTUNA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53181-2024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45611</v>
      </c>
      <c r="E381" s="1" t="n">
        <v>46268</v>
      </c>
      <c r="F381" t="inlineStr">
        <is>
          <t>SÖDERMANLANDS LÄN</t>
        </is>
      </c>
      <c r="G381" t="inlineStr">
        <is>
          <t>ESKILSTUNA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46268</v>
      </c>
      <c r="F382" t="inlineStr">
        <is>
          <t>SÖDERMANLANDS LÄN</t>
        </is>
      </c>
      <c r="G382" t="inlineStr">
        <is>
          <t>ESKILSTUNA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44915</v>
      </c>
      <c r="E383" s="1" t="n">
        <v>46268</v>
      </c>
      <c r="F383" t="inlineStr">
        <is>
          <t>SÖDERMANLANDS LÄN</t>
        </is>
      </c>
      <c r="G383" t="inlineStr">
        <is>
          <t>ESKILSTUNA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6725-2023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44966</v>
      </c>
      <c r="E384" s="1" t="n">
        <v>46268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50310-2022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44865</v>
      </c>
      <c r="E385" s="1" t="n">
        <v>46268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Kyrkan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46268</v>
      </c>
      <c r="F386" t="inlineStr">
        <is>
          <t>SÖDERMANLANDS LÄN</t>
        </is>
      </c>
      <c r="G386" t="inlineStr">
        <is>
          <t>ESKILSTUNA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46268</v>
      </c>
      <c r="F387" t="inlineStr">
        <is>
          <t>SÖDERMANLANDS LÄN</t>
        </is>
      </c>
      <c r="G387" t="inlineStr">
        <is>
          <t>ESKILSTUNA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4621-2022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44592</v>
      </c>
      <c r="E388" s="1" t="n">
        <v>46268</v>
      </c>
      <c r="F388" t="inlineStr">
        <is>
          <t>SÖDERMANLANDS LÄN</t>
        </is>
      </c>
      <c r="G388" t="inlineStr">
        <is>
          <t>ESKILSTUNA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25730-2024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45464</v>
      </c>
      <c r="E389" s="1" t="n">
        <v>46268</v>
      </c>
      <c r="F389" t="inlineStr">
        <is>
          <t>SÖDERMANLANDS LÄN</t>
        </is>
      </c>
      <c r="G389" t="inlineStr">
        <is>
          <t>ESKILSTUNA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46268</v>
      </c>
      <c r="F390" t="inlineStr">
        <is>
          <t>SÖDERMANLANDS LÄN</t>
        </is>
      </c>
      <c r="G390" t="inlineStr">
        <is>
          <t>ESKILSTUNA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61829-2023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45266</v>
      </c>
      <c r="E391" s="1" t="n">
        <v>46268</v>
      </c>
      <c r="F391" t="inlineStr">
        <is>
          <t>SÖDERMANLANDS LÄN</t>
        </is>
      </c>
      <c r="G391" t="inlineStr">
        <is>
          <t>ESKILSTUNA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61831-2023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45266</v>
      </c>
      <c r="E392" s="1" t="n">
        <v>46268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61367-2021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44499</v>
      </c>
      <c r="E393" s="1" t="n">
        <v>46268</v>
      </c>
      <c r="F393" t="inlineStr">
        <is>
          <t>SÖDERMANLANDS LÄN</t>
        </is>
      </c>
      <c r="G393" t="inlineStr">
        <is>
          <t>ESKILSTUNA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70560-2021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44536</v>
      </c>
      <c r="E394" s="1" t="n">
        <v>46268</v>
      </c>
      <c r="F394" t="inlineStr">
        <is>
          <t>SÖDERMANLANDS LÄN</t>
        </is>
      </c>
      <c r="G394" t="inlineStr">
        <is>
          <t>ESKILSTUNA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26018-2026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46268</v>
      </c>
      <c r="F395" t="inlineStr">
        <is>
          <t>SÖDERMANLANDS LÄN</t>
        </is>
      </c>
      <c r="G395" t="inlineStr">
        <is>
          <t>ESKILSTUNA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46268</v>
      </c>
      <c r="F396" t="inlineStr">
        <is>
          <t>SÖDERMANLANDS LÄN</t>
        </is>
      </c>
      <c r="G396" t="inlineStr">
        <is>
          <t>ESKILSTUNA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27779-2026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46191</v>
      </c>
      <c r="E397" s="1" t="n">
        <v>46268</v>
      </c>
      <c r="F397" t="inlineStr">
        <is>
          <t>SÖDERMANLANDS LÄN</t>
        </is>
      </c>
      <c r="G397" t="inlineStr">
        <is>
          <t>ESKILSTUNA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45713</v>
      </c>
      <c r="E398" s="1" t="n">
        <v>46268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Allmännings- och besparingsskogar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44617</v>
      </c>
      <c r="E399" s="1" t="n">
        <v>46268</v>
      </c>
      <c r="F399" t="inlineStr">
        <is>
          <t>SÖDERMANLANDS LÄN</t>
        </is>
      </c>
      <c r="G399" t="inlineStr">
        <is>
          <t>ESKILSTUNA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57061-2021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44482</v>
      </c>
      <c r="E400" s="1" t="n">
        <v>46268</v>
      </c>
      <c r="F400" t="inlineStr">
        <is>
          <t>SÖDERMANLANDS LÄN</t>
        </is>
      </c>
      <c r="G400" t="inlineStr">
        <is>
          <t>ESKILSTUNA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27884-2026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46268</v>
      </c>
      <c r="F401" t="inlineStr">
        <is>
          <t>SÖDERMANLANDS LÄN</t>
        </is>
      </c>
      <c r="G401" t="inlineStr">
        <is>
          <t>ESKILSTUNA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32177-2026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46237</v>
      </c>
      <c r="E402" s="1" t="n">
        <v>46268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Sveaskog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26532-2022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44739</v>
      </c>
      <c r="E403" s="1" t="n">
        <v>46268</v>
      </c>
      <c r="F403" t="inlineStr">
        <is>
          <t>SÖDERMANLANDS LÄN</t>
        </is>
      </c>
      <c r="G403" t="inlineStr">
        <is>
          <t>ESKILSTUNA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46043</v>
      </c>
      <c r="E404" s="1" t="n">
        <v>46268</v>
      </c>
      <c r="F404" t="inlineStr">
        <is>
          <t>SÖDERMANLANDS LÄN</t>
        </is>
      </c>
      <c r="G404" t="inlineStr">
        <is>
          <t>ESKILSTUNA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44964</v>
      </c>
      <c r="E405" s="1" t="n">
        <v>46268</v>
      </c>
      <c r="F405" t="inlineStr">
        <is>
          <t>SÖDERMANLANDS LÄN</t>
        </is>
      </c>
      <c r="G405" t="inlineStr">
        <is>
          <t>ESKILSTUNA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46268</v>
      </c>
      <c r="F406" t="inlineStr">
        <is>
          <t>SÖDERMANLANDS LÄN</t>
        </is>
      </c>
      <c r="G406" t="inlineStr">
        <is>
          <t>ESKILSTUNA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44930</v>
      </c>
      <c r="E407" s="1" t="n">
        <v>46268</v>
      </c>
      <c r="F407" t="inlineStr">
        <is>
          <t>SÖDERMANLANDS LÄN</t>
        </is>
      </c>
      <c r="G407" t="inlineStr">
        <is>
          <t>ESKILSTUNA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32365-2026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46238</v>
      </c>
      <c r="E408" s="1" t="n">
        <v>46268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57524-2022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44889</v>
      </c>
      <c r="E409" s="1" t="n">
        <v>46268</v>
      </c>
      <c r="F409" t="inlineStr">
        <is>
          <t>SÖDERMANLANDS LÄN</t>
        </is>
      </c>
      <c r="G409" t="inlineStr">
        <is>
          <t>ESKILSTUNA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52274-2024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46268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Övriga Aktiebolag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46239</v>
      </c>
      <c r="E411" s="1" t="n">
        <v>46268</v>
      </c>
      <c r="F411" t="inlineStr">
        <is>
          <t>SÖDERMANLANDS LÄN</t>
        </is>
      </c>
      <c r="G411" t="inlineStr">
        <is>
          <t>ESKILSTUNA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20180-2022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44698</v>
      </c>
      <c r="E412" s="1" t="n">
        <v>46268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Kyrkan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46268</v>
      </c>
      <c r="F413" t="inlineStr">
        <is>
          <t>SÖDERMANLANDS LÄN</t>
        </is>
      </c>
      <c r="G413" t="inlineStr">
        <is>
          <t>ESKILSTUNA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28428-2026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46197</v>
      </c>
      <c r="E414" s="1" t="n">
        <v>46268</v>
      </c>
      <c r="F414" t="inlineStr">
        <is>
          <t>SÖDERMANLANDS LÄN</t>
        </is>
      </c>
      <c r="G414" t="inlineStr">
        <is>
          <t>ESKILSTUNA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45387</v>
      </c>
      <c r="E415" s="1" t="n">
        <v>46268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Kyrkan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47000-2022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44852</v>
      </c>
      <c r="E416" s="1" t="n">
        <v>46268</v>
      </c>
      <c r="F416" t="inlineStr">
        <is>
          <t>SÖDERMANLANDS LÄN</t>
        </is>
      </c>
      <c r="G416" t="inlineStr">
        <is>
          <t>ESKILSTUNA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29053-2026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46199</v>
      </c>
      <c r="E417" s="1" t="n">
        <v>46268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46241</v>
      </c>
      <c r="E418" s="1" t="n">
        <v>46268</v>
      </c>
      <c r="F418" t="inlineStr">
        <is>
          <t>SÖDERMANLANDS LÄN</t>
        </is>
      </c>
      <c r="G418" t="inlineStr">
        <is>
          <t>ESKILSTUNA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11522-2026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46083</v>
      </c>
      <c r="E419" s="1" t="n">
        <v>46268</v>
      </c>
      <c r="F419" t="inlineStr">
        <is>
          <t>SÖDERMANLANDS LÄN</t>
        </is>
      </c>
      <c r="G419" t="inlineStr">
        <is>
          <t>ESKILSTUNA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25071-2022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44729</v>
      </c>
      <c r="E420" s="1" t="n">
        <v>46268</v>
      </c>
      <c r="F420" t="inlineStr">
        <is>
          <t>SÖDERMANLANDS LÄN</t>
        </is>
      </c>
      <c r="G420" t="inlineStr">
        <is>
          <t>ESKILSTUNA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29051-2026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46199</v>
      </c>
      <c r="E421" s="1" t="n">
        <v>46268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Sveaskog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46245</v>
      </c>
      <c r="E422" s="1" t="n">
        <v>46268</v>
      </c>
      <c r="F422" t="inlineStr">
        <is>
          <t>SÖDERMANLANDS LÄN</t>
        </is>
      </c>
      <c r="G422" t="inlineStr">
        <is>
          <t>ESKILSTUNA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33087-2026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46245</v>
      </c>
      <c r="E423" s="1" t="n">
        <v>46268</v>
      </c>
      <c r="F423" t="inlineStr">
        <is>
          <t>SÖDERMANLANDS LÄN</t>
        </is>
      </c>
      <c r="G423" t="inlineStr">
        <is>
          <t>ESKILSTUNA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32969-2026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46244</v>
      </c>
      <c r="E424" s="1" t="n">
        <v>46268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Kommuner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33278-2026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46246</v>
      </c>
      <c r="E425" s="1" t="n">
        <v>46268</v>
      </c>
      <c r="F425" t="inlineStr">
        <is>
          <t>SÖDERMANLANDS LÄN</t>
        </is>
      </c>
      <c r="G425" t="inlineStr">
        <is>
          <t>ESKILSTUNA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44741</v>
      </c>
      <c r="E426" s="1" t="n">
        <v>46268</v>
      </c>
      <c r="F426" t="inlineStr">
        <is>
          <t>SÖDERMANLANDS LÄN</t>
        </is>
      </c>
      <c r="G426" t="inlineStr">
        <is>
          <t>ESKILSTUNA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46268</v>
      </c>
      <c r="F427" t="inlineStr">
        <is>
          <t>SÖDERMANLANDS LÄN</t>
        </is>
      </c>
      <c r="G427" t="inlineStr">
        <is>
          <t>ESKILSTUNA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46268</v>
      </c>
      <c r="F428" t="inlineStr">
        <is>
          <t>SÖDERMANLANDS LÄN</t>
        </is>
      </c>
      <c r="G428" t="inlineStr">
        <is>
          <t>ESKILSTUNA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46268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44927-2023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45190</v>
      </c>
      <c r="E430" s="1" t="n">
        <v>46268</v>
      </c>
      <c r="F430" t="inlineStr">
        <is>
          <t>SÖDERMANLANDS LÄN</t>
        </is>
      </c>
      <c r="G430" t="inlineStr">
        <is>
          <t>ESKILSTUNA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43221-2023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46268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46881-2022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44851</v>
      </c>
      <c r="E432" s="1" t="n">
        <v>46268</v>
      </c>
      <c r="F432" t="inlineStr">
        <is>
          <t>SÖDERMANLANDS LÄN</t>
        </is>
      </c>
      <c r="G432" t="inlineStr">
        <is>
          <t>ESKILSTUNA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45723</v>
      </c>
      <c r="E433" s="1" t="n">
        <v>46268</v>
      </c>
      <c r="F433" t="inlineStr">
        <is>
          <t>SÖDERMANLANDS LÄN</t>
        </is>
      </c>
      <c r="G433" t="inlineStr">
        <is>
          <t>ESKILSTUNA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46164</v>
      </c>
      <c r="E434" s="1" t="n">
        <v>46268</v>
      </c>
      <c r="F434" t="inlineStr">
        <is>
          <t>SÖDERMANLANDS LÄN</t>
        </is>
      </c>
      <c r="G434" t="inlineStr">
        <is>
          <t>ESKILSTUNA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46157</v>
      </c>
      <c r="E435" s="1" t="n">
        <v>46268</v>
      </c>
      <c r="F435" t="inlineStr">
        <is>
          <t>SÖDERMANLANDS LÄN</t>
        </is>
      </c>
      <c r="G435" t="inlineStr">
        <is>
          <t>ESKILSTUNA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10019-2024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45363</v>
      </c>
      <c r="E436" s="1" t="n">
        <v>46268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55699-2024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46268</v>
      </c>
      <c r="F437" t="inlineStr">
        <is>
          <t>SÖDERMANLANDS LÄN</t>
        </is>
      </c>
      <c r="G437" t="inlineStr">
        <is>
          <t>ESKILSTUNA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65349-2021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46268</v>
      </c>
      <c r="F438" t="inlineStr">
        <is>
          <t>SÖDERMANLANDS LÄN</t>
        </is>
      </c>
      <c r="G438" t="inlineStr">
        <is>
          <t>ESKILSTUNA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44664</v>
      </c>
      <c r="E439" s="1" t="n">
        <v>46268</v>
      </c>
      <c r="F439" t="inlineStr">
        <is>
          <t>SÖDERMANLANDS LÄN</t>
        </is>
      </c>
      <c r="G439" t="inlineStr">
        <is>
          <t>ESKILSTUNA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44789</v>
      </c>
      <c r="E440" s="1" t="n">
        <v>46268</v>
      </c>
      <c r="F440" t="inlineStr">
        <is>
          <t>SÖDERMANLANDS LÄN</t>
        </is>
      </c>
      <c r="G440" t="inlineStr">
        <is>
          <t>ESKILSTUNA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46268</v>
      </c>
      <c r="F441" t="inlineStr">
        <is>
          <t>SÖDERMANLANDS LÄN</t>
        </is>
      </c>
      <c r="G441" t="inlineStr">
        <is>
          <t>ESKILSTUNA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46268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46268</v>
      </c>
      <c r="F443" t="inlineStr">
        <is>
          <t>SÖDERMANLANDS LÄN</t>
        </is>
      </c>
      <c r="G443" t="inlineStr">
        <is>
          <t>ESKILSTUNA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46268</v>
      </c>
      <c r="F444" t="inlineStr">
        <is>
          <t>SÖDERMANLANDS LÄN</t>
        </is>
      </c>
      <c r="G444" t="inlineStr">
        <is>
          <t>ESKILSTUNA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46268</v>
      </c>
      <c r="F445" t="inlineStr">
        <is>
          <t>SÖDERMANLANDS LÄN</t>
        </is>
      </c>
      <c r="G445" t="inlineStr">
        <is>
          <t>ESKILSTUNA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46268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54598-2021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44473</v>
      </c>
      <c r="E447" s="1" t="n">
        <v>46268</v>
      </c>
      <c r="F447" t="inlineStr">
        <is>
          <t>SÖDERMANLANDS LÄN</t>
        </is>
      </c>
      <c r="G447" t="inlineStr">
        <is>
          <t>ESKILSTUNA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55812-2022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46268</v>
      </c>
      <c r="F448" t="inlineStr">
        <is>
          <t>SÖDERMANLANDS LÄN</t>
        </is>
      </c>
      <c r="G448" t="inlineStr">
        <is>
          <t>ESKILSTUNA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31131-2026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46216</v>
      </c>
      <c r="E449" s="1" t="n">
        <v>46268</v>
      </c>
      <c r="F449" t="inlineStr">
        <is>
          <t>SÖDERMANLANDS LÄN</t>
        </is>
      </c>
      <c r="G449" t="inlineStr">
        <is>
          <t>ESKILSTUNA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44571</v>
      </c>
      <c r="E450" s="1" t="n">
        <v>46268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46268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1334-2024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45303</v>
      </c>
      <c r="E452" s="1" t="n">
        <v>46268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46268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46216</v>
      </c>
      <c r="E454" s="1" t="n">
        <v>46268</v>
      </c>
      <c r="F454" t="inlineStr">
        <is>
          <t>SÖDERMANLANDS LÄN</t>
        </is>
      </c>
      <c r="G454" t="inlineStr">
        <is>
          <t>ESKILSTUNA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45763</v>
      </c>
      <c r="E455" s="1" t="n">
        <v>46268</v>
      </c>
      <c r="F455" t="inlineStr">
        <is>
          <t>SÖDERMANLANDS LÄN</t>
        </is>
      </c>
      <c r="G455" t="inlineStr">
        <is>
          <t>ESKILSTUNA</t>
        </is>
      </c>
      <c r="I455" t="n">
        <v>15.6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44739</v>
      </c>
      <c r="E456" s="1" t="n">
        <v>46268</v>
      </c>
      <c r="F456" t="inlineStr">
        <is>
          <t>SÖDERMANLANDS LÄN</t>
        </is>
      </c>
      <c r="G456" t="inlineStr">
        <is>
          <t>ESKILSTUNA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46213</v>
      </c>
      <c r="E457" s="1" t="n">
        <v>46268</v>
      </c>
      <c r="F457" t="inlineStr">
        <is>
          <t>SÖDERMANLANDS LÄN</t>
        </is>
      </c>
      <c r="G457" t="inlineStr">
        <is>
          <t>ESKILSTUNA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31200-2026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46217</v>
      </c>
      <c r="E458" s="1" t="n">
        <v>46268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Kommuner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31203-2026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46217</v>
      </c>
      <c r="E459" s="1" t="n">
        <v>46268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Kommuner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39543-2023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45167</v>
      </c>
      <c r="E460" s="1" t="n">
        <v>46268</v>
      </c>
      <c r="F460" t="inlineStr">
        <is>
          <t>SÖDERMANLANDS LÄN</t>
        </is>
      </c>
      <c r="G460" t="inlineStr">
        <is>
          <t>ESKILSTUNA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31320-2026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46219</v>
      </c>
      <c r="E461" s="1" t="n">
        <v>46268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Sveaskog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12547-2022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44638</v>
      </c>
      <c r="E462" s="1" t="n">
        <v>46268</v>
      </c>
      <c r="F462" t="inlineStr">
        <is>
          <t>SÖDERMANLANDS LÄN</t>
        </is>
      </c>
      <c r="G462" t="inlineStr">
        <is>
          <t>ESKILSTUNA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45210</v>
      </c>
      <c r="E463" s="1" t="n">
        <v>46268</v>
      </c>
      <c r="F463" t="inlineStr">
        <is>
          <t>SÖDERMANLANDS LÄN</t>
        </is>
      </c>
      <c r="G463" t="inlineStr">
        <is>
          <t>ESKILSTUNA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68022-2021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44525</v>
      </c>
      <c r="E464" s="1" t="n">
        <v>46268</v>
      </c>
      <c r="F464" t="inlineStr">
        <is>
          <t>SÖDERMANLANDS LÄN</t>
        </is>
      </c>
      <c r="G464" t="inlineStr">
        <is>
          <t>ESKILSTUNA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61170-2021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44497</v>
      </c>
      <c r="E465" s="1" t="n">
        <v>46268</v>
      </c>
      <c r="F465" t="inlineStr">
        <is>
          <t>SÖDERMANLANDS LÄN</t>
        </is>
      </c>
      <c r="G465" t="inlineStr">
        <is>
          <t>ESKILSTUNA</t>
        </is>
      </c>
      <c r="I465" t="n">
        <v>7.3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43064-2023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45182</v>
      </c>
      <c r="E466" s="1" t="n">
        <v>46268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29068-2022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44749</v>
      </c>
      <c r="E467" s="1" t="n">
        <v>46268</v>
      </c>
      <c r="F467" t="inlineStr">
        <is>
          <t>SÖDERMANLANDS LÄN</t>
        </is>
      </c>
      <c r="G467" t="inlineStr">
        <is>
          <t>ESKILSTUNA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44946</v>
      </c>
      <c r="E468" s="1" t="n">
        <v>46268</v>
      </c>
      <c r="F468" t="inlineStr">
        <is>
          <t>SÖDERMANLANDS LÄN</t>
        </is>
      </c>
      <c r="G468" t="inlineStr">
        <is>
          <t>ESKILSTUNA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45159</v>
      </c>
      <c r="E469" s="1" t="n">
        <v>46268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Kommuner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28011-2022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44746</v>
      </c>
      <c r="E470" s="1" t="n">
        <v>46268</v>
      </c>
      <c r="F470" t="inlineStr">
        <is>
          <t>SÖDERMANLANDS LÄN</t>
        </is>
      </c>
      <c r="G470" t="inlineStr">
        <is>
          <t>ESKILSTUNA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20348-2023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45056</v>
      </c>
      <c r="E471" s="1" t="n">
        <v>46268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22605-2023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45071</v>
      </c>
      <c r="E472" s="1" t="n">
        <v>46268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Kyrkan</t>
        </is>
      </c>
      <c r="I472" t="n">
        <v>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46268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45615</v>
      </c>
      <c r="E474" s="1" t="n">
        <v>46268</v>
      </c>
      <c r="F474" t="inlineStr">
        <is>
          <t>SÖDERMANLANDS LÄN</t>
        </is>
      </c>
      <c r="G474" t="inlineStr">
        <is>
          <t>ESKILSTUNA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45642</v>
      </c>
      <c r="E475" s="1" t="n">
        <v>46268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13826-2025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45737</v>
      </c>
      <c r="E476" s="1" t="n">
        <v>46268</v>
      </c>
      <c r="F476" t="inlineStr">
        <is>
          <t>SÖDERMANLANDS LÄN</t>
        </is>
      </c>
      <c r="G476" t="inlineStr">
        <is>
          <t>ESKILSTUNA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10352-2024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45365</v>
      </c>
      <c r="E477" s="1" t="n">
        <v>46268</v>
      </c>
      <c r="F477" t="inlineStr">
        <is>
          <t>SÖDERMANLANDS LÄN</t>
        </is>
      </c>
      <c r="G477" t="inlineStr">
        <is>
          <t>ESKILSTUNA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44953</v>
      </c>
      <c r="E478" s="1" t="n">
        <v>46268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46268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46268</v>
      </c>
      <c r="F480" t="inlineStr">
        <is>
          <t>SÖDERMANLANDS LÄN</t>
        </is>
      </c>
      <c r="G480" t="inlineStr">
        <is>
          <t>ESKILSTUNA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19285-2023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46268</v>
      </c>
      <c r="F481" t="inlineStr">
        <is>
          <t>SÖDERMANLANDS LÄN</t>
        </is>
      </c>
      <c r="G481" t="inlineStr">
        <is>
          <t>ESKILSTUNA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46268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46268</v>
      </c>
      <c r="F483" t="inlineStr">
        <is>
          <t>SÖDERMANLANDS LÄN</t>
        </is>
      </c>
      <c r="G483" t="inlineStr">
        <is>
          <t>ESKILSTUNA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46268</v>
      </c>
      <c r="F484" t="inlineStr">
        <is>
          <t>SÖDERMANLANDS LÄN</t>
        </is>
      </c>
      <c r="G484" t="inlineStr">
        <is>
          <t>ESKILSTUNA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24534-2025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45798</v>
      </c>
      <c r="E485" s="1" t="n">
        <v>46268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24535-2025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45798</v>
      </c>
      <c r="E486" s="1" t="n">
        <v>46268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24536-2025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45798</v>
      </c>
      <c r="E487" s="1" t="n">
        <v>46268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46268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46268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46268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46268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46268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46268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46268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46268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46268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46268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46268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46268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46268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2026-09-03T02:02:42Z</dcterms:created>
  <dcterms:modified xmlns:dcterms="http://purl.org/dc/terms/" xmlns:xsi="http://www.w3.org/2001/XMLSchema-instance" xsi:type="dcterms:W3CDTF">2026-09-03T02:02:43Z</dcterms:modified>
</cp:coreProperties>
</file>