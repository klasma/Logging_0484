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46225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46225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46225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46225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46225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46225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46225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46225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46225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46225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46225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46225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46225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46225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46225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46225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46225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46225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46225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46225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46225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46225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46225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46225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46225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46225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46225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59822-2025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46225</v>
      </c>
      <c r="F36" t="inlineStr">
        <is>
          <t>SÖDERMANLANDS LÄN</t>
        </is>
      </c>
      <c r="G36" t="inlineStr">
        <is>
          <t>ESKILSTUNA</t>
        </is>
      </c>
      <c r="I36" t="n">
        <v>8.5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Stubbspretmossa
Timmerticka</t>
        </is>
      </c>
      <c r="W36">
        <f>HYPERLINK("https://klasma.github.io/Logging_0484/artfynd/A 59822-2025 artfynd.xlsx", "A 59822-2025")</f>
        <v/>
      </c>
      <c r="X36">
        <f>HYPERLINK("https://klasma.github.io/Logging_0484/kartor/A 59822-2025 karta.png", "A 59822-2025")</f>
        <v/>
      </c>
      <c r="Y36">
        <f>HYPERLINK("https://klasma.github.io/Logging_0484/kartor_geotiff/A 59822-2025 georefererad karta.tif", "A 59822-2025")</f>
        <v/>
      </c>
      <c r="AA36">
        <f>HYPERLINK("https://klasma.github.io/Logging_0484/klagomål/A 59822-2025 FSC-klagomål.docx", "A 59822-2025")</f>
        <v/>
      </c>
      <c r="AB36">
        <f>HYPERLINK("https://klasma.github.io/Logging_0484/klagomålsmail/A 59822-2025 FSC-klagomål mail.docx", "A 59822-2025")</f>
        <v/>
      </c>
      <c r="AC36">
        <f>HYPERLINK("https://klasma.github.io/Logging_0484/tillsyn/A 59822-2025 tillsynsbegäran.docx", "A 59822-2025")</f>
        <v/>
      </c>
      <c r="AD36">
        <f>HYPERLINK("https://klasma.github.io/Logging_0484/tillsynsmail/A 59822-2025 tillsynsbegäran mail.docx", "A 59822-2025")</f>
        <v/>
      </c>
    </row>
    <row r="37" ht="15" customHeight="1">
      <c r="A37" t="inlineStr">
        <is>
          <t>A 34986-2025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46225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Svart trolldruva
Spillkråka</t>
        </is>
      </c>
      <c r="W37">
        <f>HYPERLINK("https://klasma.github.io/Logging_0484/artfynd/A 34986-2025 artfynd.xlsx", "A 34986-2025")</f>
        <v/>
      </c>
      <c r="X37">
        <f>HYPERLINK("https://klasma.github.io/Logging_0484/kartor/A 34986-2025 karta.png", "A 34986-2025")</f>
        <v/>
      </c>
      <c r="Y37">
        <f>HYPERLINK("https://klasma.github.io/Logging_0484/kartor_geotiff/A 34986-2025 georefererad karta.tif", "A 34986-2025")</f>
        <v/>
      </c>
      <c r="AA37">
        <f>HYPERLINK("https://klasma.github.io/Logging_0484/klagomål/A 34986-2025 FSC-klagomål.docx", "A 34986-2025")</f>
        <v/>
      </c>
      <c r="AB37">
        <f>HYPERLINK("https://klasma.github.io/Logging_0484/klagomålsmail/A 34986-2025 FSC-klagomål mail.docx", "A 34986-2025")</f>
        <v/>
      </c>
      <c r="AC37">
        <f>HYPERLINK("https://klasma.github.io/Logging_0484/tillsyn/A 34986-2025 tillsynsbegäran.docx", "A 34986-2025")</f>
        <v/>
      </c>
      <c r="AD37">
        <f>HYPERLINK("https://klasma.github.io/Logging_0484/tillsynsmail/A 34986-2025 tillsynsbegäran mail.docx", "A 34986-2025")</f>
        <v/>
      </c>
      <c r="AE37">
        <f>HYPERLINK("https://klasma.github.io/Logging_0484/fåglar/A 34986-2025 prioriterade fågelarter.docx", "A 34986-2025")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46225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46225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46225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46225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61987-2022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46225</v>
      </c>
      <c r="F42" t="inlineStr">
        <is>
          <t>SÖDERMANLANDS LÄN</t>
        </is>
      </c>
      <c r="G42" t="inlineStr">
        <is>
          <t>ESKILSTUNA</t>
        </is>
      </c>
      <c r="I42" t="n">
        <v>4.3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Svinrot
Mattlummer</t>
        </is>
      </c>
      <c r="W42">
        <f>HYPERLINK("https://klasma.github.io/Logging_0484/artfynd/A 61987-2022 artfynd.xlsx", "A 61987-2022")</f>
        <v/>
      </c>
      <c r="X42">
        <f>HYPERLINK("https://klasma.github.io/Logging_0484/kartor/A 61987-2022 karta.png", "A 61987-2022")</f>
        <v/>
      </c>
      <c r="Y42">
        <f>HYPERLINK("https://klasma.github.io/Logging_0484/kartor_geotiff/A 61987-2022 georefererad karta.tif", "A 61987-2022")</f>
        <v/>
      </c>
      <c r="AA42">
        <f>HYPERLINK("https://klasma.github.io/Logging_0484/klagomål/A 61987-2022 FSC-klagomål.docx", "A 61987-2022")</f>
        <v/>
      </c>
      <c r="AB42">
        <f>HYPERLINK("https://klasma.github.io/Logging_0484/klagomålsmail/A 61987-2022 FSC-klagomål mail.docx", "A 61987-2022")</f>
        <v/>
      </c>
      <c r="AC42">
        <f>HYPERLINK("https://klasma.github.io/Logging_0484/tillsyn/A 61987-2022 tillsynsbegäran.docx", "A 61987-2022")</f>
        <v/>
      </c>
      <c r="AD42">
        <f>HYPERLINK("https://klasma.github.io/Logging_0484/tillsynsmail/A 61987-2022 tillsynsbegäran mail.docx", "A 61987-2022")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46225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46225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46225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46225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46225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46225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46225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46225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46225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46225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46225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46225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46225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46225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46225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46225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46225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46225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HYPERLINK("https://klasma.github.io/Logging_0484/artfynd/A 12984-2024 artfynd.xlsx", "A 12984-2024")</f>
        <v/>
      </c>
      <c r="X60">
        <f>HYPERLINK("https://klasma.github.io/Logging_0484/kartor/A 12984-2024 karta.png", "A 12984-2024")</f>
        <v/>
      </c>
      <c r="Y60">
        <f>HYPERLINK("https://klasma.github.io/Logging_0484/kartor_geotiff/A 12984-2024 georefererad karta.tif", "A 12984-2024")</f>
        <v/>
      </c>
      <c r="AA60">
        <f>HYPERLINK("https://klasma.github.io/Logging_0484/klagomål/A 12984-2024 FSC-klagomål.docx", "A 12984-2024")</f>
        <v/>
      </c>
      <c r="AB60">
        <f>HYPERLINK("https://klasma.github.io/Logging_0484/klagomålsmail/A 12984-2024 FSC-klagomål mail.docx", "A 12984-2024")</f>
        <v/>
      </c>
      <c r="AC60">
        <f>HYPERLINK("https://klasma.github.io/Logging_0484/tillsyn/A 12984-2024 tillsynsbegäran.docx", "A 12984-2024")</f>
        <v/>
      </c>
      <c r="AD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46225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HYPERLINK("https://klasma.github.io/Logging_0484/artfynd/A 53399-2023 artfynd.xlsx", "A 53399-2023")</f>
        <v/>
      </c>
      <c r="X61">
        <f>HYPERLINK("https://klasma.github.io/Logging_0484/kartor/A 53399-2023 karta.png", "A 53399-2023")</f>
        <v/>
      </c>
      <c r="Y61">
        <f>HYPERLINK("https://klasma.github.io/Logging_0484/kartor_geotiff/A 53399-2023 georefererad karta.tif", "A 53399-2023")</f>
        <v/>
      </c>
      <c r="AA61">
        <f>HYPERLINK("https://klasma.github.io/Logging_0484/klagomål/A 53399-2023 FSC-klagomål.docx", "A 53399-2023")</f>
        <v/>
      </c>
      <c r="AB61">
        <f>HYPERLINK("https://klasma.github.io/Logging_0484/klagomålsmail/A 53399-2023 FSC-klagomål mail.docx", "A 53399-2023")</f>
        <v/>
      </c>
      <c r="AC61">
        <f>HYPERLINK("https://klasma.github.io/Logging_0484/tillsyn/A 53399-2023 tillsynsbegäran.docx", "A 53399-2023")</f>
        <v/>
      </c>
      <c r="AD61">
        <f>HYPERLINK("https://klasma.github.io/Logging_0484/tillsynsmail/A 53399-2023 tillsynsbegäran mail.docx", "A 53399-2023")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46225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HYPERLINK("https://klasma.github.io/Logging_0484/artfynd/A 43547-2022 artfynd.xlsx", "A 43547-2022")</f>
        <v/>
      </c>
      <c r="X62">
        <f>HYPERLINK("https://klasma.github.io/Logging_0484/kartor/A 43547-2022 karta.png", "A 43547-2022")</f>
        <v/>
      </c>
      <c r="Y62">
        <f>HYPERLINK("https://klasma.github.io/Logging_0484/kartor_geotiff/A 43547-2022 georefererad karta.tif", "A 43547-2022")</f>
        <v/>
      </c>
      <c r="Z62">
        <f>HYPERLINK("https://klasma.github.io/Logging_0484/knärot/A 43547-2022 karta knärot.png", "A 43547-2022")</f>
        <v/>
      </c>
      <c r="AA62">
        <f>HYPERLINK("https://klasma.github.io/Logging_0484/klagomål/A 43547-2022 FSC-klagomål.docx", "A 43547-2022")</f>
        <v/>
      </c>
      <c r="AB62">
        <f>HYPERLINK("https://klasma.github.io/Logging_0484/klagomålsmail/A 43547-2022 FSC-klagomål mail.docx", "A 43547-2022")</f>
        <v/>
      </c>
      <c r="AC62">
        <f>HYPERLINK("https://klasma.github.io/Logging_0484/tillsyn/A 43547-2022 tillsynsbegäran.docx", "A 43547-2022")</f>
        <v/>
      </c>
      <c r="AD62">
        <f>HYPERLINK("https://klasma.github.io/Logging_0484/tillsynsmail/A 43547-2022 tillsynsbegäran mail.docx", "A 43547-2022")</f>
        <v/>
      </c>
    </row>
    <row r="63" ht="15" customHeight="1">
      <c r="A63" t="inlineStr">
        <is>
          <t>A 47648-2022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46225</v>
      </c>
      <c r="F63" t="inlineStr">
        <is>
          <t>SÖDERMANLANDS LÄN</t>
        </is>
      </c>
      <c r="G63" t="inlineStr">
        <is>
          <t>ESKILSTUNA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Grönsångare</t>
        </is>
      </c>
      <c r="W63">
        <f>HYPERLINK("https://klasma.github.io/Logging_0484/artfynd/A 47648-2022 artfynd.xlsx", "A 47648-2022")</f>
        <v/>
      </c>
      <c r="X63">
        <f>HYPERLINK("https://klasma.github.io/Logging_0484/kartor/A 47648-2022 karta.png", "A 47648-2022")</f>
        <v/>
      </c>
      <c r="Y63">
        <f>HYPERLINK("https://klasma.github.io/Logging_0484/kartor_geotiff/A 47648-2022 georefererad karta.tif", "A 47648-2022")</f>
        <v/>
      </c>
      <c r="AA63">
        <f>HYPERLINK("https://klasma.github.io/Logging_0484/klagomål/A 47648-2022 FSC-klagomål.docx", "A 47648-2022")</f>
        <v/>
      </c>
      <c r="AB63">
        <f>HYPERLINK("https://klasma.github.io/Logging_0484/klagomålsmail/A 47648-2022 FSC-klagomål mail.docx", "A 47648-2022")</f>
        <v/>
      </c>
      <c r="AC63">
        <f>HYPERLINK("https://klasma.github.io/Logging_0484/tillsyn/A 47648-2022 tillsynsbegäran.docx", "A 47648-2022")</f>
        <v/>
      </c>
      <c r="AD63">
        <f>HYPERLINK("https://klasma.github.io/Logging_0484/tillsynsmail/A 47648-2022 tillsynsbegäran mail.docx", "A 47648-2022")</f>
        <v/>
      </c>
      <c r="AE63">
        <f>HYPERLINK("https://klasma.github.io/Logging_0484/fåglar/A 47648-2022 prioriterade fågelarter.docx", "A 47648-2022")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46225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46225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8518-2026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46225</v>
      </c>
      <c r="F66" t="inlineStr">
        <is>
          <t>SÖDERMANLANDS LÄN</t>
        </is>
      </c>
      <c r="G66" t="inlineStr">
        <is>
          <t>ESKILSTUNA</t>
        </is>
      </c>
      <c r="I66" t="n">
        <v>8.9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8518-2026 artfynd.xlsx", "A 8518-2026")</f>
        <v/>
      </c>
      <c r="X66">
        <f>HYPERLINK("https://klasma.github.io/Logging_0484/kartor/A 8518-2026 karta.png", "A 8518-2026")</f>
        <v/>
      </c>
      <c r="Y66">
        <f>HYPERLINK("https://klasma.github.io/Logging_0484/kartor_geotiff/A 8518-2026 georefererad karta.tif", "A 8518-2026")</f>
        <v/>
      </c>
      <c r="AA66">
        <f>HYPERLINK("https://klasma.github.io/Logging_0484/klagomål/A 8518-2026 FSC-klagomål.docx", "A 8518-2026")</f>
        <v/>
      </c>
      <c r="AB66">
        <f>HYPERLINK("https://klasma.github.io/Logging_0484/klagomålsmail/A 8518-2026 FSC-klagomål mail.docx", "A 8518-2026")</f>
        <v/>
      </c>
      <c r="AC66">
        <f>HYPERLINK("https://klasma.github.io/Logging_0484/tillsyn/A 8518-2026 tillsynsbegäran.docx", "A 8518-2026")</f>
        <v/>
      </c>
      <c r="AD66">
        <f>HYPERLINK("https://klasma.github.io/Logging_0484/tillsynsmail/A 8518-2026 tillsynsbegäran mail.docx", "A 8518-2026")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46225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15608-2026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46225</v>
      </c>
      <c r="F68" t="inlineStr">
        <is>
          <t>SÖDERMANLANDS LÄN</t>
        </is>
      </c>
      <c r="G68" t="inlineStr">
        <is>
          <t>ESKILSTUNA</t>
        </is>
      </c>
      <c r="I68" t="n">
        <v>9.6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15608-2026 artfynd.xlsx", "A 15608-2026")</f>
        <v/>
      </c>
      <c r="X68">
        <f>HYPERLINK("https://klasma.github.io/Logging_0484/kartor/A 15608-2026 karta.png", "A 15608-2026")</f>
        <v/>
      </c>
      <c r="Y68">
        <f>HYPERLINK("https://klasma.github.io/Logging_0484/kartor_geotiff/A 15608-2026 georefererad karta.tif", "A 15608-2026")</f>
        <v/>
      </c>
      <c r="AA68">
        <f>HYPERLINK("https://klasma.github.io/Logging_0484/klagomål/A 15608-2026 FSC-klagomål.docx", "A 15608-2026")</f>
        <v/>
      </c>
      <c r="AB68">
        <f>HYPERLINK("https://klasma.github.io/Logging_0484/klagomålsmail/A 15608-2026 FSC-klagomål mail.docx", "A 15608-2026")</f>
        <v/>
      </c>
      <c r="AC68">
        <f>HYPERLINK("https://klasma.github.io/Logging_0484/tillsyn/A 15608-2026 tillsynsbegäran.docx", "A 15608-2026")</f>
        <v/>
      </c>
      <c r="AD68">
        <f>HYPERLINK("https://klasma.github.io/Logging_0484/tillsynsmail/A 15608-2026 tillsynsbegäran mail.docx", "A 15608-2026")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46225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27892-2026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46191</v>
      </c>
      <c r="E70" s="1" t="n">
        <v>46225</v>
      </c>
      <c r="F70" t="inlineStr">
        <is>
          <t>SÖDERMANLANDS LÄN</t>
        </is>
      </c>
      <c r="G70" t="inlineStr">
        <is>
          <t>ESKILSTUNA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Nattviol</t>
        </is>
      </c>
      <c r="W70">
        <f>HYPERLINK("https://klasma.github.io/Logging_0484/artfynd/A 27892-2026 artfynd.xlsx", "A 27892-2026")</f>
        <v/>
      </c>
      <c r="X70">
        <f>HYPERLINK("https://klasma.github.io/Logging_0484/kartor/A 27892-2026 karta.png", "A 27892-2026")</f>
        <v/>
      </c>
      <c r="Y70">
        <f>HYPERLINK("https://klasma.github.io/Logging_0484/kartor_geotiff/A 27892-2026 georefererad karta.tif", "A 27892-2026")</f>
        <v/>
      </c>
      <c r="AA70">
        <f>HYPERLINK("https://klasma.github.io/Logging_0484/klagomål/A 27892-2026 FSC-klagomål.docx", "A 27892-2026")</f>
        <v/>
      </c>
      <c r="AB70">
        <f>HYPERLINK("https://klasma.github.io/Logging_0484/klagomålsmail/A 27892-2026 FSC-klagomål mail.docx", "A 27892-2026")</f>
        <v/>
      </c>
      <c r="AC70">
        <f>HYPERLINK("https://klasma.github.io/Logging_0484/tillsyn/A 27892-2026 tillsynsbegäran.docx", "A 27892-2026")</f>
        <v/>
      </c>
      <c r="AD70">
        <f>HYPERLINK("https://klasma.github.io/Logging_0484/tillsynsmail/A 27892-2026 tillsynsbegäran mail.docx", "A 27892-2026")</f>
        <v/>
      </c>
    </row>
    <row r="71" ht="15" customHeight="1">
      <c r="A71" t="inlineStr">
        <is>
          <t>A 29047-2026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46199</v>
      </c>
      <c r="E71" s="1" t="n">
        <v>46225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Kandelabersvamp</t>
        </is>
      </c>
      <c r="W71">
        <f>HYPERLINK("https://klasma.github.io/Logging_0484/artfynd/A 29047-2026 artfynd.xlsx", "A 29047-2026")</f>
        <v/>
      </c>
      <c r="X71">
        <f>HYPERLINK("https://klasma.github.io/Logging_0484/kartor/A 29047-2026 karta.png", "A 29047-2026")</f>
        <v/>
      </c>
      <c r="Y71">
        <f>HYPERLINK("https://klasma.github.io/Logging_0484/kartor_geotiff/A 29047-2026 georefererad karta.tif", "A 29047-2026")</f>
        <v/>
      </c>
      <c r="AA71">
        <f>HYPERLINK("https://klasma.github.io/Logging_0484/klagomål/A 29047-2026 FSC-klagomål.docx", "A 29047-2026")</f>
        <v/>
      </c>
      <c r="AB71">
        <f>HYPERLINK("https://klasma.github.io/Logging_0484/klagomålsmail/A 29047-2026 FSC-klagomål mail.docx", "A 29047-2026")</f>
        <v/>
      </c>
      <c r="AC71">
        <f>HYPERLINK("https://klasma.github.io/Logging_0484/tillsyn/A 29047-2026 tillsynsbegäran.docx", "A 29047-2026")</f>
        <v/>
      </c>
      <c r="AD71">
        <f>HYPERLINK("https://klasma.github.io/Logging_0484/tillsynsmail/A 29047-2026 tillsynsbegäran mail.docx", "A 29047-2026")</f>
        <v/>
      </c>
    </row>
    <row r="72" ht="15" customHeight="1">
      <c r="A72" t="inlineStr">
        <is>
          <t>A 26148-2022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46225</v>
      </c>
      <c r="F72" t="inlineStr">
        <is>
          <t>SÖDERMANLANDS LÄN</t>
        </is>
      </c>
      <c r="G72" t="inlineStr">
        <is>
          <t>ESKILSTUNA</t>
        </is>
      </c>
      <c r="I72" t="n">
        <v>3.3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Rödvingetrast</t>
        </is>
      </c>
      <c r="W72">
        <f>HYPERLINK("https://klasma.github.io/Logging_0484/artfynd/A 26148-2022 artfynd.xlsx", "A 26148-2022")</f>
        <v/>
      </c>
      <c r="X72">
        <f>HYPERLINK("https://klasma.github.io/Logging_0484/kartor/A 26148-2022 karta.png", "A 26148-2022")</f>
        <v/>
      </c>
      <c r="Y72">
        <f>HYPERLINK("https://klasma.github.io/Logging_0484/kartor_geotiff/A 26148-2022 georefererad karta.tif", "A 26148-2022")</f>
        <v/>
      </c>
      <c r="AA72">
        <f>HYPERLINK("https://klasma.github.io/Logging_0484/klagomål/A 26148-2022 FSC-klagomål.docx", "A 26148-2022")</f>
        <v/>
      </c>
      <c r="AB72">
        <f>HYPERLINK("https://klasma.github.io/Logging_0484/klagomålsmail/A 26148-2022 FSC-klagomål mail.docx", "A 26148-2022")</f>
        <v/>
      </c>
      <c r="AC72">
        <f>HYPERLINK("https://klasma.github.io/Logging_0484/tillsyn/A 26148-2022 tillsynsbegäran.docx", "A 26148-2022")</f>
        <v/>
      </c>
      <c r="AD72">
        <f>HYPERLINK("https://klasma.github.io/Logging_0484/tillsynsmail/A 26148-2022 tillsynsbegäran mail.docx", "A 26148-2022")</f>
        <v/>
      </c>
      <c r="AE72">
        <f>HYPERLINK("https://klasma.github.io/Logging_0484/fåglar/A 26148-2022 prioriterade fågelarter.docx", "A 26148-2022")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46225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26097-2026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46225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Svinrot</t>
        </is>
      </c>
      <c r="W74">
        <f>HYPERLINK("https://klasma.github.io/Logging_0484/artfynd/A 26097-2026 artfynd.xlsx", "A 26097-2026")</f>
        <v/>
      </c>
      <c r="X74">
        <f>HYPERLINK("https://klasma.github.io/Logging_0484/kartor/A 26097-2026 karta.png", "A 26097-2026")</f>
        <v/>
      </c>
      <c r="Y74">
        <f>HYPERLINK("https://klasma.github.io/Logging_0484/kartor_geotiff/A 26097-2026 georefererad karta.tif", "A 26097-2026")</f>
        <v/>
      </c>
      <c r="AA74">
        <f>HYPERLINK("https://klasma.github.io/Logging_0484/klagomål/A 26097-2026 FSC-klagomål.docx", "A 26097-2026")</f>
        <v/>
      </c>
      <c r="AB74">
        <f>HYPERLINK("https://klasma.github.io/Logging_0484/klagomålsmail/A 26097-2026 FSC-klagomål mail.docx", "A 26097-2026")</f>
        <v/>
      </c>
      <c r="AC74">
        <f>HYPERLINK("https://klasma.github.io/Logging_0484/tillsyn/A 26097-2026 tillsynsbegäran.docx", "A 26097-2026")</f>
        <v/>
      </c>
      <c r="AD74">
        <f>HYPERLINK("https://klasma.github.io/Logging_0484/tillsynsmail/A 26097-2026 tillsynsbegäran mail.docx", "A 26097-2026")</f>
        <v/>
      </c>
    </row>
    <row r="75" ht="15" customHeight="1">
      <c r="A75" t="inlineStr">
        <is>
          <t>A 26008-2026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46225</v>
      </c>
      <c r="F75" t="inlineStr">
        <is>
          <t>SÖDERMANLANDS LÄN</t>
        </is>
      </c>
      <c r="G75" t="inlineStr">
        <is>
          <t>ESKILSTUNA</t>
        </is>
      </c>
      <c r="I75" t="n">
        <v>2.8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8</v>
      </c>
      <c r="U75" t="n">
        <v>0</v>
      </c>
      <c r="V75" s="2" t="inlineStr">
        <is>
          <t>Svart trolldruva</t>
        </is>
      </c>
      <c r="W75">
        <f>HYPERLINK("https://klasma.github.io/Logging_0484/artfynd/A 26008-2026 artfynd.xlsx", "A 26008-2026")</f>
        <v/>
      </c>
      <c r="X75">
        <f>HYPERLINK("https://klasma.github.io/Logging_0484/kartor/A 26008-2026 karta.png", "A 26008-2026")</f>
        <v/>
      </c>
      <c r="Y75">
        <f>HYPERLINK("https://klasma.github.io/Logging_0484/kartor_geotiff/A 26008-2026 georefererad karta.tif", "A 26008-2026")</f>
        <v/>
      </c>
      <c r="AA75">
        <f>HYPERLINK("https://klasma.github.io/Logging_0484/klagomål/A 26008-2026 FSC-klagomål.docx", "A 26008-2026")</f>
        <v/>
      </c>
      <c r="AB75">
        <f>HYPERLINK("https://klasma.github.io/Logging_0484/klagomålsmail/A 26008-2026 FSC-klagomål mail.docx", "A 26008-2026")</f>
        <v/>
      </c>
      <c r="AC75">
        <f>HYPERLINK("https://klasma.github.io/Logging_0484/tillsyn/A 26008-2026 tillsynsbegäran.docx", "A 26008-2026")</f>
        <v/>
      </c>
      <c r="AD75">
        <f>HYPERLINK("https://klasma.github.io/Logging_0484/tillsynsmail/A 26008-2026 tillsynsbegäran mail.docx", "A 26008-2026")</f>
        <v/>
      </c>
    </row>
    <row r="76" ht="15" customHeight="1">
      <c r="A76" t="inlineStr">
        <is>
          <t>A 26094-2026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46225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3.4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HYPERLINK("https://klasma.github.io/Logging_0484/artfynd/A 26094-2026 artfynd.xlsx", "A 26094-2026")</f>
        <v/>
      </c>
      <c r="X76">
        <f>HYPERLINK("https://klasma.github.io/Logging_0484/kartor/A 26094-2026 karta.png", "A 26094-2026")</f>
        <v/>
      </c>
      <c r="Y76">
        <f>HYPERLINK("https://klasma.github.io/Logging_0484/kartor_geotiff/A 26094-2026 georefererad karta.tif", "A 26094-2026")</f>
        <v/>
      </c>
      <c r="AA76">
        <f>HYPERLINK("https://klasma.github.io/Logging_0484/klagomål/A 26094-2026 FSC-klagomål.docx", "A 26094-2026")</f>
        <v/>
      </c>
      <c r="AB76">
        <f>HYPERLINK("https://klasma.github.io/Logging_0484/klagomålsmail/A 26094-2026 FSC-klagomål mail.docx", "A 26094-2026")</f>
        <v/>
      </c>
      <c r="AC76">
        <f>HYPERLINK("https://klasma.github.io/Logging_0484/tillsyn/A 26094-2026 tillsynsbegäran.docx", "A 26094-2026")</f>
        <v/>
      </c>
      <c r="AD76">
        <f>HYPERLINK("https://klasma.github.io/Logging_0484/tillsynsmail/A 26094-2026 tillsynsbegäran mail.docx", "A 26094-2026")</f>
        <v/>
      </c>
      <c r="AE76">
        <f>HYPERLINK("https://klasma.github.io/Logging_0484/fåglar/A 26094-2026 prioriterade fågelarter.docx", "A 26094-2026")</f>
        <v/>
      </c>
    </row>
    <row r="77" ht="15" customHeight="1">
      <c r="A77" t="inlineStr">
        <is>
          <t>A 57349-2021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44483</v>
      </c>
      <c r="E77" s="1" t="n">
        <v>46225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1.9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Gullviva</t>
        </is>
      </c>
      <c r="W77">
        <f>HYPERLINK("https://klasma.github.io/Logging_0484/artfynd/A 57349-2021 artfynd.xlsx", "A 57349-2021")</f>
        <v/>
      </c>
      <c r="X77">
        <f>HYPERLINK("https://klasma.github.io/Logging_0484/kartor/A 57349-2021 karta.png", "A 57349-2021")</f>
        <v/>
      </c>
      <c r="Y77">
        <f>HYPERLINK("https://klasma.github.io/Logging_0484/kartor_geotiff/A 57349-2021 georefererad karta.tif", "A 57349-2021")</f>
        <v/>
      </c>
      <c r="AA77">
        <f>HYPERLINK("https://klasma.github.io/Logging_0484/klagomål/A 57349-2021 FSC-klagomål.docx", "A 57349-2021")</f>
        <v/>
      </c>
      <c r="AB77">
        <f>HYPERLINK("https://klasma.github.io/Logging_0484/klagomålsmail/A 57349-2021 FSC-klagomål mail.docx", "A 57349-2021")</f>
        <v/>
      </c>
      <c r="AC77">
        <f>HYPERLINK("https://klasma.github.io/Logging_0484/tillsyn/A 57349-2021 tillsynsbegäran.docx", "A 57349-2021")</f>
        <v/>
      </c>
      <c r="AD77">
        <f>HYPERLINK("https://klasma.github.io/Logging_0484/tillsynsmail/A 57349-2021 tillsynsbegäran mail.docx", "A 57349-2021")</f>
        <v/>
      </c>
    </row>
    <row r="78" ht="15" customHeight="1">
      <c r="A78" t="inlineStr">
        <is>
          <t>A 9645-2023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46225</v>
      </c>
      <c r="F78" t="inlineStr">
        <is>
          <t>SÖDERMANLANDS LÄN</t>
        </is>
      </c>
      <c r="G78" t="inlineStr">
        <is>
          <t>ESKILSTUNA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Skogsduva</t>
        </is>
      </c>
      <c r="W78">
        <f>HYPERLINK("https://klasma.github.io/Logging_0484/artfynd/A 9645-2023 artfynd.xlsx", "A 9645-2023")</f>
        <v/>
      </c>
      <c r="X78">
        <f>HYPERLINK("https://klasma.github.io/Logging_0484/kartor/A 9645-2023 karta.png", "A 9645-2023")</f>
        <v/>
      </c>
      <c r="Y78">
        <f>HYPERLINK("https://klasma.github.io/Logging_0484/kartor_geotiff/A 9645-2023 georefererad karta.tif", "A 9645-2023")</f>
        <v/>
      </c>
      <c r="AA78">
        <f>HYPERLINK("https://klasma.github.io/Logging_0484/klagomål/A 9645-2023 FSC-klagomål.docx", "A 9645-2023")</f>
        <v/>
      </c>
      <c r="AB78">
        <f>HYPERLINK("https://klasma.github.io/Logging_0484/klagomålsmail/A 9645-2023 FSC-klagomål mail.docx", "A 9645-2023")</f>
        <v/>
      </c>
      <c r="AC78">
        <f>HYPERLINK("https://klasma.github.io/Logging_0484/tillsyn/A 9645-2023 tillsynsbegäran.docx", "A 9645-2023")</f>
        <v/>
      </c>
      <c r="AD78">
        <f>HYPERLINK("https://klasma.github.io/Logging_0484/tillsynsmail/A 9645-2023 tillsynsbegäran mail.docx", "A 9645-2023")</f>
        <v/>
      </c>
    </row>
    <row r="79" ht="15" customHeight="1">
      <c r="A79" t="inlineStr">
        <is>
          <t>A 68018-2021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46225</v>
      </c>
      <c r="F79" t="inlineStr">
        <is>
          <t>SÖDERMANLANDS LÄN</t>
        </is>
      </c>
      <c r="G79" t="inlineStr">
        <is>
          <t>ESKILSTUNA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Motaggsvamp</t>
        </is>
      </c>
      <c r="W79">
        <f>HYPERLINK("https://klasma.github.io/Logging_0484/artfynd/A 68018-2021 artfynd.xlsx", "A 68018-2021")</f>
        <v/>
      </c>
      <c r="X79">
        <f>HYPERLINK("https://klasma.github.io/Logging_0484/kartor/A 68018-2021 karta.png", "A 68018-2021")</f>
        <v/>
      </c>
      <c r="Y79">
        <f>HYPERLINK("https://klasma.github.io/Logging_0484/kartor_geotiff/A 68018-2021 georefererad karta.tif", "A 68018-2021")</f>
        <v/>
      </c>
      <c r="AA79">
        <f>HYPERLINK("https://klasma.github.io/Logging_0484/klagomål/A 68018-2021 FSC-klagomål.docx", "A 68018-2021")</f>
        <v/>
      </c>
      <c r="AB79">
        <f>HYPERLINK("https://klasma.github.io/Logging_0484/klagomålsmail/A 68018-2021 FSC-klagomål mail.docx", "A 68018-2021")</f>
        <v/>
      </c>
      <c r="AC79">
        <f>HYPERLINK("https://klasma.github.io/Logging_0484/tillsyn/A 68018-2021 tillsynsbegäran.docx", "A 68018-2021")</f>
        <v/>
      </c>
      <c r="AD79">
        <f>HYPERLINK("https://klasma.github.io/Logging_0484/tillsynsmail/A 68018-2021 tillsynsbegäran mail.docx", "A 68018-2021")</f>
        <v/>
      </c>
    </row>
    <row r="80" ht="15" customHeight="1">
      <c r="A80" t="inlineStr">
        <is>
          <t>A 51345-2024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45603</v>
      </c>
      <c r="E80" s="1" t="n">
        <v>46225</v>
      </c>
      <c r="F80" t="inlineStr">
        <is>
          <t>SÖDERMANLANDS LÄN</t>
        </is>
      </c>
      <c r="G80" t="inlineStr">
        <is>
          <t>ESKILSTUNA</t>
        </is>
      </c>
      <c r="I80" t="n">
        <v>4.9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HYPERLINK("https://klasma.github.io/Logging_0484/artfynd/A 51345-2024 artfynd.xlsx", "A 51345-2024")</f>
        <v/>
      </c>
      <c r="X80">
        <f>HYPERLINK("https://klasma.github.io/Logging_0484/kartor/A 51345-2024 karta.png", "A 51345-2024")</f>
        <v/>
      </c>
      <c r="Y80">
        <f>HYPERLINK("https://klasma.github.io/Logging_0484/kartor_geotiff/A 51345-2024 georefererad karta.tif", "A 51345-2024")</f>
        <v/>
      </c>
      <c r="AA80">
        <f>HYPERLINK("https://klasma.github.io/Logging_0484/klagomål/A 51345-2024 FSC-klagomål.docx", "A 51345-2024")</f>
        <v/>
      </c>
      <c r="AB80">
        <f>HYPERLINK("https://klasma.github.io/Logging_0484/klagomålsmail/A 51345-2024 FSC-klagomål mail.docx", "A 51345-2024")</f>
        <v/>
      </c>
      <c r="AC80">
        <f>HYPERLINK("https://klasma.github.io/Logging_0484/tillsyn/A 51345-2024 tillsynsbegäran.docx", "A 51345-2024")</f>
        <v/>
      </c>
      <c r="AD80">
        <f>HYPERLINK("https://klasma.github.io/Logging_0484/tillsynsmail/A 51345-2024 tillsynsbegäran mail.docx", "A 51345-2024")</f>
        <v/>
      </c>
    </row>
    <row r="81" ht="15" customHeight="1">
      <c r="A81" t="inlineStr">
        <is>
          <t>A 29647-2023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46225</v>
      </c>
      <c r="F81" t="inlineStr">
        <is>
          <t>SÖDERMANLANDS LÄN</t>
        </is>
      </c>
      <c r="G81" t="inlineStr">
        <is>
          <t>ESKILSTUNA</t>
        </is>
      </c>
      <c r="H81" t="inlineStr">
        <is>
          <t>Allmännings- och besparingsskogar</t>
        </is>
      </c>
      <c r="I81" t="n">
        <v>0.9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Rödvingetrast</t>
        </is>
      </c>
      <c r="W81">
        <f>HYPERLINK("https://klasma.github.io/Logging_0484/artfynd/A 29647-2023 artfynd.xlsx", "A 29647-2023")</f>
        <v/>
      </c>
      <c r="X81">
        <f>HYPERLINK("https://klasma.github.io/Logging_0484/kartor/A 29647-2023 karta.png", "A 29647-2023")</f>
        <v/>
      </c>
      <c r="Y81">
        <f>HYPERLINK("https://klasma.github.io/Logging_0484/kartor_geotiff/A 29647-2023 georefererad karta.tif", "A 29647-2023")</f>
        <v/>
      </c>
      <c r="AA81">
        <f>HYPERLINK("https://klasma.github.io/Logging_0484/klagomål/A 29647-2023 FSC-klagomål.docx", "A 29647-2023")</f>
        <v/>
      </c>
      <c r="AB81">
        <f>HYPERLINK("https://klasma.github.io/Logging_0484/klagomålsmail/A 29647-2023 FSC-klagomål mail.docx", "A 29647-2023")</f>
        <v/>
      </c>
      <c r="AC81">
        <f>HYPERLINK("https://klasma.github.io/Logging_0484/tillsyn/A 29647-2023 tillsynsbegäran.docx", "A 29647-2023")</f>
        <v/>
      </c>
      <c r="AD81">
        <f>HYPERLINK("https://klasma.github.io/Logging_0484/tillsynsmail/A 29647-2023 tillsynsbegäran mail.docx", "A 29647-2023")</f>
        <v/>
      </c>
      <c r="AE81">
        <f>HYPERLINK("https://klasma.github.io/Logging_0484/fåglar/A 29647-2023 prioriterade fågelarter.docx", "A 29647-2023")</f>
        <v/>
      </c>
    </row>
    <row r="82" ht="15" customHeight="1">
      <c r="A82" t="inlineStr">
        <is>
          <t>A 30975-2023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46225</v>
      </c>
      <c r="F82" t="inlineStr">
        <is>
          <t>SÖDERMANLANDS LÄN</t>
        </is>
      </c>
      <c r="G82" t="inlineStr">
        <is>
          <t>ESKILSTUNA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Bombmurkla</t>
        </is>
      </c>
      <c r="W82">
        <f>HYPERLINK("https://klasma.github.io/Logging_0484/artfynd/A 30975-2023 artfynd.xlsx", "A 30975-2023")</f>
        <v/>
      </c>
      <c r="X82">
        <f>HYPERLINK("https://klasma.github.io/Logging_0484/kartor/A 30975-2023 karta.png", "A 30975-2023")</f>
        <v/>
      </c>
      <c r="Y82">
        <f>HYPERLINK("https://klasma.github.io/Logging_0484/kartor_geotiff/A 30975-2023 georefererad karta.tif", "A 30975-2023")</f>
        <v/>
      </c>
      <c r="AA82">
        <f>HYPERLINK("https://klasma.github.io/Logging_0484/klagomål/A 30975-2023 FSC-klagomål.docx", "A 30975-2023")</f>
        <v/>
      </c>
      <c r="AB82">
        <f>HYPERLINK("https://klasma.github.io/Logging_0484/klagomålsmail/A 30975-2023 FSC-klagomål mail.docx", "A 30975-2023")</f>
        <v/>
      </c>
      <c r="AC82">
        <f>HYPERLINK("https://klasma.github.io/Logging_0484/tillsyn/A 30975-2023 tillsynsbegäran.docx", "A 30975-2023")</f>
        <v/>
      </c>
      <c r="AD82">
        <f>HYPERLINK("https://klasma.github.io/Logging_0484/tillsynsmail/A 30975-2023 tillsynsbegäran mail.docx", "A 30975-2023")</f>
        <v/>
      </c>
    </row>
    <row r="83" ht="15" customHeight="1">
      <c r="A83" t="inlineStr">
        <is>
          <t>A 50760-2023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46225</v>
      </c>
      <c r="F83" t="inlineStr">
        <is>
          <t>SÖDERMANLANDS LÄN</t>
        </is>
      </c>
      <c r="G83" t="inlineStr">
        <is>
          <t>ESKILSTUNA</t>
        </is>
      </c>
      <c r="I83" t="n">
        <v>4.1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Pärluggla</t>
        </is>
      </c>
      <c r="W83">
        <f>HYPERLINK("https://klasma.github.io/Logging_0484/artfynd/A 50760-2023 artfynd.xlsx", "A 50760-2023")</f>
        <v/>
      </c>
      <c r="X83">
        <f>HYPERLINK("https://klasma.github.io/Logging_0484/kartor/A 50760-2023 karta.png", "A 50760-2023")</f>
        <v/>
      </c>
      <c r="Y83">
        <f>HYPERLINK("https://klasma.github.io/Logging_0484/kartor_geotiff/A 50760-2023 georefererad karta.tif", "A 50760-2023")</f>
        <v/>
      </c>
      <c r="AA83">
        <f>HYPERLINK("https://klasma.github.io/Logging_0484/klagomål/A 50760-2023 FSC-klagomål.docx", "A 50760-2023")</f>
        <v/>
      </c>
      <c r="AB83">
        <f>HYPERLINK("https://klasma.github.io/Logging_0484/klagomålsmail/A 50760-2023 FSC-klagomål mail.docx", "A 50760-2023")</f>
        <v/>
      </c>
      <c r="AC83">
        <f>HYPERLINK("https://klasma.github.io/Logging_0484/tillsyn/A 50760-2023 tillsynsbegäran.docx", "A 50760-2023")</f>
        <v/>
      </c>
      <c r="AD83">
        <f>HYPERLINK("https://klasma.github.io/Logging_0484/tillsynsmail/A 50760-2023 tillsynsbegäran mail.docx", "A 50760-2023")</f>
        <v/>
      </c>
      <c r="AE83">
        <f>HYPERLINK("https://klasma.github.io/Logging_0484/fåglar/A 50760-2023 prioriterade fågelarter.docx", "A 50760-2023")</f>
        <v/>
      </c>
    </row>
    <row r="84" ht="15" customHeight="1">
      <c r="A84" t="inlineStr">
        <is>
          <t>A 55087-2022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46225</v>
      </c>
      <c r="F84" t="inlineStr">
        <is>
          <t>SÖDERMANLANDS LÄN</t>
        </is>
      </c>
      <c r="G84" t="inlineStr">
        <is>
          <t>ESKILSTUNA</t>
        </is>
      </c>
      <c r="I84" t="n">
        <v>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HYPERLINK("https://klasma.github.io/Logging_0484/artfynd/A 55087-2022 artfynd.xlsx", "A 55087-2022")</f>
        <v/>
      </c>
      <c r="X84">
        <f>HYPERLINK("https://klasma.github.io/Logging_0484/kartor/A 55087-2022 karta.png", "A 55087-2022")</f>
        <v/>
      </c>
      <c r="Y84">
        <f>HYPERLINK("https://klasma.github.io/Logging_0484/kartor_geotiff/A 55087-2022 georefererad karta.tif", "A 55087-2022")</f>
        <v/>
      </c>
      <c r="AA84">
        <f>HYPERLINK("https://klasma.github.io/Logging_0484/klagomål/A 55087-2022 FSC-klagomål.docx", "A 55087-2022")</f>
        <v/>
      </c>
      <c r="AB84">
        <f>HYPERLINK("https://klasma.github.io/Logging_0484/klagomålsmail/A 55087-2022 FSC-klagomål mail.docx", "A 55087-2022")</f>
        <v/>
      </c>
      <c r="AC84">
        <f>HYPERLINK("https://klasma.github.io/Logging_0484/tillsyn/A 55087-2022 tillsynsbegäran.docx", "A 55087-2022")</f>
        <v/>
      </c>
      <c r="AD84">
        <f>HYPERLINK("https://klasma.github.io/Logging_0484/tillsynsmail/A 55087-2022 tillsynsbegäran mail.docx", "A 55087-2022")</f>
        <v/>
      </c>
      <c r="AE84">
        <f>HYPERLINK("https://klasma.github.io/Logging_0484/fåglar/A 55087-2022 prioriterade fågelarter.docx", "A 55087-2022")</f>
        <v/>
      </c>
    </row>
    <row r="85" ht="15" customHeight="1">
      <c r="A85" t="inlineStr">
        <is>
          <t>A 71976-2021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46225</v>
      </c>
      <c r="F85" t="inlineStr">
        <is>
          <t>SÖDERMANLANDS LÄN</t>
        </is>
      </c>
      <c r="G85" t="inlineStr">
        <is>
          <t>ESKILSTUNA</t>
        </is>
      </c>
      <c r="I85" t="n">
        <v>19.6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Jungfrulin</t>
        </is>
      </c>
      <c r="W85">
        <f>HYPERLINK("https://klasma.github.io/Logging_0484/artfynd/A 71976-2021 artfynd.xlsx", "A 71976-2021")</f>
        <v/>
      </c>
      <c r="X85">
        <f>HYPERLINK("https://klasma.github.io/Logging_0484/kartor/A 71976-2021 karta.png", "A 71976-2021")</f>
        <v/>
      </c>
      <c r="Y85">
        <f>HYPERLINK("https://klasma.github.io/Logging_0484/kartor_geotiff/A 71976-2021 georefererad karta.tif", "A 71976-2021")</f>
        <v/>
      </c>
      <c r="AA85">
        <f>HYPERLINK("https://klasma.github.io/Logging_0484/klagomål/A 71976-2021 FSC-klagomål.docx", "A 71976-2021")</f>
        <v/>
      </c>
      <c r="AB85">
        <f>HYPERLINK("https://klasma.github.io/Logging_0484/klagomålsmail/A 71976-2021 FSC-klagomål mail.docx", "A 71976-2021")</f>
        <v/>
      </c>
      <c r="AC85">
        <f>HYPERLINK("https://klasma.github.io/Logging_0484/tillsyn/A 71976-2021 tillsynsbegäran.docx", "A 71976-2021")</f>
        <v/>
      </c>
      <c r="AD85">
        <f>HYPERLINK("https://klasma.github.io/Logging_0484/tillsynsmail/A 71976-2021 tillsynsbegäran mail.docx", "A 71976-2021")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46225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38361-2024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45545</v>
      </c>
      <c r="E87" s="1" t="n">
        <v>46225</v>
      </c>
      <c r="F87" t="inlineStr">
        <is>
          <t>SÖDERMANLANDS LÄN</t>
        </is>
      </c>
      <c r="G87" t="inlineStr">
        <is>
          <t>ESKILSTUNA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HYPERLINK("https://klasma.github.io/Logging_0484/artfynd/A 38361-2024 artfynd.xlsx", "A 38361-2024")</f>
        <v/>
      </c>
      <c r="X87">
        <f>HYPERLINK("https://klasma.github.io/Logging_0484/kartor/A 38361-2024 karta.png", "A 38361-2024")</f>
        <v/>
      </c>
      <c r="Y87">
        <f>HYPERLINK("https://klasma.github.io/Logging_0484/kartor_geotiff/A 38361-2024 georefererad karta.tif", "A 38361-2024")</f>
        <v/>
      </c>
      <c r="AA87">
        <f>HYPERLINK("https://klasma.github.io/Logging_0484/klagomål/A 38361-2024 FSC-klagomål.docx", "A 38361-2024")</f>
        <v/>
      </c>
      <c r="AB87">
        <f>HYPERLINK("https://klasma.github.io/Logging_0484/klagomålsmail/A 38361-2024 FSC-klagomål mail.docx", "A 38361-2024")</f>
        <v/>
      </c>
      <c r="AC87">
        <f>HYPERLINK("https://klasma.github.io/Logging_0484/tillsyn/A 38361-2024 tillsynsbegäran.docx", "A 38361-2024")</f>
        <v/>
      </c>
      <c r="AD87">
        <f>HYPERLINK("https://klasma.github.io/Logging_0484/tillsynsmail/A 38361-2024 tillsynsbegäran mail.docx", "A 38361-2024")</f>
        <v/>
      </c>
      <c r="AE87">
        <f>HYPERLINK("https://klasma.github.io/Logging_0484/fåglar/A 38361-2024 prioriterade fågelarter.docx", "A 38361-2024")</f>
        <v/>
      </c>
    </row>
    <row r="88" ht="15" customHeight="1">
      <c r="A88" t="inlineStr">
        <is>
          <t>A 42012-2021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46225</v>
      </c>
      <c r="F88" t="inlineStr">
        <is>
          <t>SÖDERMANLANDS LÄN</t>
        </is>
      </c>
      <c r="G88" t="inlineStr">
        <is>
          <t>ESKILSTUNA</t>
        </is>
      </c>
      <c r="I88" t="n">
        <v>7.9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 sköldmossa</t>
        </is>
      </c>
      <c r="W88">
        <f>HYPERLINK("https://klasma.github.io/Logging_0484/artfynd/A 42012-2021 artfynd.xlsx", "A 42012-2021")</f>
        <v/>
      </c>
      <c r="X88">
        <f>HYPERLINK("https://klasma.github.io/Logging_0484/kartor/A 42012-2021 karta.png", "A 42012-2021")</f>
        <v/>
      </c>
      <c r="Y88">
        <f>HYPERLINK("https://klasma.github.io/Logging_0484/kartor_geotiff/A 42012-2021 georefererad karta.tif", "A 42012-2021")</f>
        <v/>
      </c>
      <c r="AA88">
        <f>HYPERLINK("https://klasma.github.io/Logging_0484/klagomål/A 42012-2021 FSC-klagomål.docx", "A 42012-2021")</f>
        <v/>
      </c>
      <c r="AB88">
        <f>HYPERLINK("https://klasma.github.io/Logging_0484/klagomålsmail/A 42012-2021 FSC-klagomål mail.docx", "A 42012-2021")</f>
        <v/>
      </c>
      <c r="AC88">
        <f>HYPERLINK("https://klasma.github.io/Logging_0484/tillsyn/A 42012-2021 tillsynsbegäran.docx", "A 42012-2021")</f>
        <v/>
      </c>
      <c r="AD88">
        <f>HYPERLINK("https://klasma.github.io/Logging_0484/tillsynsmail/A 42012-2021 tillsynsbegäran mail.docx", "A 42012-2021")</f>
        <v/>
      </c>
    </row>
    <row r="89" ht="15" customHeight="1">
      <c r="A89" t="inlineStr">
        <is>
          <t>A 48676-2021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46225</v>
      </c>
      <c r="F89" t="inlineStr">
        <is>
          <t>SÖDERMANLANDS LÄN</t>
        </is>
      </c>
      <c r="G89" t="inlineStr">
        <is>
          <t>ESKILSTUNA</t>
        </is>
      </c>
      <c r="I89" t="n">
        <v>8.4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Bronshjon</t>
        </is>
      </c>
      <c r="W89">
        <f>HYPERLINK("https://klasma.github.io/Logging_0484/artfynd/A 48676-2021 artfynd.xlsx", "A 48676-2021")</f>
        <v/>
      </c>
      <c r="X89">
        <f>HYPERLINK("https://klasma.github.io/Logging_0484/kartor/A 48676-2021 karta.png", "A 48676-2021")</f>
        <v/>
      </c>
      <c r="Y89">
        <f>HYPERLINK("https://klasma.github.io/Logging_0484/kartor_geotiff/A 48676-2021 georefererad karta.tif", "A 48676-2021")</f>
        <v/>
      </c>
      <c r="AA89">
        <f>HYPERLINK("https://klasma.github.io/Logging_0484/klagomål/A 48676-2021 FSC-klagomål.docx", "A 48676-2021")</f>
        <v/>
      </c>
      <c r="AB89">
        <f>HYPERLINK("https://klasma.github.io/Logging_0484/klagomålsmail/A 48676-2021 FSC-klagomål mail.docx", "A 48676-2021")</f>
        <v/>
      </c>
      <c r="AC89">
        <f>HYPERLINK("https://klasma.github.io/Logging_0484/tillsyn/A 48676-2021 tillsynsbegäran.docx", "A 48676-2021")</f>
        <v/>
      </c>
      <c r="AD89">
        <f>HYPERLINK("https://klasma.github.io/Logging_0484/tillsynsmail/A 48676-2021 tillsynsbegäran mail.docx", "A 48676-2021")</f>
        <v/>
      </c>
    </row>
    <row r="90" ht="15" customHeight="1">
      <c r="A90" t="inlineStr">
        <is>
          <t>A 23637-2023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46225</v>
      </c>
      <c r="F90" t="inlineStr">
        <is>
          <t>SÖDERMANLANDS LÄN</t>
        </is>
      </c>
      <c r="G90" t="inlineStr">
        <is>
          <t>ESKILSTUNA</t>
        </is>
      </c>
      <c r="I90" t="n">
        <v>15.8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Violett fingersvamp</t>
        </is>
      </c>
      <c r="W90">
        <f>HYPERLINK("https://klasma.github.io/Logging_0484/artfynd/A 23637-2023 artfynd.xlsx", "A 23637-2023")</f>
        <v/>
      </c>
      <c r="X90">
        <f>HYPERLINK("https://klasma.github.io/Logging_0484/kartor/A 23637-2023 karta.png", "A 23637-2023")</f>
        <v/>
      </c>
      <c r="Y90">
        <f>HYPERLINK("https://klasma.github.io/Logging_0484/kartor_geotiff/A 23637-2023 georefererad karta.tif", "A 23637-2023")</f>
        <v/>
      </c>
      <c r="AA90">
        <f>HYPERLINK("https://klasma.github.io/Logging_0484/klagomål/A 23637-2023 FSC-klagomål.docx", "A 23637-2023")</f>
        <v/>
      </c>
      <c r="AB90">
        <f>HYPERLINK("https://klasma.github.io/Logging_0484/klagomålsmail/A 23637-2023 FSC-klagomål mail.docx", "A 23637-2023")</f>
        <v/>
      </c>
      <c r="AC90">
        <f>HYPERLINK("https://klasma.github.io/Logging_0484/tillsyn/A 23637-2023 tillsynsbegäran.docx", "A 23637-2023")</f>
        <v/>
      </c>
      <c r="AD90">
        <f>HYPERLINK("https://klasma.github.io/Logging_0484/tillsynsmail/A 23637-2023 tillsynsbegäran mail.docx", "A 23637-2023")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46225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HYPERLINK("https://klasma.github.io/Logging_0484/artfynd/A 14327-2023 artfynd.xlsx", "A 14327-2023")</f>
        <v/>
      </c>
      <c r="X91">
        <f>HYPERLINK("https://klasma.github.io/Logging_0484/kartor/A 14327-2023 karta.png", "A 14327-2023")</f>
        <v/>
      </c>
      <c r="Y91">
        <f>HYPERLINK("https://klasma.github.io/Logging_0484/kartor_geotiff/A 14327-2023 georefererad karta.tif", "A 14327-2023")</f>
        <v/>
      </c>
      <c r="AA91">
        <f>HYPERLINK("https://klasma.github.io/Logging_0484/klagomål/A 14327-2023 FSC-klagomål.docx", "A 14327-2023")</f>
        <v/>
      </c>
      <c r="AB91">
        <f>HYPERLINK("https://klasma.github.io/Logging_0484/klagomålsmail/A 14327-2023 FSC-klagomål mail.docx", "A 14327-2023")</f>
        <v/>
      </c>
      <c r="AC91">
        <f>HYPERLINK("https://klasma.github.io/Logging_0484/tillsyn/A 14327-2023 tillsynsbegäran.docx", "A 14327-2023")</f>
        <v/>
      </c>
      <c r="AD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46225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46225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46225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46225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46225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46225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46225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46225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46225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46225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46225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46225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46225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46225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46225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46225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46225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46225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46225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46225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46225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46225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46225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46225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46225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46225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46225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46225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46225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46225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46225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46225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46225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46225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46225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46225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46225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70082-2021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46225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46225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71980-2021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46225</v>
      </c>
      <c r="F131" t="inlineStr">
        <is>
          <t>SÖDERMANLANDS LÄN</t>
        </is>
      </c>
      <c r="G131" t="inlineStr">
        <is>
          <t>ESKILSTUNA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46225</v>
      </c>
      <c r="F132" t="inlineStr">
        <is>
          <t>SÖDERMANLANDS LÄN</t>
        </is>
      </c>
      <c r="G132" t="inlineStr">
        <is>
          <t>ESKILSTUNA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46225</v>
      </c>
      <c r="F133" t="inlineStr">
        <is>
          <t>SÖDERMANLANDS LÄN</t>
        </is>
      </c>
      <c r="G133" t="inlineStr">
        <is>
          <t>ESKILSTUNA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46225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46225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46225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46225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46225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46225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46225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46225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46225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46225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46225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46225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46225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46225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46225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60721-2021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44490</v>
      </c>
      <c r="E149" s="1" t="n">
        <v>46225</v>
      </c>
      <c r="F149" t="inlineStr">
        <is>
          <t>SÖDERMANLANDS LÄN</t>
        </is>
      </c>
      <c r="G149" t="inlineStr">
        <is>
          <t>ESKILSTUNA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46225</v>
      </c>
      <c r="F150" t="inlineStr">
        <is>
          <t>SÖDERMANLANDS LÄN</t>
        </is>
      </c>
      <c r="G150" t="inlineStr">
        <is>
          <t>ESKILSTUNA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46225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46225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46225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46225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46225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46225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46225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46225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46225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46225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46225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46225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46225</v>
      </c>
      <c r="F163" t="inlineStr">
        <is>
          <t>SÖDERMANLANDS LÄN</t>
        </is>
      </c>
      <c r="G163" t="inlineStr">
        <is>
          <t>ESKILSTUNA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46225</v>
      </c>
      <c r="F164" t="inlineStr">
        <is>
          <t>SÖDERMANLANDS LÄN</t>
        </is>
      </c>
      <c r="G164" t="inlineStr">
        <is>
          <t>ESKILSTUNA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46225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70191-2021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44533</v>
      </c>
      <c r="E166" s="1" t="n">
        <v>46225</v>
      </c>
      <c r="F166" t="inlineStr">
        <is>
          <t>SÖDERMANLANDS LÄN</t>
        </is>
      </c>
      <c r="G166" t="inlineStr">
        <is>
          <t>ESKILSTUNA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46225</v>
      </c>
      <c r="F167" t="inlineStr">
        <is>
          <t>SÖDERMANLANDS LÄN</t>
        </is>
      </c>
      <c r="G167" t="inlineStr">
        <is>
          <t>ESKILSTUNA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46225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46225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46225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46225</v>
      </c>
      <c r="F171" t="inlineStr">
        <is>
          <t>SÖDERMANLANDS LÄN</t>
        </is>
      </c>
      <c r="G171" t="inlineStr">
        <is>
          <t>ESKILSTUNA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45429</v>
      </c>
      <c r="E172" s="1" t="n">
        <v>46225</v>
      </c>
      <c r="F172" t="inlineStr">
        <is>
          <t>SÖDERMANLANDS LÄN</t>
        </is>
      </c>
      <c r="G172" t="inlineStr">
        <is>
          <t>ESKILSTUNA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46225</v>
      </c>
      <c r="F173" t="inlineStr">
        <is>
          <t>SÖDERMANLANDS LÄN</t>
        </is>
      </c>
      <c r="G173" t="inlineStr">
        <is>
          <t>ESKILSTUNA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46225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45334</v>
      </c>
      <c r="E175" s="1" t="n">
        <v>46225</v>
      </c>
      <c r="F175" t="inlineStr">
        <is>
          <t>SÖDERMANLANDS LÄN</t>
        </is>
      </c>
      <c r="G175" t="inlineStr">
        <is>
          <t>ESKILSTUNA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57304-2023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45245</v>
      </c>
      <c r="E176" s="1" t="n">
        <v>46225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46225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Allmännings- och besparingsskogar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44799</v>
      </c>
      <c r="E178" s="1" t="n">
        <v>46225</v>
      </c>
      <c r="F178" t="inlineStr">
        <is>
          <t>SÖDERMANLANDS LÄN</t>
        </is>
      </c>
      <c r="G178" t="inlineStr">
        <is>
          <t>ESKILSTUNA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46225</v>
      </c>
      <c r="F179" t="inlineStr">
        <is>
          <t>SÖDERMANLANDS LÄN</t>
        </is>
      </c>
      <c r="G179" t="inlineStr">
        <is>
          <t>ESKILSTUNA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45041</v>
      </c>
      <c r="E180" s="1" t="n">
        <v>46225</v>
      </c>
      <c r="F180" t="inlineStr">
        <is>
          <t>SÖDERMANLANDS LÄN</t>
        </is>
      </c>
      <c r="G180" t="inlineStr">
        <is>
          <t>ESKILSTUNA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45464</v>
      </c>
      <c r="E181" s="1" t="n">
        <v>46225</v>
      </c>
      <c r="F181" t="inlineStr">
        <is>
          <t>SÖDERMANLANDS LÄN</t>
        </is>
      </c>
      <c r="G181" t="inlineStr">
        <is>
          <t>ESKILSTUNA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46225</v>
      </c>
      <c r="F182" t="inlineStr">
        <is>
          <t>SÖDERMANLANDS LÄN</t>
        </is>
      </c>
      <c r="G182" t="inlineStr">
        <is>
          <t>ESKILSTUNA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45464</v>
      </c>
      <c r="E183" s="1" t="n">
        <v>46225</v>
      </c>
      <c r="F183" t="inlineStr">
        <is>
          <t>SÖDERMANLANDS LÄN</t>
        </is>
      </c>
      <c r="G183" t="inlineStr">
        <is>
          <t>ESKILSTUNA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49469-2022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46225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44979</v>
      </c>
      <c r="E185" s="1" t="n">
        <v>46225</v>
      </c>
      <c r="F185" t="inlineStr">
        <is>
          <t>SÖDERMANLANDS LÄN</t>
        </is>
      </c>
      <c r="G185" t="inlineStr">
        <is>
          <t>ESKILSTUNA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46225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Allmännings- och besparingsskogar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46225</v>
      </c>
      <c r="F187" t="inlineStr">
        <is>
          <t>SÖDERMANLANDS LÄN</t>
        </is>
      </c>
      <c r="G187" t="inlineStr">
        <is>
          <t>ESKILSTUNA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46225</v>
      </c>
      <c r="F188" t="inlineStr">
        <is>
          <t>SÖDERMANLANDS LÄN</t>
        </is>
      </c>
      <c r="G188" t="inlineStr">
        <is>
          <t>ESKILSTUNA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46225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46225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Allmännings- och besparingsskogar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46225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46225</v>
      </c>
      <c r="F192" t="inlineStr">
        <is>
          <t>SÖDERMANLANDS LÄN</t>
        </is>
      </c>
      <c r="G192" t="inlineStr">
        <is>
          <t>ESKILSTUNA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46225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Kommuner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44626</v>
      </c>
      <c r="E194" s="1" t="n">
        <v>46225</v>
      </c>
      <c r="F194" t="inlineStr">
        <is>
          <t>SÖDERMANLANDS LÄN</t>
        </is>
      </c>
      <c r="G194" t="inlineStr">
        <is>
          <t>ESKILSTUNA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61367-2021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44499</v>
      </c>
      <c r="E195" s="1" t="n">
        <v>46225</v>
      </c>
      <c r="F195" t="inlineStr">
        <is>
          <t>SÖDERMANLANDS LÄN</t>
        </is>
      </c>
      <c r="G195" t="inlineStr">
        <is>
          <t>ESKILSTUNA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65349-2021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46225</v>
      </c>
      <c r="F196" t="inlineStr">
        <is>
          <t>SÖDERMANLANDS LÄN</t>
        </is>
      </c>
      <c r="G196" t="inlineStr">
        <is>
          <t>ESKILSTUNA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46043</v>
      </c>
      <c r="E197" s="1" t="n">
        <v>46225</v>
      </c>
      <c r="F197" t="inlineStr">
        <is>
          <t>SÖDERMANLANDS LÄN</t>
        </is>
      </c>
      <c r="G197" t="inlineStr">
        <is>
          <t>ESKILSTUNA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46043</v>
      </c>
      <c r="E198" s="1" t="n">
        <v>46225</v>
      </c>
      <c r="F198" t="inlineStr">
        <is>
          <t>SÖDERMANLANDS LÄN</t>
        </is>
      </c>
      <c r="G198" t="inlineStr">
        <is>
          <t>ESKILSTUNA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44886</v>
      </c>
      <c r="E199" s="1" t="n">
        <v>46225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46225</v>
      </c>
      <c r="F200" t="inlineStr">
        <is>
          <t>SÖDERMANLANDS LÄN</t>
        </is>
      </c>
      <c r="G200" t="inlineStr">
        <is>
          <t>ESKILSTUNA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46225</v>
      </c>
      <c r="F201" t="inlineStr">
        <is>
          <t>SÖDERMANLANDS LÄN</t>
        </is>
      </c>
      <c r="G201" t="inlineStr">
        <is>
          <t>ESKILSTUNA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46225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46225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30096-2025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45826</v>
      </c>
      <c r="E204" s="1" t="n">
        <v>46225</v>
      </c>
      <c r="F204" t="inlineStr">
        <is>
          <t>SÖDERMANLANDS LÄN</t>
        </is>
      </c>
      <c r="G204" t="inlineStr">
        <is>
          <t>ESKILSTUNA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51801-2025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45950</v>
      </c>
      <c r="E205" s="1" t="n">
        <v>46225</v>
      </c>
      <c r="F205" t="inlineStr">
        <is>
          <t>SÖDERMANLANDS LÄN</t>
        </is>
      </c>
      <c r="G205" t="inlineStr">
        <is>
          <t>ESKILSTUNA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44571</v>
      </c>
      <c r="E206" s="1" t="n">
        <v>46225</v>
      </c>
      <c r="F206" t="inlineStr">
        <is>
          <t>SÖDERMANLANDS LÄN</t>
        </is>
      </c>
      <c r="G206" t="inlineStr">
        <is>
          <t>ESKILSTUNA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46225</v>
      </c>
      <c r="F207" t="inlineStr">
        <is>
          <t>SÖDERMANLANDS LÄN</t>
        </is>
      </c>
      <c r="G207" t="inlineStr">
        <is>
          <t>ESKILSTUNA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46225</v>
      </c>
      <c r="F208" t="inlineStr">
        <is>
          <t>SÖDERMANLANDS LÄN</t>
        </is>
      </c>
      <c r="G208" t="inlineStr">
        <is>
          <t>ESKILSTUNA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44837</v>
      </c>
      <c r="E209" s="1" t="n">
        <v>46225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46225</v>
      </c>
      <c r="F210" t="inlineStr">
        <is>
          <t>SÖDERMANLANDS LÄN</t>
        </is>
      </c>
      <c r="G210" t="inlineStr">
        <is>
          <t>ESKILSTUNA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46225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Kyrkan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46225</v>
      </c>
      <c r="F212" t="inlineStr">
        <is>
          <t>SÖDERMANLANDS LÄN</t>
        </is>
      </c>
      <c r="G212" t="inlineStr">
        <is>
          <t>ESKILSTUNA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46225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46225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46225</v>
      </c>
      <c r="F215" t="inlineStr">
        <is>
          <t>SÖDERMANLANDS LÄN</t>
        </is>
      </c>
      <c r="G215" t="inlineStr">
        <is>
          <t>ESKILSTUNA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46225</v>
      </c>
      <c r="F216" t="inlineStr">
        <is>
          <t>SÖDERMANLANDS LÄN</t>
        </is>
      </c>
      <c r="G216" t="inlineStr">
        <is>
          <t>ESKILSTUNA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46225</v>
      </c>
      <c r="F217" t="inlineStr">
        <is>
          <t>SÖDERMANLANDS LÄN</t>
        </is>
      </c>
      <c r="G217" t="inlineStr">
        <is>
          <t>ESKILSTUNA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45694</v>
      </c>
      <c r="E218" s="1" t="n">
        <v>46225</v>
      </c>
      <c r="F218" t="inlineStr">
        <is>
          <t>SÖDERMANLANDS LÄN</t>
        </is>
      </c>
      <c r="G218" t="inlineStr">
        <is>
          <t>ESKILSTUNA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46225</v>
      </c>
      <c r="F219" t="inlineStr">
        <is>
          <t>SÖDERMANLANDS LÄN</t>
        </is>
      </c>
      <c r="G219" t="inlineStr">
        <is>
          <t>ESKILSTUNA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46225</v>
      </c>
      <c r="F220" t="inlineStr">
        <is>
          <t>SÖDERMANLANDS LÄN</t>
        </is>
      </c>
      <c r="G220" t="inlineStr">
        <is>
          <t>ESKILSTUNA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46225</v>
      </c>
      <c r="F221" t="inlineStr">
        <is>
          <t>SÖDERMANLANDS LÄN</t>
        </is>
      </c>
      <c r="G221" t="inlineStr">
        <is>
          <t>ESKILSTUNA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46225</v>
      </c>
      <c r="F222" t="inlineStr">
        <is>
          <t>SÖDERMANLANDS LÄN</t>
        </is>
      </c>
      <c r="G222" t="inlineStr">
        <is>
          <t>ESKILSTUNA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46225</v>
      </c>
      <c r="F223" t="inlineStr">
        <is>
          <t>SÖDERMANLANDS LÄN</t>
        </is>
      </c>
      <c r="G223" t="inlineStr">
        <is>
          <t>ESKILSTUNA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45604</v>
      </c>
      <c r="E224" s="1" t="n">
        <v>46225</v>
      </c>
      <c r="F224" t="inlineStr">
        <is>
          <t>SÖDERMANLANDS LÄN</t>
        </is>
      </c>
      <c r="G224" t="inlineStr">
        <is>
          <t>ESKILSTUNA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46225</v>
      </c>
      <c r="F225" t="inlineStr">
        <is>
          <t>SÖDERMANLANDS LÄN</t>
        </is>
      </c>
      <c r="G225" t="inlineStr">
        <is>
          <t>ESKILSTUNA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46225</v>
      </c>
      <c r="F226" t="inlineStr">
        <is>
          <t>SÖDERMANLANDS LÄN</t>
        </is>
      </c>
      <c r="G226" t="inlineStr">
        <is>
          <t>ESKILSTUNA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45460</v>
      </c>
      <c r="E227" s="1" t="n">
        <v>46225</v>
      </c>
      <c r="F227" t="inlineStr">
        <is>
          <t>SÖDERMANLANDS LÄN</t>
        </is>
      </c>
      <c r="G227" t="inlineStr">
        <is>
          <t>ESKILSTUNA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46225</v>
      </c>
      <c r="F228" t="inlineStr">
        <is>
          <t>SÖDERMANLANDS LÄN</t>
        </is>
      </c>
      <c r="G228" t="inlineStr">
        <is>
          <t>ESKILSTUNA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61988-2022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46225</v>
      </c>
      <c r="F229" t="inlineStr">
        <is>
          <t>SÖDERMANLANDS LÄN</t>
        </is>
      </c>
      <c r="G229" t="inlineStr">
        <is>
          <t>ESKILSTUNA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44588</v>
      </c>
      <c r="E230" s="1" t="n">
        <v>46225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46225</v>
      </c>
      <c r="F231" t="inlineStr">
        <is>
          <t>SÖDERMANLANDS LÄN</t>
        </is>
      </c>
      <c r="G231" t="inlineStr">
        <is>
          <t>ESKILSTUNA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46225</v>
      </c>
      <c r="F232" t="inlineStr">
        <is>
          <t>SÖDERMANLANDS LÄN</t>
        </is>
      </c>
      <c r="G232" t="inlineStr">
        <is>
          <t>ESKILSTUNA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59276-2021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44490</v>
      </c>
      <c r="E233" s="1" t="n">
        <v>46225</v>
      </c>
      <c r="F233" t="inlineStr">
        <is>
          <t>SÖDERMANLANDS LÄN</t>
        </is>
      </c>
      <c r="G233" t="inlineStr">
        <is>
          <t>ESKILSTUNA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44889</v>
      </c>
      <c r="E234" s="1" t="n">
        <v>46225</v>
      </c>
      <c r="F234" t="inlineStr">
        <is>
          <t>SÖDERMANLANDS LÄN</t>
        </is>
      </c>
      <c r="G234" t="inlineStr">
        <is>
          <t>ESKILSTUNA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16131-2026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46108</v>
      </c>
      <c r="E235" s="1" t="n">
        <v>46225</v>
      </c>
      <c r="F235" t="inlineStr">
        <is>
          <t>SÖDERMANLANDS LÄN</t>
        </is>
      </c>
      <c r="G235" t="inlineStr">
        <is>
          <t>ESKILSTUNA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46225</v>
      </c>
      <c r="F236" t="inlineStr">
        <is>
          <t>SÖDERMANLANDS LÄN</t>
        </is>
      </c>
      <c r="G236" t="inlineStr">
        <is>
          <t>ESKILSTUNA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46225</v>
      </c>
      <c r="F237" t="inlineStr">
        <is>
          <t>SÖDERMANLANDS LÄN</t>
        </is>
      </c>
      <c r="G237" t="inlineStr">
        <is>
          <t>ESKILSTUNA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45905</v>
      </c>
      <c r="E238" s="1" t="n">
        <v>46225</v>
      </c>
      <c r="F238" t="inlineStr">
        <is>
          <t>SÖDERMANLANDS LÄN</t>
        </is>
      </c>
      <c r="G238" t="inlineStr">
        <is>
          <t>ESKILSTUNA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46225</v>
      </c>
      <c r="F239" t="inlineStr">
        <is>
          <t>SÖDERMANLANDS LÄN</t>
        </is>
      </c>
      <c r="G239" t="inlineStr">
        <is>
          <t>ESKILSTUNA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46225</v>
      </c>
      <c r="F240" t="inlineStr">
        <is>
          <t>SÖDERMANLANDS LÄN</t>
        </is>
      </c>
      <c r="G240" t="inlineStr">
        <is>
          <t>ESKILSTUNA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38075-2024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46225</v>
      </c>
      <c r="F241" t="inlineStr">
        <is>
          <t>SÖDERMANLANDS LÄN</t>
        </is>
      </c>
      <c r="G241" t="inlineStr">
        <is>
          <t>ESKILSTUNA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18105-2026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46125</v>
      </c>
      <c r="E242" s="1" t="n">
        <v>46225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44930</v>
      </c>
      <c r="E243" s="1" t="n">
        <v>46225</v>
      </c>
      <c r="F243" t="inlineStr">
        <is>
          <t>SÖDERMANLANDS LÄN</t>
        </is>
      </c>
      <c r="G243" t="inlineStr">
        <is>
          <t>ESKILSTUNA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13153-2026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46092</v>
      </c>
      <c r="E244" s="1" t="n">
        <v>46225</v>
      </c>
      <c r="F244" t="inlineStr">
        <is>
          <t>SÖDERMANLANDS LÄN</t>
        </is>
      </c>
      <c r="G244" t="inlineStr">
        <is>
          <t>ESKILSTUNA</t>
        </is>
      </c>
      <c r="I244" t="n">
        <v>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56389-2025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46225</v>
      </c>
      <c r="F245" t="inlineStr">
        <is>
          <t>SÖDERMANLANDS LÄN</t>
        </is>
      </c>
      <c r="G245" t="inlineStr">
        <is>
          <t>ESKILSTUNA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46225</v>
      </c>
      <c r="F246" t="inlineStr">
        <is>
          <t>SÖDERMANLANDS LÄN</t>
        </is>
      </c>
      <c r="G246" t="inlineStr">
        <is>
          <t>ESKILSTUNA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46225</v>
      </c>
      <c r="F247" t="inlineStr">
        <is>
          <t>SÖDERMANLANDS LÄN</t>
        </is>
      </c>
      <c r="G247" t="inlineStr">
        <is>
          <t>ESKILSTUNA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46225</v>
      </c>
      <c r="F248" t="inlineStr">
        <is>
          <t>SÖDERMANLANDS LÄN</t>
        </is>
      </c>
      <c r="G248" t="inlineStr">
        <is>
          <t>ESKILSTUNA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44616</v>
      </c>
      <c r="E249" s="1" t="n">
        <v>46225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45833</v>
      </c>
      <c r="E250" s="1" t="n">
        <v>46225</v>
      </c>
      <c r="F250" t="inlineStr">
        <is>
          <t>SÖDERMANLANDS LÄN</t>
        </is>
      </c>
      <c r="G250" t="inlineStr">
        <is>
          <t>ESKILSTUNA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46225</v>
      </c>
      <c r="F251" t="inlineStr">
        <is>
          <t>SÖDERMANLANDS LÄN</t>
        </is>
      </c>
      <c r="G251" t="inlineStr">
        <is>
          <t>ESKILSTUNA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46225</v>
      </c>
      <c r="F252" t="inlineStr">
        <is>
          <t>SÖDERMANLANDS LÄN</t>
        </is>
      </c>
      <c r="G252" t="inlineStr">
        <is>
          <t>ESKILSTUNA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46225</v>
      </c>
      <c r="F253" t="inlineStr">
        <is>
          <t>SÖDERMANLANDS LÄN</t>
        </is>
      </c>
      <c r="G253" t="inlineStr">
        <is>
          <t>ESKILSTUNA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44889</v>
      </c>
      <c r="E254" s="1" t="n">
        <v>46225</v>
      </c>
      <c r="F254" t="inlineStr">
        <is>
          <t>SÖDERMANLANDS LÄN</t>
        </is>
      </c>
      <c r="G254" t="inlineStr">
        <is>
          <t>ESKILSTUNA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36565-2022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44804</v>
      </c>
      <c r="E255" s="1" t="n">
        <v>46225</v>
      </c>
      <c r="F255" t="inlineStr">
        <is>
          <t>SÖDERMANLANDS LÄN</t>
        </is>
      </c>
      <c r="G255" t="inlineStr">
        <is>
          <t>ESKILSTUNA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46225</v>
      </c>
      <c r="F256" t="inlineStr">
        <is>
          <t>SÖDERMANLANDS LÄN</t>
        </is>
      </c>
      <c r="G256" t="inlineStr">
        <is>
          <t>ESKILSTUNA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60754-2025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46225</v>
      </c>
      <c r="F257" t="inlineStr">
        <is>
          <t>SÖDERMANLANDS LÄN</t>
        </is>
      </c>
      <c r="G257" t="inlineStr">
        <is>
          <t>ESKILSTUNA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46225</v>
      </c>
      <c r="F258" t="inlineStr">
        <is>
          <t>SÖDERMANLANDS LÄN</t>
        </is>
      </c>
      <c r="G258" t="inlineStr">
        <is>
          <t>ESKILSTUNA</t>
        </is>
      </c>
      <c r="I258" t="n">
        <v>10.8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46225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44617</v>
      </c>
      <c r="E260" s="1" t="n">
        <v>46225</v>
      </c>
      <c r="F260" t="inlineStr">
        <is>
          <t>SÖDERMANLANDS LÄN</t>
        </is>
      </c>
      <c r="G260" t="inlineStr">
        <is>
          <t>ESKILSTUNA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12547-2022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44638</v>
      </c>
      <c r="E261" s="1" t="n">
        <v>46225</v>
      </c>
      <c r="F261" t="inlineStr">
        <is>
          <t>SÖDERMANLANDS LÄN</t>
        </is>
      </c>
      <c r="G261" t="inlineStr">
        <is>
          <t>ESKILSTUNA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50484-2025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45945</v>
      </c>
      <c r="E262" s="1" t="n">
        <v>46225</v>
      </c>
      <c r="F262" t="inlineStr">
        <is>
          <t>SÖDERMANLANDS LÄN</t>
        </is>
      </c>
      <c r="G262" t="inlineStr">
        <is>
          <t>ESKILSTUNA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45036</v>
      </c>
      <c r="E263" s="1" t="n">
        <v>46225</v>
      </c>
      <c r="F263" t="inlineStr">
        <is>
          <t>SÖDERMANLANDS LÄN</t>
        </is>
      </c>
      <c r="G263" t="inlineStr">
        <is>
          <t>ESKILSTUNA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20529-2026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46140</v>
      </c>
      <c r="E264" s="1" t="n">
        <v>46225</v>
      </c>
      <c r="F264" t="inlineStr">
        <is>
          <t>SÖDERMANLANDS LÄN</t>
        </is>
      </c>
      <c r="G264" t="inlineStr">
        <is>
          <t>ESKILSTUNA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20823-2022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44701</v>
      </c>
      <c r="E265" s="1" t="n">
        <v>46225</v>
      </c>
      <c r="F265" t="inlineStr">
        <is>
          <t>SÖDERMANLANDS LÄN</t>
        </is>
      </c>
      <c r="G265" t="inlineStr">
        <is>
          <t>ESKILSTUNA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46225</v>
      </c>
      <c r="F266" t="inlineStr">
        <is>
          <t>SÖDERMANLANDS LÄN</t>
        </is>
      </c>
      <c r="G266" t="inlineStr">
        <is>
          <t>ESKILSTUNA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46225</v>
      </c>
      <c r="F267" t="inlineStr">
        <is>
          <t>SÖDERMANLANDS LÄN</t>
        </is>
      </c>
      <c r="G267" t="inlineStr">
        <is>
          <t>ESKILSTUNA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45363</v>
      </c>
      <c r="E268" s="1" t="n">
        <v>46225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Allmännings- och besparingsskogar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44928</v>
      </c>
      <c r="E269" s="1" t="n">
        <v>46225</v>
      </c>
      <c r="F269" t="inlineStr">
        <is>
          <t>SÖDERMANLANDS LÄN</t>
        </is>
      </c>
      <c r="G269" t="inlineStr">
        <is>
          <t>ESKILSTUNA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61829-2023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45266</v>
      </c>
      <c r="E270" s="1" t="n">
        <v>46225</v>
      </c>
      <c r="F270" t="inlineStr">
        <is>
          <t>SÖDERMANLANDS LÄN</t>
        </is>
      </c>
      <c r="G270" t="inlineStr">
        <is>
          <t>ESKILSTUNA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26535-2022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44739</v>
      </c>
      <c r="E271" s="1" t="n">
        <v>46225</v>
      </c>
      <c r="F271" t="inlineStr">
        <is>
          <t>SÖDERMANLANDS LÄN</t>
        </is>
      </c>
      <c r="G271" t="inlineStr">
        <is>
          <t>ESKILSTUNA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46225</v>
      </c>
      <c r="F272" t="inlineStr">
        <is>
          <t>SÖDERMANLANDS LÄN</t>
        </is>
      </c>
      <c r="G272" t="inlineStr">
        <is>
          <t>ESKILSTUNA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46225</v>
      </c>
      <c r="F273" t="inlineStr">
        <is>
          <t>SÖDERMANLANDS LÄN</t>
        </is>
      </c>
      <c r="G273" t="inlineStr">
        <is>
          <t>ESKILSTUNA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20180-2022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44698</v>
      </c>
      <c r="E274" s="1" t="n">
        <v>46225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Kyrkan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12300-2023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44998</v>
      </c>
      <c r="E275" s="1" t="n">
        <v>46225</v>
      </c>
      <c r="F275" t="inlineStr">
        <is>
          <t>SÖDERMANLANDS LÄN</t>
        </is>
      </c>
      <c r="G275" t="inlineStr">
        <is>
          <t>ESKILSTUNA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44946</v>
      </c>
      <c r="E276" s="1" t="n">
        <v>46225</v>
      </c>
      <c r="F276" t="inlineStr">
        <is>
          <t>SÖDERMANLANDS LÄN</t>
        </is>
      </c>
      <c r="G276" t="inlineStr">
        <is>
          <t>ESKILSTUNA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44946</v>
      </c>
      <c r="E277" s="1" t="n">
        <v>46225</v>
      </c>
      <c r="F277" t="inlineStr">
        <is>
          <t>SÖDERMANLANDS LÄN</t>
        </is>
      </c>
      <c r="G277" t="inlineStr">
        <is>
          <t>ESKILSTUNA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46225</v>
      </c>
      <c r="F278" t="inlineStr">
        <is>
          <t>SÖDERMANLANDS LÄN</t>
        </is>
      </c>
      <c r="G278" t="inlineStr">
        <is>
          <t>ESKILSTUNA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28011-2022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46225</v>
      </c>
      <c r="F279" t="inlineStr">
        <is>
          <t>SÖDERMANLANDS LÄN</t>
        </is>
      </c>
      <c r="G279" t="inlineStr">
        <is>
          <t>ESKILSTUNA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46225</v>
      </c>
      <c r="F280" t="inlineStr">
        <is>
          <t>SÖDERMANLANDS LÄN</t>
        </is>
      </c>
      <c r="G280" t="inlineStr">
        <is>
          <t>ESKILSTUNA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45006</v>
      </c>
      <c r="E281" s="1" t="n">
        <v>46225</v>
      </c>
      <c r="F281" t="inlineStr">
        <is>
          <t>SÖDERMANLANDS LÄN</t>
        </is>
      </c>
      <c r="G281" t="inlineStr">
        <is>
          <t>ESKILSTUNA</t>
        </is>
      </c>
      <c r="I281" t="n">
        <v>16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45307</v>
      </c>
      <c r="E282" s="1" t="n">
        <v>46225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Kyrkan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46225</v>
      </c>
      <c r="F283" t="inlineStr">
        <is>
          <t>SÖDERMANLANDS LÄN</t>
        </is>
      </c>
      <c r="G283" t="inlineStr">
        <is>
          <t>ESKILSTUNA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46225</v>
      </c>
      <c r="F284" t="inlineStr">
        <is>
          <t>SÖDERMANLANDS LÄN</t>
        </is>
      </c>
      <c r="G284" t="inlineStr">
        <is>
          <t>ESKILSTUNA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27779-2026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46191</v>
      </c>
      <c r="E285" s="1" t="n">
        <v>46225</v>
      </c>
      <c r="F285" t="inlineStr">
        <is>
          <t>SÖDERMANLANDS LÄN</t>
        </is>
      </c>
      <c r="G285" t="inlineStr">
        <is>
          <t>ESKILSTUNA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44946</v>
      </c>
      <c r="E286" s="1" t="n">
        <v>46225</v>
      </c>
      <c r="F286" t="inlineStr">
        <is>
          <t>SÖDERMANLANDS LÄN</t>
        </is>
      </c>
      <c r="G286" t="inlineStr">
        <is>
          <t>ESKILSTUNA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46225</v>
      </c>
      <c r="F287" t="inlineStr">
        <is>
          <t>SÖDERMANLANDS LÄN</t>
        </is>
      </c>
      <c r="G287" t="inlineStr">
        <is>
          <t>ESKILSTUNA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44983</v>
      </c>
      <c r="E288" s="1" t="n">
        <v>46225</v>
      </c>
      <c r="F288" t="inlineStr">
        <is>
          <t>SÖDERMANLANDS LÄN</t>
        </is>
      </c>
      <c r="G288" t="inlineStr">
        <is>
          <t>ESKILSTUNA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61866-2022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46225</v>
      </c>
      <c r="F289" t="inlineStr">
        <is>
          <t>SÖDERMANLANDS LÄN</t>
        </is>
      </c>
      <c r="G289" t="inlineStr">
        <is>
          <t>ESKILSTUNA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46225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Sveaskog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13295-2023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45005</v>
      </c>
      <c r="E291" s="1" t="n">
        <v>46225</v>
      </c>
      <c r="F291" t="inlineStr">
        <is>
          <t>SÖDERMANLANDS LÄN</t>
        </is>
      </c>
      <c r="G291" t="inlineStr">
        <is>
          <t>ESKILSTUNA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46197</v>
      </c>
      <c r="E292" s="1" t="n">
        <v>46225</v>
      </c>
      <c r="F292" t="inlineStr">
        <is>
          <t>SÖDERMANLANDS LÄN</t>
        </is>
      </c>
      <c r="G292" t="inlineStr">
        <is>
          <t>ESKILSTUNA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44741</v>
      </c>
      <c r="E293" s="1" t="n">
        <v>46225</v>
      </c>
      <c r="F293" t="inlineStr">
        <is>
          <t>SÖDERMANLANDS LÄN</t>
        </is>
      </c>
      <c r="G293" t="inlineStr">
        <is>
          <t>ESKILSTUNA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61367-2021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44499</v>
      </c>
      <c r="E294" s="1" t="n">
        <v>46225</v>
      </c>
      <c r="F294" t="inlineStr">
        <is>
          <t>SÖDERMANLANDS LÄN</t>
        </is>
      </c>
      <c r="G294" t="inlineStr">
        <is>
          <t>ESKILSTUNA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65595-2021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44516</v>
      </c>
      <c r="E295" s="1" t="n">
        <v>46225</v>
      </c>
      <c r="F295" t="inlineStr">
        <is>
          <t>SÖDERMANLANDS LÄN</t>
        </is>
      </c>
      <c r="G295" t="inlineStr">
        <is>
          <t>ESKILSTUNA</t>
        </is>
      </c>
      <c r="I295" t="n">
        <v>9.5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29051-2026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46199</v>
      </c>
      <c r="E296" s="1" t="n">
        <v>46225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22759-2026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46157</v>
      </c>
      <c r="E297" s="1" t="n">
        <v>46225</v>
      </c>
      <c r="F297" t="inlineStr">
        <is>
          <t>SÖDERMANLANDS LÄN</t>
        </is>
      </c>
      <c r="G297" t="inlineStr">
        <is>
          <t>ESKILSTUNA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45182</v>
      </c>
      <c r="E298" s="1" t="n">
        <v>46225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46225</v>
      </c>
      <c r="F299" t="inlineStr">
        <is>
          <t>SÖDERMANLANDS LÄN</t>
        </is>
      </c>
      <c r="G299" t="inlineStr">
        <is>
          <t>ESKILSTUNA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38895-2023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45163</v>
      </c>
      <c r="E300" s="1" t="n">
        <v>46225</v>
      </c>
      <c r="F300" t="inlineStr">
        <is>
          <t>SÖDERMANLANDS LÄN</t>
        </is>
      </c>
      <c r="G300" t="inlineStr">
        <is>
          <t>ESKILSTUNA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46157</v>
      </c>
      <c r="E301" s="1" t="n">
        <v>46225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29053-2026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46199</v>
      </c>
      <c r="E302" s="1" t="n">
        <v>46225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46225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42801-2022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44832</v>
      </c>
      <c r="E304" s="1" t="n">
        <v>46225</v>
      </c>
      <c r="F304" t="inlineStr">
        <is>
          <t>SÖDERMANLANDS LÄN</t>
        </is>
      </c>
      <c r="G304" t="inlineStr">
        <is>
          <t>ESKILSTUNA</t>
        </is>
      </c>
      <c r="I304" t="n">
        <v>19.9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46083</v>
      </c>
      <c r="E305" s="1" t="n">
        <v>46225</v>
      </c>
      <c r="F305" t="inlineStr">
        <is>
          <t>SÖDERMANLANDS LÄN</t>
        </is>
      </c>
      <c r="G305" t="inlineStr">
        <is>
          <t>ESKILSTUNA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44019-2021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44434</v>
      </c>
      <c r="E306" s="1" t="n">
        <v>46225</v>
      </c>
      <c r="F306" t="inlineStr">
        <is>
          <t>SÖDERMANLANDS LÄN</t>
        </is>
      </c>
      <c r="G306" t="inlineStr">
        <is>
          <t>ESKILSTUNA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9711-2025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45715</v>
      </c>
      <c r="E307" s="1" t="n">
        <v>46225</v>
      </c>
      <c r="F307" t="inlineStr">
        <is>
          <t>SÖDERMANLANDS LÄN</t>
        </is>
      </c>
      <c r="G307" t="inlineStr">
        <is>
          <t>ESKILSTUNA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45897</v>
      </c>
      <c r="E308" s="1" t="n">
        <v>46225</v>
      </c>
      <c r="F308" t="inlineStr">
        <is>
          <t>SÖDERMANLANDS LÄN</t>
        </is>
      </c>
      <c r="G308" t="inlineStr">
        <is>
          <t>ESKILSTUNA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46162</v>
      </c>
      <c r="E309" s="1" t="n">
        <v>46225</v>
      </c>
      <c r="F309" t="inlineStr">
        <is>
          <t>SÖDERMANLANDS LÄN</t>
        </is>
      </c>
      <c r="G309" t="inlineStr">
        <is>
          <t>ESKILSTUNA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52203-2025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45953</v>
      </c>
      <c r="E310" s="1" t="n">
        <v>46225</v>
      </c>
      <c r="F310" t="inlineStr">
        <is>
          <t>SÖDERMANLANDS LÄN</t>
        </is>
      </c>
      <c r="G310" t="inlineStr">
        <is>
          <t>ESKILSTUNA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46225</v>
      </c>
      <c r="F311" t="inlineStr">
        <is>
          <t>SÖDERMANLANDS LÄN</t>
        </is>
      </c>
      <c r="G311" t="inlineStr">
        <is>
          <t>ESKILSTUNA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44482</v>
      </c>
      <c r="E312" s="1" t="n">
        <v>46225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55812-2022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44886</v>
      </c>
      <c r="E313" s="1" t="n">
        <v>46225</v>
      </c>
      <c r="F313" t="inlineStr">
        <is>
          <t>SÖDERMANLANDS LÄN</t>
        </is>
      </c>
      <c r="G313" t="inlineStr">
        <is>
          <t>ESKILSTUNA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68022-2021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44525</v>
      </c>
      <c r="E314" s="1" t="n">
        <v>46225</v>
      </c>
      <c r="F314" t="inlineStr">
        <is>
          <t>SÖDERMANLANDS LÄN</t>
        </is>
      </c>
      <c r="G314" t="inlineStr">
        <is>
          <t>ESKILSTUNA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54598-2021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46225</v>
      </c>
      <c r="F315" t="inlineStr">
        <is>
          <t>SÖDERMANLANDS LÄN</t>
        </is>
      </c>
      <c r="G315" t="inlineStr">
        <is>
          <t>ESKILSTUNA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46225</v>
      </c>
      <c r="F316" t="inlineStr">
        <is>
          <t>SÖDERMANLANDS LÄN</t>
        </is>
      </c>
      <c r="G316" t="inlineStr">
        <is>
          <t>ESKILSTUNA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46225</v>
      </c>
      <c r="F317" t="inlineStr">
        <is>
          <t>SÖDERMANLANDS LÄN</t>
        </is>
      </c>
      <c r="G317" t="inlineStr">
        <is>
          <t>ESKILSTUNA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45077</v>
      </c>
      <c r="E318" s="1" t="n">
        <v>46225</v>
      </c>
      <c r="F318" t="inlineStr">
        <is>
          <t>SÖDERMANLANDS LÄN</t>
        </is>
      </c>
      <c r="G318" t="inlineStr">
        <is>
          <t>ESKILSTUNA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16391-2022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44671</v>
      </c>
      <c r="E319" s="1" t="n">
        <v>46225</v>
      </c>
      <c r="F319" t="inlineStr">
        <is>
          <t>SÖDERMANLANDS LÄN</t>
        </is>
      </c>
      <c r="G319" t="inlineStr">
        <is>
          <t>ESKILSTUNA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11727-2026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46225</v>
      </c>
      <c r="F320" t="inlineStr">
        <is>
          <t>SÖDERMANLANDS LÄN</t>
        </is>
      </c>
      <c r="G320" t="inlineStr">
        <is>
          <t>ESKILSTUNA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52830-2021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46225</v>
      </c>
      <c r="F321" t="inlineStr">
        <is>
          <t>SÖDERMANLANDS LÄN</t>
        </is>
      </c>
      <c r="G321" t="inlineStr">
        <is>
          <t>ESKILSTUNA</t>
        </is>
      </c>
      <c r="I321" t="n">
        <v>8.6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22388-2026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46154</v>
      </c>
      <c r="E322" s="1" t="n">
        <v>46225</v>
      </c>
      <c r="F322" t="inlineStr">
        <is>
          <t>SÖDERMANLANDS LÄN</t>
        </is>
      </c>
      <c r="G322" t="inlineStr">
        <is>
          <t>ESKILSTUNA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46225</v>
      </c>
      <c r="F323" t="inlineStr">
        <is>
          <t>SÖDERMANLANDS LÄN</t>
        </is>
      </c>
      <c r="G323" t="inlineStr">
        <is>
          <t>ESKILSTUNA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46225</v>
      </c>
      <c r="F324" t="inlineStr">
        <is>
          <t>SÖDERMANLANDS LÄN</t>
        </is>
      </c>
      <c r="G324" t="inlineStr">
        <is>
          <t>ESKILSTUNA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44432</v>
      </c>
      <c r="E325" s="1" t="n">
        <v>46225</v>
      </c>
      <c r="F325" t="inlineStr">
        <is>
          <t>SÖDERMANLANDS LÄN</t>
        </is>
      </c>
      <c r="G325" t="inlineStr">
        <is>
          <t>ESKILSTUNA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46225</v>
      </c>
      <c r="F326" t="inlineStr">
        <is>
          <t>SÖDERMANLANDS LÄN</t>
        </is>
      </c>
      <c r="G326" t="inlineStr">
        <is>
          <t>ESKILSTUNA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46225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62278-2023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45267</v>
      </c>
      <c r="E328" s="1" t="n">
        <v>46225</v>
      </c>
      <c r="F328" t="inlineStr">
        <is>
          <t>SÖDERMANLANDS LÄN</t>
        </is>
      </c>
      <c r="G328" t="inlineStr">
        <is>
          <t>ESKILSTUNA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46225</v>
      </c>
      <c r="F329" t="inlineStr">
        <is>
          <t>SÖDERMANLANDS LÄN</t>
        </is>
      </c>
      <c r="G329" t="inlineStr">
        <is>
          <t>ESKILSTUNA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47581-2024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46225</v>
      </c>
      <c r="F330" t="inlineStr">
        <is>
          <t>SÖDERMANLANDS LÄN</t>
        </is>
      </c>
      <c r="G330" t="inlineStr">
        <is>
          <t>ESKILSTUNA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41997-2021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44426</v>
      </c>
      <c r="E331" s="1" t="n">
        <v>46225</v>
      </c>
      <c r="F331" t="inlineStr">
        <is>
          <t>SÖDERMANLANDS LÄN</t>
        </is>
      </c>
      <c r="G331" t="inlineStr">
        <is>
          <t>ESKILSTUNA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65614-2021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46225</v>
      </c>
      <c r="F332" t="inlineStr">
        <is>
          <t>SÖDERMANLANDS LÄN</t>
        </is>
      </c>
      <c r="G332" t="inlineStr">
        <is>
          <t>ESKILSTUNA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61416-2022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44916</v>
      </c>
      <c r="E333" s="1" t="n">
        <v>46225</v>
      </c>
      <c r="F333" t="inlineStr">
        <is>
          <t>SÖDERMANLANDS LÄN</t>
        </is>
      </c>
      <c r="G333" t="inlineStr">
        <is>
          <t>ESKILSTUNA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55800-2022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44888</v>
      </c>
      <c r="E334" s="1" t="n">
        <v>46225</v>
      </c>
      <c r="F334" t="inlineStr">
        <is>
          <t>SÖDERMANLANDS LÄN</t>
        </is>
      </c>
      <c r="G334" t="inlineStr">
        <is>
          <t>ESKILSTUNA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44865</v>
      </c>
      <c r="E335" s="1" t="n">
        <v>46225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Kyrkan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46225</v>
      </c>
      <c r="F336" t="inlineStr">
        <is>
          <t>SÖDERMANLANDS LÄN</t>
        </is>
      </c>
      <c r="G336" t="inlineStr">
        <is>
          <t>ESKILSTUNA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46216</v>
      </c>
      <c r="E337" s="1" t="n">
        <v>46225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31131-2026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46216</v>
      </c>
      <c r="E338" s="1" t="n">
        <v>46225</v>
      </c>
      <c r="F338" t="inlineStr">
        <is>
          <t>SÖDERMANLANDS LÄN</t>
        </is>
      </c>
      <c r="G338" t="inlineStr">
        <is>
          <t>ESKILSTUNA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45756</v>
      </c>
      <c r="E339" s="1" t="n">
        <v>46225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15963-2022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44664</v>
      </c>
      <c r="E340" s="1" t="n">
        <v>46225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44729</v>
      </c>
      <c r="E341" s="1" t="n">
        <v>46225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Kyrkan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46213</v>
      </c>
      <c r="E342" s="1" t="n">
        <v>46225</v>
      </c>
      <c r="F342" t="inlineStr">
        <is>
          <t>SÖDERMANLANDS LÄN</t>
        </is>
      </c>
      <c r="G342" t="inlineStr">
        <is>
          <t>ESKILSTUNA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46225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46217</v>
      </c>
      <c r="E344" s="1" t="n">
        <v>46225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Kommuner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46225</v>
      </c>
      <c r="F345" t="inlineStr">
        <is>
          <t>SÖDERMANLANDS LÄN</t>
        </is>
      </c>
      <c r="G345" t="inlineStr">
        <is>
          <t>ESKILSTUNA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46217</v>
      </c>
      <c r="E346" s="1" t="n">
        <v>46225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Kommuner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19523-2024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45429</v>
      </c>
      <c r="E347" s="1" t="n">
        <v>46225</v>
      </c>
      <c r="F347" t="inlineStr">
        <is>
          <t>SÖDERMANLANDS LÄN</t>
        </is>
      </c>
      <c r="G347" t="inlineStr">
        <is>
          <t>ESKILSTUNA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45056</v>
      </c>
      <c r="E348" s="1" t="n">
        <v>46225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Allmännings- och besparingsskogar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31320-2026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46219</v>
      </c>
      <c r="E349" s="1" t="n">
        <v>46225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45079</v>
      </c>
      <c r="E350" s="1" t="n">
        <v>46225</v>
      </c>
      <c r="F350" t="inlineStr">
        <is>
          <t>SÖDERMANLANDS LÄN</t>
        </is>
      </c>
      <c r="G350" t="inlineStr">
        <is>
          <t>ESKILSTUNA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46177</v>
      </c>
      <c r="E351" s="1" t="n">
        <v>46225</v>
      </c>
      <c r="F351" t="inlineStr">
        <is>
          <t>SÖDERMANLANDS LÄN</t>
        </is>
      </c>
      <c r="G351" t="inlineStr">
        <is>
          <t>ESKILSTUNA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59276-2021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44490</v>
      </c>
      <c r="E352" s="1" t="n">
        <v>46225</v>
      </c>
      <c r="F352" t="inlineStr">
        <is>
          <t>SÖDERMANLANDS LÄN</t>
        </is>
      </c>
      <c r="G352" t="inlineStr">
        <is>
          <t>ESKILSTUNA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45245</v>
      </c>
      <c r="E353" s="1" t="n">
        <v>46225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Allmännings- och besparingsskogar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57538-2022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44889</v>
      </c>
      <c r="E354" s="1" t="n">
        <v>46225</v>
      </c>
      <c r="F354" t="inlineStr">
        <is>
          <t>SÖDERMANLANDS LÄN</t>
        </is>
      </c>
      <c r="G354" t="inlineStr">
        <is>
          <t>ESKILSTUNA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46225</v>
      </c>
      <c r="F355" t="inlineStr">
        <is>
          <t>SÖDERMANLANDS LÄN</t>
        </is>
      </c>
      <c r="G355" t="inlineStr">
        <is>
          <t>ESKILSTUNA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46225</v>
      </c>
      <c r="F356" t="inlineStr">
        <is>
          <t>SÖDERMANLANDS LÄN</t>
        </is>
      </c>
      <c r="G356" t="inlineStr">
        <is>
          <t>ESKILSTUNA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44930</v>
      </c>
      <c r="E357" s="1" t="n">
        <v>46225</v>
      </c>
      <c r="F357" t="inlineStr">
        <is>
          <t>SÖDERMANLANDS LÄN</t>
        </is>
      </c>
      <c r="G357" t="inlineStr">
        <is>
          <t>ESKILSTUNA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46225</v>
      </c>
      <c r="F358" t="inlineStr">
        <is>
          <t>SÖDERMANLANDS LÄN</t>
        </is>
      </c>
      <c r="G358" t="inlineStr">
        <is>
          <t>ESKILSTUNA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46225</v>
      </c>
      <c r="F359" t="inlineStr">
        <is>
          <t>SÖDERMANLANDS LÄN</t>
        </is>
      </c>
      <c r="G359" t="inlineStr">
        <is>
          <t>ESKILSTUNA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61170-2021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44497</v>
      </c>
      <c r="E360" s="1" t="n">
        <v>46225</v>
      </c>
      <c r="F360" t="inlineStr">
        <is>
          <t>SÖDERMANLANDS LÄN</t>
        </is>
      </c>
      <c r="G360" t="inlineStr">
        <is>
          <t>ESKILSTUNA</t>
        </is>
      </c>
      <c r="I360" t="n">
        <v>7.3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45099</v>
      </c>
      <c r="E361" s="1" t="n">
        <v>46225</v>
      </c>
      <c r="F361" t="inlineStr">
        <is>
          <t>SÖDERMANLANDS LÄN</t>
        </is>
      </c>
      <c r="G361" t="inlineStr">
        <is>
          <t>ESKILSTUNA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46225</v>
      </c>
      <c r="F362" t="inlineStr">
        <is>
          <t>SÖDERMANLANDS LÄN</t>
        </is>
      </c>
      <c r="G362" t="inlineStr">
        <is>
          <t>ESKILSTUNA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46225</v>
      </c>
      <c r="F363" t="inlineStr">
        <is>
          <t>SÖDERMANLANDS LÄN</t>
        </is>
      </c>
      <c r="G363" t="inlineStr">
        <is>
          <t>ESKILSTUNA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1340-2024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45303</v>
      </c>
      <c r="E364" s="1" t="n">
        <v>46225</v>
      </c>
      <c r="F364" t="inlineStr">
        <is>
          <t>SÖDERMANLANDS LÄN</t>
        </is>
      </c>
      <c r="G364" t="inlineStr">
        <is>
          <t>ESKILSTUNA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46225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Övriga Aktiebolag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13849-2023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45007</v>
      </c>
      <c r="E366" s="1" t="n">
        <v>46225</v>
      </c>
      <c r="F366" t="inlineStr">
        <is>
          <t>SÖDERMANLANDS LÄN</t>
        </is>
      </c>
      <c r="G366" t="inlineStr">
        <is>
          <t>ESKILSTUNA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46225</v>
      </c>
      <c r="F367" t="inlineStr">
        <is>
          <t>SÖDERMANLANDS LÄN</t>
        </is>
      </c>
      <c r="G367" t="inlineStr">
        <is>
          <t>ESKILSTUNA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70265-2021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44536</v>
      </c>
      <c r="E368" s="1" t="n">
        <v>46225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Sveaskog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46608-2024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45582</v>
      </c>
      <c r="E369" s="1" t="n">
        <v>46225</v>
      </c>
      <c r="F369" t="inlineStr">
        <is>
          <t>SÖDERMANLANDS LÄN</t>
        </is>
      </c>
      <c r="G369" t="inlineStr">
        <is>
          <t>ESKILSTUNA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68020-2021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44525</v>
      </c>
      <c r="E370" s="1" t="n">
        <v>46225</v>
      </c>
      <c r="F370" t="inlineStr">
        <is>
          <t>SÖDERMANLANDS LÄN</t>
        </is>
      </c>
      <c r="G370" t="inlineStr">
        <is>
          <t>ESKILSTUNA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45544</v>
      </c>
      <c r="E371" s="1" t="n">
        <v>46225</v>
      </c>
      <c r="F371" t="inlineStr">
        <is>
          <t>SÖDERMANLANDS LÄN</t>
        </is>
      </c>
      <c r="G371" t="inlineStr">
        <is>
          <t>ESKILSTUNA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45146</v>
      </c>
      <c r="E372" s="1" t="n">
        <v>46225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Kyrkan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45069</v>
      </c>
      <c r="E373" s="1" t="n">
        <v>46225</v>
      </c>
      <c r="F373" t="inlineStr">
        <is>
          <t>SÖDERMANLANDS LÄN</t>
        </is>
      </c>
      <c r="G373" t="inlineStr">
        <is>
          <t>ESKILSTUNA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10715-2022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44626</v>
      </c>
      <c r="E374" s="1" t="n">
        <v>46225</v>
      </c>
      <c r="F374" t="inlineStr">
        <is>
          <t>SÖDERMANLANDS LÄN</t>
        </is>
      </c>
      <c r="G374" t="inlineStr">
        <is>
          <t>ESKILSTUNA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44927-2023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45190</v>
      </c>
      <c r="E375" s="1" t="n">
        <v>46225</v>
      </c>
      <c r="F375" t="inlineStr">
        <is>
          <t>SÖDERMANLANDS LÄN</t>
        </is>
      </c>
      <c r="G375" t="inlineStr">
        <is>
          <t>ESKILSTUNA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20355-2024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45435</v>
      </c>
      <c r="E376" s="1" t="n">
        <v>46225</v>
      </c>
      <c r="F376" t="inlineStr">
        <is>
          <t>SÖDERMANLANDS LÄN</t>
        </is>
      </c>
      <c r="G376" t="inlineStr">
        <is>
          <t>ESKILSTUNA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22605-2023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45071</v>
      </c>
      <c r="E377" s="1" t="n">
        <v>46225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Kyrkan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44572</v>
      </c>
      <c r="E378" s="1" t="n">
        <v>46225</v>
      </c>
      <c r="F378" t="inlineStr">
        <is>
          <t>SÖDERMANLANDS LÄN</t>
        </is>
      </c>
      <c r="G378" t="inlineStr">
        <is>
          <t>ESKILSTUNA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7406-2022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46225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Kyrkan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45093</v>
      </c>
      <c r="E380" s="1" t="n">
        <v>46225</v>
      </c>
      <c r="F380" t="inlineStr">
        <is>
          <t>SÖDERMANLANDS LÄN</t>
        </is>
      </c>
      <c r="G380" t="inlineStr">
        <is>
          <t>ESKILSTUNA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45643</v>
      </c>
      <c r="E381" s="1" t="n">
        <v>46225</v>
      </c>
      <c r="F381" t="inlineStr">
        <is>
          <t>SÖDERMANLANDS LÄN</t>
        </is>
      </c>
      <c r="G381" t="inlineStr">
        <is>
          <t>ESKILSTUNA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45387</v>
      </c>
      <c r="E382" s="1" t="n">
        <v>46225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Kyrkan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46225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Allmännings- och besparingsskogar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46225</v>
      </c>
      <c r="F384" t="inlineStr">
        <is>
          <t>SÖDERMANLANDS LÄN</t>
        </is>
      </c>
      <c r="G384" t="inlineStr">
        <is>
          <t>ESKILSTUNA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26871-2023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45093</v>
      </c>
      <c r="E385" s="1" t="n">
        <v>46225</v>
      </c>
      <c r="F385" t="inlineStr">
        <is>
          <t>SÖDERMANLANDS LÄN</t>
        </is>
      </c>
      <c r="G385" t="inlineStr">
        <is>
          <t>ESKILSTUNA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55763-2022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44886</v>
      </c>
      <c r="E386" s="1" t="n">
        <v>46225</v>
      </c>
      <c r="F386" t="inlineStr">
        <is>
          <t>SÖDERMANLANDS LÄN</t>
        </is>
      </c>
      <c r="G386" t="inlineStr">
        <is>
          <t>ESKILSTUNA</t>
        </is>
      </c>
      <c r="I386" t="n">
        <v>15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45183</v>
      </c>
      <c r="E387" s="1" t="n">
        <v>46225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Allmännings- och besparingsskogar</t>
        </is>
      </c>
      <c r="I387" t="n">
        <v>15.8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45237</v>
      </c>
      <c r="E388" s="1" t="n">
        <v>46225</v>
      </c>
      <c r="F388" t="inlineStr">
        <is>
          <t>SÖDERMANLANDS LÄN</t>
        </is>
      </c>
      <c r="G388" t="inlineStr">
        <is>
          <t>ESKILSTUNA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4200-2025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45685</v>
      </c>
      <c r="E389" s="1" t="n">
        <v>46225</v>
      </c>
      <c r="F389" t="inlineStr">
        <is>
          <t>SÖDERMANLANDS LÄN</t>
        </is>
      </c>
      <c r="G389" t="inlineStr">
        <is>
          <t>ESKILSTUNA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44664</v>
      </c>
      <c r="E390" s="1" t="n">
        <v>46225</v>
      </c>
      <c r="F390" t="inlineStr">
        <is>
          <t>SÖDERMANLANDS LÄN</t>
        </is>
      </c>
      <c r="G390" t="inlineStr">
        <is>
          <t>ESKILSTUNA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45723</v>
      </c>
      <c r="E391" s="1" t="n">
        <v>46225</v>
      </c>
      <c r="F391" t="inlineStr">
        <is>
          <t>SÖDERMANLANDS LÄN</t>
        </is>
      </c>
      <c r="G391" t="inlineStr">
        <is>
          <t>ESKILSTUNA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55963-2023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46225</v>
      </c>
      <c r="F392" t="inlineStr">
        <is>
          <t>SÖDERMANLANDS LÄN</t>
        </is>
      </c>
      <c r="G392" t="inlineStr">
        <is>
          <t>ESKILSTUNA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25229-2022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44729</v>
      </c>
      <c r="E393" s="1" t="n">
        <v>46225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Allmännings- och besparingsskogar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61831-2023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45266</v>
      </c>
      <c r="E394" s="1" t="n">
        <v>46225</v>
      </c>
      <c r="F394" t="inlineStr">
        <is>
          <t>SÖDERMANLANDS LÄN</t>
        </is>
      </c>
      <c r="G394" t="inlineStr">
        <is>
          <t>ESKILSTUNA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29068-2022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44749</v>
      </c>
      <c r="E395" s="1" t="n">
        <v>46225</v>
      </c>
      <c r="F395" t="inlineStr">
        <is>
          <t>SÖDERMANLANDS LÄN</t>
        </is>
      </c>
      <c r="G395" t="inlineStr">
        <is>
          <t>ESKILSTUNA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1330-2024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45303</v>
      </c>
      <c r="E396" s="1" t="n">
        <v>46225</v>
      </c>
      <c r="F396" t="inlineStr">
        <is>
          <t>SÖDERMANLANDS LÄN</t>
        </is>
      </c>
      <c r="G396" t="inlineStr">
        <is>
          <t>ESKILSTUNA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45303</v>
      </c>
      <c r="E397" s="1" t="n">
        <v>46225</v>
      </c>
      <c r="F397" t="inlineStr">
        <is>
          <t>SÖDERMANLANDS LÄN</t>
        </is>
      </c>
      <c r="G397" t="inlineStr">
        <is>
          <t>ESKILSTUNA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37769-2023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45159</v>
      </c>
      <c r="E398" s="1" t="n">
        <v>46225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Kommuner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29750-2022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44755</v>
      </c>
      <c r="E399" s="1" t="n">
        <v>46225</v>
      </c>
      <c r="F399" t="inlineStr">
        <is>
          <t>SÖDERMANLANDS LÄN</t>
        </is>
      </c>
      <c r="G399" t="inlineStr">
        <is>
          <t>ESKILSTUNA</t>
        </is>
      </c>
      <c r="I399" t="n">
        <v>20.1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46225</v>
      </c>
      <c r="F400" t="inlineStr">
        <is>
          <t>SÖDERMANLANDS LÄN</t>
        </is>
      </c>
      <c r="G400" t="inlineStr">
        <is>
          <t>ESKILSTUNA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30968-2022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44768</v>
      </c>
      <c r="E401" s="1" t="n">
        <v>46225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Sveaskog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46225</v>
      </c>
      <c r="F402" t="inlineStr">
        <is>
          <t>SÖDERMANLANDS LÄN</t>
        </is>
      </c>
      <c r="G402" t="inlineStr">
        <is>
          <t>ESKILSTUNA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44966</v>
      </c>
      <c r="E403" s="1" t="n">
        <v>46225</v>
      </c>
      <c r="F403" t="inlineStr">
        <is>
          <t>SÖDERMANLANDS LÄN</t>
        </is>
      </c>
      <c r="G403" t="inlineStr">
        <is>
          <t>ESKILSTUNA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36636-2022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44804</v>
      </c>
      <c r="E404" s="1" t="n">
        <v>46225</v>
      </c>
      <c r="F404" t="inlineStr">
        <is>
          <t>SÖDERMANLANDS LÄN</t>
        </is>
      </c>
      <c r="G404" t="inlineStr">
        <is>
          <t>ESKILSTUNA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46225</v>
      </c>
      <c r="F405" t="inlineStr">
        <is>
          <t>SÖDERMANLANDS LÄN</t>
        </is>
      </c>
      <c r="G405" t="inlineStr">
        <is>
          <t>ESKILSTUNA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12297-2023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46225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Kommuner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61830-2023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45266</v>
      </c>
      <c r="E407" s="1" t="n">
        <v>46225</v>
      </c>
      <c r="F407" t="inlineStr">
        <is>
          <t>SÖDERMANLANDS LÄN</t>
        </is>
      </c>
      <c r="G407" t="inlineStr">
        <is>
          <t>ESKILSTUNA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45531</v>
      </c>
      <c r="E408" s="1" t="n">
        <v>46225</v>
      </c>
      <c r="F408" t="inlineStr">
        <is>
          <t>SÖDERMANLANDS LÄN</t>
        </is>
      </c>
      <c r="G408" t="inlineStr">
        <is>
          <t>ESKILSTUNA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45537</v>
      </c>
      <c r="E409" s="1" t="n">
        <v>46225</v>
      </c>
      <c r="F409" t="inlineStr">
        <is>
          <t>SÖDERMANLANDS LÄN</t>
        </is>
      </c>
      <c r="G409" t="inlineStr">
        <is>
          <t>ESKILSTUNA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44582</v>
      </c>
      <c r="E410" s="1" t="n">
        <v>46225</v>
      </c>
      <c r="F410" t="inlineStr">
        <is>
          <t>SÖDERMANLANDS LÄN</t>
        </is>
      </c>
      <c r="G410" t="inlineStr">
        <is>
          <t>ESKILSTUNA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36142-2022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44803</v>
      </c>
      <c r="E411" s="1" t="n">
        <v>46225</v>
      </c>
      <c r="F411" t="inlineStr">
        <is>
          <t>SÖDERMANLANDS LÄN</t>
        </is>
      </c>
      <c r="G411" t="inlineStr">
        <is>
          <t>ESKILSTUNA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36153-2022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44803</v>
      </c>
      <c r="E412" s="1" t="n">
        <v>46225</v>
      </c>
      <c r="F412" t="inlineStr">
        <is>
          <t>SÖDERMANLANDS LÄN</t>
        </is>
      </c>
      <c r="G412" t="inlineStr">
        <is>
          <t>ESKILSTUNA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70613-2021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44537</v>
      </c>
      <c r="E413" s="1" t="n">
        <v>46225</v>
      </c>
      <c r="F413" t="inlineStr">
        <is>
          <t>SÖDERMANLANDS LÄN</t>
        </is>
      </c>
      <c r="G413" t="inlineStr">
        <is>
          <t>ESKILSTUNA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44615-2022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44839</v>
      </c>
      <c r="E414" s="1" t="n">
        <v>46225</v>
      </c>
      <c r="F414" t="inlineStr">
        <is>
          <t>SÖDERMANLANDS LÄN</t>
        </is>
      </c>
      <c r="G414" t="inlineStr">
        <is>
          <t>ESKILSTUNA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45763</v>
      </c>
      <c r="E415" s="1" t="n">
        <v>46225</v>
      </c>
      <c r="F415" t="inlineStr">
        <is>
          <t>SÖDERMANLANDS LÄN</t>
        </is>
      </c>
      <c r="G415" t="inlineStr">
        <is>
          <t>ESKILSTUNA</t>
        </is>
      </c>
      <c r="I415" t="n">
        <v>15.6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44874</v>
      </c>
      <c r="E416" s="1" t="n">
        <v>46225</v>
      </c>
      <c r="F416" t="inlineStr">
        <is>
          <t>SÖDERMANLANDS LÄN</t>
        </is>
      </c>
      <c r="G416" t="inlineStr">
        <is>
          <t>ESKILSTUNA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44938</v>
      </c>
      <c r="E417" s="1" t="n">
        <v>46225</v>
      </c>
      <c r="F417" t="inlineStr">
        <is>
          <t>SÖDERMANLANDS LÄN</t>
        </is>
      </c>
      <c r="G417" t="inlineStr">
        <is>
          <t>ESKILSTUNA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28582-2023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45103</v>
      </c>
      <c r="E418" s="1" t="n">
        <v>46225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13385-2023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45005</v>
      </c>
      <c r="E419" s="1" t="n">
        <v>46225</v>
      </c>
      <c r="F419" t="inlineStr">
        <is>
          <t>SÖDERMANLANDS LÄN</t>
        </is>
      </c>
      <c r="G419" t="inlineStr">
        <is>
          <t>ESKILSTUNA</t>
        </is>
      </c>
      <c r="I419" t="n">
        <v>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46225</v>
      </c>
      <c r="F420" t="inlineStr">
        <is>
          <t>SÖDERMANLANDS LÄN</t>
        </is>
      </c>
      <c r="G420" t="inlineStr">
        <is>
          <t>ESKILSTUNA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46225</v>
      </c>
      <c r="F421" t="inlineStr">
        <is>
          <t>SÖDERMANLANDS LÄN</t>
        </is>
      </c>
      <c r="G421" t="inlineStr">
        <is>
          <t>ESKILSTUNA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44819</v>
      </c>
      <c r="E422" s="1" t="n">
        <v>46225</v>
      </c>
      <c r="F422" t="inlineStr">
        <is>
          <t>SÖDERMANLANDS LÄN</t>
        </is>
      </c>
      <c r="G422" t="inlineStr">
        <is>
          <t>ESKILSTUNA</t>
        </is>
      </c>
      <c r="I422" t="n">
        <v>11.6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48671-2021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44452</v>
      </c>
      <c r="E423" s="1" t="n">
        <v>46225</v>
      </c>
      <c r="F423" t="inlineStr">
        <is>
          <t>SÖDERMANLANDS LÄN</t>
        </is>
      </c>
      <c r="G423" t="inlineStr">
        <is>
          <t>ESKILSTUNA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53476-2021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44468</v>
      </c>
      <c r="E424" s="1" t="n">
        <v>46225</v>
      </c>
      <c r="F424" t="inlineStr">
        <is>
          <t>SÖDERMANLANDS LÄN</t>
        </is>
      </c>
      <c r="G424" t="inlineStr">
        <is>
          <t>ESKILSTUNA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46225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Övriga Aktiebolag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21133-2023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45062</v>
      </c>
      <c r="E426" s="1" t="n">
        <v>46225</v>
      </c>
      <c r="F426" t="inlineStr">
        <is>
          <t>SÖDERMANLANDS LÄN</t>
        </is>
      </c>
      <c r="G426" t="inlineStr">
        <is>
          <t>ESKILSTUNA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13626-2023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45006</v>
      </c>
      <c r="E427" s="1" t="n">
        <v>46225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46225</v>
      </c>
      <c r="F428" t="inlineStr">
        <is>
          <t>SÖDERMANLANDS LÄN</t>
        </is>
      </c>
      <c r="G428" t="inlineStr">
        <is>
          <t>ESKILSTUNA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46225</v>
      </c>
      <c r="F429" t="inlineStr">
        <is>
          <t>SÖDERMANLANDS LÄN</t>
        </is>
      </c>
      <c r="G429" t="inlineStr">
        <is>
          <t>ESKILSTUNA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45004</v>
      </c>
      <c r="E430" s="1" t="n">
        <v>46225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46225</v>
      </c>
      <c r="F431" t="inlineStr">
        <is>
          <t>SÖDERMANLANDS LÄN</t>
        </is>
      </c>
      <c r="G431" t="inlineStr">
        <is>
          <t>ESKILSTUNA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45198</v>
      </c>
      <c r="E432" s="1" t="n">
        <v>46225</v>
      </c>
      <c r="F432" t="inlineStr">
        <is>
          <t>SÖDERMANLANDS LÄN</t>
        </is>
      </c>
      <c r="G432" t="inlineStr">
        <is>
          <t>ESKILSTUNA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44729</v>
      </c>
      <c r="E433" s="1" t="n">
        <v>46225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46225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46225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46225</v>
      </c>
      <c r="F436" t="inlineStr">
        <is>
          <t>SÖDERMANLANDS LÄN</t>
        </is>
      </c>
      <c r="G436" t="inlineStr">
        <is>
          <t>ESKILSTUNA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44592</v>
      </c>
      <c r="E437" s="1" t="n">
        <v>46225</v>
      </c>
      <c r="F437" t="inlineStr">
        <is>
          <t>SÖDERMANLANDS LÄN</t>
        </is>
      </c>
      <c r="G437" t="inlineStr">
        <is>
          <t>ESKILSTUNA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45061</v>
      </c>
      <c r="E438" s="1" t="n">
        <v>46225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44797</v>
      </c>
      <c r="E439" s="1" t="n">
        <v>46225</v>
      </c>
      <c r="F439" t="inlineStr">
        <is>
          <t>SÖDERMANLANDS LÄN</t>
        </is>
      </c>
      <c r="G439" t="inlineStr">
        <is>
          <t>ESKILSTUNA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46225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Kyrkan</t>
        </is>
      </c>
      <c r="I440" t="n">
        <v>12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44953</v>
      </c>
      <c r="E441" s="1" t="n">
        <v>46225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46225</v>
      </c>
      <c r="F442" t="inlineStr">
        <is>
          <t>SÖDERMANLANDS LÄN</t>
        </is>
      </c>
      <c r="G442" t="inlineStr">
        <is>
          <t>ESKILSTUNA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46225</v>
      </c>
      <c r="F443" t="inlineStr">
        <is>
          <t>SÖDERMANLANDS LÄN</t>
        </is>
      </c>
      <c r="G443" t="inlineStr">
        <is>
          <t>ESKILSTUNA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46225</v>
      </c>
      <c r="F444" t="inlineStr">
        <is>
          <t>SÖDERMANLANDS LÄN</t>
        </is>
      </c>
      <c r="G444" t="inlineStr">
        <is>
          <t>ESKILSTUNA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44804</v>
      </c>
      <c r="E445" s="1" t="n">
        <v>46225</v>
      </c>
      <c r="F445" t="inlineStr">
        <is>
          <t>SÖDERMANLANDS LÄN</t>
        </is>
      </c>
      <c r="G445" t="inlineStr">
        <is>
          <t>ESKILSTUNA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46225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46225</v>
      </c>
      <c r="F447" t="inlineStr">
        <is>
          <t>SÖDERMANLANDS LÄN</t>
        </is>
      </c>
      <c r="G447" t="inlineStr">
        <is>
          <t>ESKILSTUNA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46225</v>
      </c>
      <c r="F448" t="inlineStr">
        <is>
          <t>SÖDERMANLANDS LÄN</t>
        </is>
      </c>
      <c r="G448" t="inlineStr">
        <is>
          <t>ESKILSTUNA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46225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61989-2023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45266</v>
      </c>
      <c r="E450" s="1" t="n">
        <v>46225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45518</v>
      </c>
      <c r="E451" s="1" t="n">
        <v>46225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Övriga Aktiebolag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45708</v>
      </c>
      <c r="E452" s="1" t="n">
        <v>46225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46225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1346-2024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45303</v>
      </c>
      <c r="E454" s="1" t="n">
        <v>46225</v>
      </c>
      <c r="F454" t="inlineStr">
        <is>
          <t>SÖDERMANLANDS LÄN</t>
        </is>
      </c>
      <c r="G454" t="inlineStr">
        <is>
          <t>ESKILSTUNA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53098-2022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44873</v>
      </c>
      <c r="E455" s="1" t="n">
        <v>46225</v>
      </c>
      <c r="F455" t="inlineStr">
        <is>
          <t>SÖDERMANLANDS LÄN</t>
        </is>
      </c>
      <c r="G455" t="inlineStr">
        <is>
          <t>ESKILSTUNA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44965</v>
      </c>
      <c r="E456" s="1" t="n">
        <v>46225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Allmännings- och besparingsskogar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46225</v>
      </c>
      <c r="F457" t="inlineStr">
        <is>
          <t>SÖDERMANLANDS LÄN</t>
        </is>
      </c>
      <c r="G457" t="inlineStr">
        <is>
          <t>ESKILSTUNA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45209</v>
      </c>
      <c r="E458" s="1" t="n">
        <v>46225</v>
      </c>
      <c r="F458" t="inlineStr">
        <is>
          <t>SÖDERMANLANDS LÄN</t>
        </is>
      </c>
      <c r="G458" t="inlineStr">
        <is>
          <t>ESKILSTUNA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44844</v>
      </c>
      <c r="E459" s="1" t="n">
        <v>46225</v>
      </c>
      <c r="F459" t="inlineStr">
        <is>
          <t>SÖDERMANLANDS LÄN</t>
        </is>
      </c>
      <c r="G459" t="inlineStr">
        <is>
          <t>ESKILSTUNA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44844</v>
      </c>
      <c r="E460" s="1" t="n">
        <v>46225</v>
      </c>
      <c r="F460" t="inlineStr">
        <is>
          <t>SÖDERMANLANDS LÄN</t>
        </is>
      </c>
      <c r="G460" t="inlineStr">
        <is>
          <t>ESKILSTUNA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46225</v>
      </c>
      <c r="F461" t="inlineStr">
        <is>
          <t>SÖDERMANLANDS LÄN</t>
        </is>
      </c>
      <c r="G461" t="inlineStr">
        <is>
          <t>ESKILSTUNA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32708-2024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45514</v>
      </c>
      <c r="E462" s="1" t="n">
        <v>46225</v>
      </c>
      <c r="F462" t="inlineStr">
        <is>
          <t>SÖDERMANLANDS LÄN</t>
        </is>
      </c>
      <c r="G462" t="inlineStr">
        <is>
          <t>ESKILSTUNA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46225</v>
      </c>
      <c r="F463" t="inlineStr">
        <is>
          <t>SÖDERMANLANDS LÄN</t>
        </is>
      </c>
      <c r="G463" t="inlineStr">
        <is>
          <t>ESKILSTUNA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33585-2022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46225</v>
      </c>
      <c r="F464" t="inlineStr">
        <is>
          <t>SÖDERMANLANDS LÄN</t>
        </is>
      </c>
      <c r="G464" t="inlineStr">
        <is>
          <t>ESKILSTUNA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45341</v>
      </c>
      <c r="E465" s="1" t="n">
        <v>46225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45695</v>
      </c>
      <c r="E466" s="1" t="n">
        <v>46225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15592-2023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45020</v>
      </c>
      <c r="E467" s="1" t="n">
        <v>46225</v>
      </c>
      <c r="F467" t="inlineStr">
        <is>
          <t>SÖDERMANLANDS LÄN</t>
        </is>
      </c>
      <c r="G467" t="inlineStr">
        <is>
          <t>ESKILSTUNA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46225</v>
      </c>
      <c r="F468" t="inlineStr">
        <is>
          <t>SÖDERMANLANDS LÄN</t>
        </is>
      </c>
      <c r="G468" t="inlineStr">
        <is>
          <t>ESKILSTUNA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46225</v>
      </c>
      <c r="F469" t="inlineStr">
        <is>
          <t>SÖDERMANLANDS LÄN</t>
        </is>
      </c>
      <c r="G469" t="inlineStr">
        <is>
          <t>ESKILSTUNA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45695</v>
      </c>
      <c r="E470" s="1" t="n">
        <v>46225</v>
      </c>
      <c r="F470" t="inlineStr">
        <is>
          <t>SÖDERMANLANDS LÄN</t>
        </is>
      </c>
      <c r="G470" t="inlineStr">
        <is>
          <t>ESKILSTUNA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45637</v>
      </c>
      <c r="E471" s="1" t="n">
        <v>46225</v>
      </c>
      <c r="F471" t="inlineStr">
        <is>
          <t>SÖDERMANLANDS LÄN</t>
        </is>
      </c>
      <c r="G471" t="inlineStr">
        <is>
          <t>ESKILSTUNA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46225</v>
      </c>
      <c r="F472" t="inlineStr">
        <is>
          <t>SÖDERMANLANDS LÄN</t>
        </is>
      </c>
      <c r="G472" t="inlineStr">
        <is>
          <t>ESKILSTUNA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53181-2024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45611</v>
      </c>
      <c r="E473" s="1" t="n">
        <v>46225</v>
      </c>
      <c r="F473" t="inlineStr">
        <is>
          <t>SÖDERMANLANDS LÄN</t>
        </is>
      </c>
      <c r="G473" t="inlineStr">
        <is>
          <t>ESKILSTUNA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45670</v>
      </c>
      <c r="E474" s="1" t="n">
        <v>46225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70560-2021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44536</v>
      </c>
      <c r="E475" s="1" t="n">
        <v>46225</v>
      </c>
      <c r="F475" t="inlineStr">
        <is>
          <t>SÖDERMANLANDS LÄN</t>
        </is>
      </c>
      <c r="G475" t="inlineStr">
        <is>
          <t>ESKILSTUNA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46225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45183</v>
      </c>
      <c r="E477" s="1" t="n">
        <v>46225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46225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46225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46225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46225</v>
      </c>
      <c r="F481" t="inlineStr">
        <is>
          <t>SÖDERMANLANDS LÄN</t>
        </is>
      </c>
      <c r="G481" t="inlineStr">
        <is>
          <t>ESKILSTUNA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46225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46225</v>
      </c>
      <c r="F483" t="inlineStr">
        <is>
          <t>SÖDERMANLANDS LÄN</t>
        </is>
      </c>
      <c r="G483" t="inlineStr">
        <is>
          <t>ESKILSTUNA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46225</v>
      </c>
      <c r="F484" t="inlineStr">
        <is>
          <t>SÖDERMANLANDS LÄN</t>
        </is>
      </c>
      <c r="G484" t="inlineStr">
        <is>
          <t>ESKILSTUNA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24537-2025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45798</v>
      </c>
      <c r="E485" s="1" t="n">
        <v>46225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24534-2025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46225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24535-2025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45798</v>
      </c>
      <c r="E487" s="1" t="n">
        <v>46225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24536-2025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45798</v>
      </c>
      <c r="E488" s="1" t="n">
        <v>46225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46225</v>
      </c>
      <c r="F489" t="inlineStr">
        <is>
          <t>SÖDERMANLANDS LÄN</t>
        </is>
      </c>
      <c r="G489" t="inlineStr">
        <is>
          <t>ESKILSTUNA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46225</v>
      </c>
      <c r="F490" t="inlineStr">
        <is>
          <t>SÖDERMANLANDS LÄN</t>
        </is>
      </c>
      <c r="G490" t="inlineStr">
        <is>
          <t>ESKILSTUNA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46225</v>
      </c>
      <c r="F491" t="inlineStr">
        <is>
          <t>SÖDERMANLANDS LÄN</t>
        </is>
      </c>
      <c r="G491" t="inlineStr">
        <is>
          <t>ESKILSTUNA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24667-2025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45798</v>
      </c>
      <c r="E492" s="1" t="n">
        <v>46225</v>
      </c>
      <c r="F492" t="inlineStr">
        <is>
          <t>SÖDERMANLANDS LÄN</t>
        </is>
      </c>
      <c r="G492" t="inlineStr">
        <is>
          <t>ESKILSTUNA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46225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46225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46225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46225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46225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46225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46225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46225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46225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46225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46225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46225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46225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2026-07-22T01:39:21Z</dcterms:created>
  <dcterms:modified xmlns:dcterms="http://purl.org/dc/terms/" xmlns:xsi="http://www.w3.org/2001/XMLSchema-instance" xsi:type="dcterms:W3CDTF">2026-07-22T01:39:22Z</dcterms:modified>
</cp:coreProperties>
</file>