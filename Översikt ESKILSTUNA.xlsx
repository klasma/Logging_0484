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46257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46257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46257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46257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46257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46257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46257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46257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46257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46257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12296-2023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44998</v>
      </c>
      <c r="E16" s="1" t="n">
        <v>46257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16.7</v>
      </c>
      <c r="J16" t="n">
        <v>4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Pärluggla
Mindre hackspett
Havsörn
Kungsfågel</t>
        </is>
      </c>
      <c r="W16">
        <f>HYPERLINK("https://klasma.github.io/Logging_0484/artfynd/A 12296-2023 artfynd.xlsx", "A 12296-2023")</f>
        <v/>
      </c>
      <c r="X16">
        <f>HYPERLINK("https://klasma.github.io/Logging_0484/kartor/A 12296-2023 karta.png", "A 12296-2023")</f>
        <v/>
      </c>
      <c r="Y16">
        <f>HYPERLINK("https://klasma.github.io/Logging_0484/kartor_geotiff/A 12296-2023 georefererad karta.tif", "A 12296-2023")</f>
        <v/>
      </c>
      <c r="AA16">
        <f>HYPERLINK("https://klasma.github.io/Logging_0484/klagomål/A 12296-2023 FSC-klagomål.docx", "A 12296-2023")</f>
        <v/>
      </c>
      <c r="AB16">
        <f>HYPERLINK("https://klasma.github.io/Logging_0484/klagomålsmail/A 12296-2023 FSC-klagomål mail.docx", "A 12296-2023")</f>
        <v/>
      </c>
      <c r="AC16">
        <f>HYPERLINK("https://klasma.github.io/Logging_0484/tillsyn/A 12296-2023 tillsynsbegäran.docx", "A 12296-2023")</f>
        <v/>
      </c>
      <c r="AD16">
        <f>HYPERLINK("https://klasma.github.io/Logging_0484/tillsynsmail/A 12296-2023 tillsynsbegäran mail.docx", "A 12296-2023")</f>
        <v/>
      </c>
      <c r="AE16">
        <f>HYPERLINK("https://klasma.github.io/Logging_0484/fåglar/A 12296-2023 prioriterade fågelarter.docx", "A 12296-2023")</f>
        <v/>
      </c>
    </row>
    <row r="17" ht="15" customHeight="1">
      <c r="A17" t="inlineStr">
        <is>
          <t>A 45535-2023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45194</v>
      </c>
      <c r="E17" s="1" t="n">
        <v>46257</v>
      </c>
      <c r="F17" t="inlineStr">
        <is>
          <t>SÖDERMANLANDS LÄN</t>
        </is>
      </c>
      <c r="G17" t="inlineStr">
        <is>
          <t>ESKILSTUNA</t>
        </is>
      </c>
      <c r="I17" t="n">
        <v>5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14</v>
      </c>
      <c r="U17" t="n">
        <v>14</v>
      </c>
      <c r="V17" s="2" t="inlineStr">
        <is>
          <t>Knärot
Tallticka
Talltita
Gröngöling</t>
        </is>
      </c>
      <c r="W17">
        <f>HYPERLINK("https://klasma.github.io/Logging_0484/artfynd/A 45535-2023 artfynd.xlsx", "A 45535-2023")</f>
        <v/>
      </c>
      <c r="X17">
        <f>HYPERLINK("https://klasma.github.io/Logging_0484/kartor/A 45535-2023 karta.png", "A 45535-2023")</f>
        <v/>
      </c>
      <c r="Y17">
        <f>HYPERLINK("https://klasma.github.io/Logging_0484/kartor_geotiff/A 45535-2023 georefererad karta.tif", "A 45535-2023")</f>
        <v/>
      </c>
      <c r="Z17">
        <f>HYPERLINK("https://klasma.github.io/Logging_0484/knärot/A 45535-2023 karta knärot.png", "A 45535-2023")</f>
        <v/>
      </c>
      <c r="AA17">
        <f>HYPERLINK("https://klasma.github.io/Logging_0484/klagomål/A 45535-2023 FSC-klagomål.docx", "A 45535-2023")</f>
        <v/>
      </c>
      <c r="AB17">
        <f>HYPERLINK("https://klasma.github.io/Logging_0484/klagomålsmail/A 45535-2023 FSC-klagomål mail.docx", "A 45535-2023")</f>
        <v/>
      </c>
      <c r="AC17">
        <f>HYPERLINK("https://klasma.github.io/Logging_0484/tillsyn/A 45535-2023 tillsynsbegäran.docx", "A 45535-2023")</f>
        <v/>
      </c>
      <c r="AD17">
        <f>HYPERLINK("https://klasma.github.io/Logging_0484/tillsynsmail/A 45535-2023 tillsynsbegäran mail.docx", "A 45535-2023")</f>
        <v/>
      </c>
      <c r="AE17">
        <f>HYPERLINK("https://klasma.github.io/Logging_0484/fåglar/A 45535-2023 prioriterade fågelarter.docx", "A 45535-2023")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46257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46257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46257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46257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46257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46257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46257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9495-2025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45715</v>
      </c>
      <c r="E25" s="1" t="n">
        <v>46257</v>
      </c>
      <c r="F25" t="inlineStr">
        <is>
          <t>SÖDERMANLANDS LÄN</t>
        </is>
      </c>
      <c r="G25" t="inlineStr">
        <is>
          <t>ESKILSTUNA</t>
        </is>
      </c>
      <c r="I25" t="n">
        <v>9.6</v>
      </c>
      <c r="J25" t="n">
        <v>0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19</v>
      </c>
      <c r="U25" t="n">
        <v>0</v>
      </c>
      <c r="V25" s="2" t="inlineStr">
        <is>
          <t>Ask
Svinrot
Ängsskära</t>
        </is>
      </c>
      <c r="W25">
        <f>HYPERLINK("https://klasma.github.io/Logging_0484/artfynd/A 9495-2025 artfynd.xlsx", "A 9495-2025")</f>
        <v/>
      </c>
      <c r="X25">
        <f>HYPERLINK("https://klasma.github.io/Logging_0484/kartor/A 9495-2025 karta.png", "A 9495-2025")</f>
        <v/>
      </c>
      <c r="Y25">
        <f>HYPERLINK("https://klasma.github.io/Logging_0484/kartor_geotiff/A 9495-2025 georefererad karta.tif", "A 9495-2025")</f>
        <v/>
      </c>
      <c r="AA25">
        <f>HYPERLINK("https://klasma.github.io/Logging_0484/klagomål/A 9495-2025 FSC-klagomål.docx", "A 9495-2025")</f>
        <v/>
      </c>
      <c r="AB25">
        <f>HYPERLINK("https://klasma.github.io/Logging_0484/klagomålsmail/A 9495-2025 FSC-klagomål mail.docx", "A 9495-2025")</f>
        <v/>
      </c>
      <c r="AC25">
        <f>HYPERLINK("https://klasma.github.io/Logging_0484/tillsyn/A 9495-2025 tillsynsbegäran.docx", "A 9495-2025")</f>
        <v/>
      </c>
      <c r="AD25">
        <f>HYPERLINK("https://klasma.github.io/Logging_0484/tillsynsmail/A 9495-2025 tillsynsbegäran mail.docx", "A 9495-2025")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46257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46257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46257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46257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46257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46257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46257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46257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46257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46257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46257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46257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46257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46257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46257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19494-2024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46257</v>
      </c>
      <c r="F41" t="inlineStr">
        <is>
          <t>SÖDERMANLANDS LÄN</t>
        </is>
      </c>
      <c r="G41" t="inlineStr">
        <is>
          <t>ESKILSTUNA</t>
        </is>
      </c>
      <c r="I41" t="n">
        <v>0.7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Svart trolldruva
Blåsippa</t>
        </is>
      </c>
      <c r="W41">
        <f>HYPERLINK("https://klasma.github.io/Logging_0484/artfynd/A 19494-2024 artfynd.xlsx", "A 19494-2024")</f>
        <v/>
      </c>
      <c r="X41">
        <f>HYPERLINK("https://klasma.github.io/Logging_0484/kartor/A 19494-2024 karta.png", "A 19494-2024")</f>
        <v/>
      </c>
      <c r="Y41">
        <f>HYPERLINK("https://klasma.github.io/Logging_0484/kartor_geotiff/A 19494-2024 georefererad karta.tif", "A 19494-2024")</f>
        <v/>
      </c>
      <c r="AA41">
        <f>HYPERLINK("https://klasma.github.io/Logging_0484/klagomål/A 19494-2024 FSC-klagomål.docx", "A 19494-2024")</f>
        <v/>
      </c>
      <c r="AB41">
        <f>HYPERLINK("https://klasma.github.io/Logging_0484/klagomålsmail/A 19494-2024 FSC-klagomål mail.docx", "A 19494-2024")</f>
        <v/>
      </c>
      <c r="AC41">
        <f>HYPERLINK("https://klasma.github.io/Logging_0484/tillsyn/A 19494-2024 tillsynsbegäran.docx", "A 19494-2024")</f>
        <v/>
      </c>
      <c r="AD41">
        <f>HYPERLINK("https://klasma.github.io/Logging_0484/tillsynsmail/A 19494-2024 tillsynsbegäran mail.docx", "A 19494-2024")</f>
        <v/>
      </c>
    </row>
    <row r="42" ht="15" customHeight="1">
      <c r="A42" t="inlineStr">
        <is>
          <t>A 61105-2025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46257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Krusfrö
Tibast</t>
        </is>
      </c>
      <c r="W42">
        <f>HYPERLINK("https://klasma.github.io/Logging_0484/artfynd/A 61105-2025 artfynd.xlsx", "A 61105-2025")</f>
        <v/>
      </c>
      <c r="X42">
        <f>HYPERLINK("https://klasma.github.io/Logging_0484/kartor/A 61105-2025 karta.png", "A 61105-2025")</f>
        <v/>
      </c>
      <c r="Y42">
        <f>HYPERLINK("https://klasma.github.io/Logging_0484/kartor_geotiff/A 61105-2025 georefererad karta.tif", "A 61105-2025")</f>
        <v/>
      </c>
      <c r="AA42">
        <f>HYPERLINK("https://klasma.github.io/Logging_0484/klagomål/A 61105-2025 FSC-klagomål.docx", "A 61105-2025")</f>
        <v/>
      </c>
      <c r="AB42">
        <f>HYPERLINK("https://klasma.github.io/Logging_0484/klagomålsmail/A 61105-2025 FSC-klagomål mail.docx", "A 61105-2025")</f>
        <v/>
      </c>
      <c r="AC42">
        <f>HYPERLINK("https://klasma.github.io/Logging_0484/tillsyn/A 61105-2025 tillsynsbegäran.docx", "A 61105-2025")</f>
        <v/>
      </c>
      <c r="AD42">
        <f>HYPERLINK("https://klasma.github.io/Logging_0484/tillsynsmail/A 61105-2025 tillsynsbegäran mail.docx", "A 61105-2025")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46257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46257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46257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46257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46257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22760-2026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46257</v>
      </c>
      <c r="F49" t="inlineStr">
        <is>
          <t>SÖDERMANLANDS LÄN</t>
        </is>
      </c>
      <c r="G49" t="inlineStr">
        <is>
          <t>ESKILSTUNA</t>
        </is>
      </c>
      <c r="I49" t="n">
        <v>4.4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Jungfrulin
Solvända</t>
        </is>
      </c>
      <c r="W49">
        <f>HYPERLINK("https://klasma.github.io/Logging_0484/artfynd/A 22760-2026 artfynd.xlsx", "A 22760-2026")</f>
        <v/>
      </c>
      <c r="X49">
        <f>HYPERLINK("https://klasma.github.io/Logging_0484/kartor/A 22760-2026 karta.png", "A 22760-2026")</f>
        <v/>
      </c>
      <c r="Y49">
        <f>HYPERLINK("https://klasma.github.io/Logging_0484/kartor_geotiff/A 22760-2026 georefererad karta.tif", "A 22760-2026")</f>
        <v/>
      </c>
      <c r="AA49">
        <f>HYPERLINK("https://klasma.github.io/Logging_0484/klagomål/A 22760-2026 FSC-klagomål.docx", "A 22760-2026")</f>
        <v/>
      </c>
      <c r="AB49">
        <f>HYPERLINK("https://klasma.github.io/Logging_0484/klagomålsmail/A 22760-2026 FSC-klagomål mail.docx", "A 22760-2026")</f>
        <v/>
      </c>
      <c r="AC49">
        <f>HYPERLINK("https://klasma.github.io/Logging_0484/tillsyn/A 22760-2026 tillsynsbegäran.docx", "A 22760-2026")</f>
        <v/>
      </c>
      <c r="AD49">
        <f>HYPERLINK("https://klasma.github.io/Logging_0484/tillsynsmail/A 22760-2026 tillsynsbegäran mail.docx", "A 22760-2026")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46257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46257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46257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46257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46257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46257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46257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46257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46257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5203-2025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45691</v>
      </c>
      <c r="E59" s="1" t="n">
        <v>46257</v>
      </c>
      <c r="F59" t="inlineStr">
        <is>
          <t>SÖDERMANLANDS LÄN</t>
        </is>
      </c>
      <c r="G59" t="inlineStr">
        <is>
          <t>ESKILSTUNA</t>
        </is>
      </c>
      <c r="H59" t="inlineStr">
        <is>
          <t>Holmen skog AB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Nattskärra</t>
        </is>
      </c>
      <c r="W59">
        <f>HYPERLINK("https://klasma.github.io/Logging_0484/artfynd/A 5203-2025 artfynd.xlsx", "A 5203-2025")</f>
        <v/>
      </c>
      <c r="X59">
        <f>HYPERLINK("https://klasma.github.io/Logging_0484/kartor/A 5203-2025 karta.png", "A 5203-2025")</f>
        <v/>
      </c>
      <c r="Y59">
        <f>HYPERLINK("https://klasma.github.io/Logging_0484/kartor_geotiff/A 5203-2025 georefererad karta.tif", "A 5203-2025")</f>
        <v/>
      </c>
      <c r="AA59">
        <f>HYPERLINK("https://klasma.github.io/Logging_0484/klagomål/A 5203-2025 FSC-klagomål.docx", "A 5203-2025")</f>
        <v/>
      </c>
      <c r="AB59">
        <f>HYPERLINK("https://klasma.github.io/Logging_0484/klagomålsmail/A 5203-2025 FSC-klagomål mail.docx", "A 5203-2025")</f>
        <v/>
      </c>
      <c r="AC59">
        <f>HYPERLINK("https://klasma.github.io/Logging_0484/tillsyn/A 5203-2025 tillsynsbegäran.docx", "A 5203-2025")</f>
        <v/>
      </c>
      <c r="AD59">
        <f>HYPERLINK("https://klasma.github.io/Logging_0484/tillsynsmail/A 5203-2025 tillsynsbegäran mail.docx", "A 5203-2025")</f>
        <v/>
      </c>
      <c r="AE59">
        <f>HYPERLINK("https://klasma.github.io/Logging_0484/fåglar/A 5203-2025 prioriterade fågelarter.docx", "A 5203-2025")</f>
        <v/>
      </c>
    </row>
    <row r="60" ht="15" customHeight="1">
      <c r="A60" t="inlineStr">
        <is>
          <t>A 31056-2025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46257</v>
      </c>
      <c r="F60" t="inlineStr">
        <is>
          <t>SÖDERMANLANDS LÄN</t>
        </is>
      </c>
      <c r="G60" t="inlineStr">
        <is>
          <t>ESKILSTUNA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Skogsklocka</t>
        </is>
      </c>
      <c r="W60">
        <f>HYPERLINK("https://klasma.github.io/Logging_0484/artfynd/A 31056-2025 artfynd.xlsx", "A 31056-2025")</f>
        <v/>
      </c>
      <c r="X60">
        <f>HYPERLINK("https://klasma.github.io/Logging_0484/kartor/A 31056-2025 karta.png", "A 31056-2025")</f>
        <v/>
      </c>
      <c r="Y60">
        <f>HYPERLINK("https://klasma.github.io/Logging_0484/kartor_geotiff/A 31056-2025 georefererad karta.tif", "A 31056-2025")</f>
        <v/>
      </c>
      <c r="AA60">
        <f>HYPERLINK("https://klasma.github.io/Logging_0484/klagomål/A 31056-2025 FSC-klagomål.docx", "A 31056-2025")</f>
        <v/>
      </c>
      <c r="AB60">
        <f>HYPERLINK("https://klasma.github.io/Logging_0484/klagomålsmail/A 31056-2025 FSC-klagomål mail.docx", "A 31056-2025")</f>
        <v/>
      </c>
      <c r="AC60">
        <f>HYPERLINK("https://klasma.github.io/Logging_0484/tillsyn/A 31056-2025 tillsynsbegäran.docx", "A 31056-2025")</f>
        <v/>
      </c>
      <c r="AD60">
        <f>HYPERLINK("https://klasma.github.io/Logging_0484/tillsynsmail/A 31056-2025 tillsynsbegäran mail.docx", "A 31056-2025")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46257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14327-2023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46257</v>
      </c>
      <c r="F62" t="inlineStr">
        <is>
          <t>SÖDERMANLANDS LÄN</t>
        </is>
      </c>
      <c r="G62" t="inlineStr">
        <is>
          <t>ESKILSTUNA</t>
        </is>
      </c>
      <c r="H62" t="inlineStr">
        <is>
          <t>Kommuner</t>
        </is>
      </c>
      <c r="I62" t="n">
        <v>2.6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HYPERLINK("https://klasma.github.io/Logging_0484/artfynd/A 14327-2023 artfynd.xlsx", "A 14327-2023")</f>
        <v/>
      </c>
      <c r="X62">
        <f>HYPERLINK("https://klasma.github.io/Logging_0484/kartor/A 14327-2023 karta.png", "A 14327-2023")</f>
        <v/>
      </c>
      <c r="Y62">
        <f>HYPERLINK("https://klasma.github.io/Logging_0484/kartor_geotiff/A 14327-2023 georefererad karta.tif", "A 14327-2023")</f>
        <v/>
      </c>
      <c r="AA62">
        <f>HYPERLINK("https://klasma.github.io/Logging_0484/klagomål/A 14327-2023 FSC-klagomål.docx", "A 14327-2023")</f>
        <v/>
      </c>
      <c r="AB62">
        <f>HYPERLINK("https://klasma.github.io/Logging_0484/klagomålsmail/A 14327-2023 FSC-klagomål mail.docx", "A 14327-2023")</f>
        <v/>
      </c>
      <c r="AC62">
        <f>HYPERLINK("https://klasma.github.io/Logging_0484/tillsyn/A 14327-2023 tillsynsbegäran.docx", "A 14327-2023")</f>
        <v/>
      </c>
      <c r="AD62">
        <f>HYPERLINK("https://klasma.github.io/Logging_0484/tillsynsmail/A 14327-2023 tillsynsbegäran mail.docx", "A 14327-2023")</f>
        <v/>
      </c>
    </row>
    <row r="63" ht="15" customHeight="1">
      <c r="A63" t="inlineStr">
        <is>
          <t>A 68018-2021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46257</v>
      </c>
      <c r="F63" t="inlineStr">
        <is>
          <t>SÖDERMANLANDS LÄN</t>
        </is>
      </c>
      <c r="G63" t="inlineStr">
        <is>
          <t>ESKILSTUNA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Motaggsvamp</t>
        </is>
      </c>
      <c r="W63">
        <f>HYPERLINK("https://klasma.github.io/Logging_0484/artfynd/A 68018-2021 artfynd.xlsx", "A 68018-2021")</f>
        <v/>
      </c>
      <c r="X63">
        <f>HYPERLINK("https://klasma.github.io/Logging_0484/kartor/A 68018-2021 karta.png", "A 68018-2021")</f>
        <v/>
      </c>
      <c r="Y63">
        <f>HYPERLINK("https://klasma.github.io/Logging_0484/kartor_geotiff/A 68018-2021 georefererad karta.tif", "A 68018-2021")</f>
        <v/>
      </c>
      <c r="AA63">
        <f>HYPERLINK("https://klasma.github.io/Logging_0484/klagomål/A 68018-2021 FSC-klagomål.docx", "A 68018-2021")</f>
        <v/>
      </c>
      <c r="AB63">
        <f>HYPERLINK("https://klasma.github.io/Logging_0484/klagomålsmail/A 68018-2021 FSC-klagomål mail.docx", "A 68018-2021")</f>
        <v/>
      </c>
      <c r="AC63">
        <f>HYPERLINK("https://klasma.github.io/Logging_0484/tillsyn/A 68018-2021 tillsynsbegäran.docx", "A 68018-2021")</f>
        <v/>
      </c>
      <c r="AD63">
        <f>HYPERLINK("https://klasma.github.io/Logging_0484/tillsynsmail/A 68018-2021 tillsynsbegäran mail.docx", "A 68018-2021")</f>
        <v/>
      </c>
    </row>
    <row r="64" ht="15" customHeight="1">
      <c r="A64" t="inlineStr">
        <is>
          <t>A 59070-2022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44904</v>
      </c>
      <c r="E64" s="1" t="n">
        <v>46257</v>
      </c>
      <c r="F64" t="inlineStr">
        <is>
          <t>SÖDERMANLANDS LÄN</t>
        </is>
      </c>
      <c r="G64" t="inlineStr">
        <is>
          <t>ESKILSTUNA</t>
        </is>
      </c>
      <c r="I64" t="n">
        <v>6.6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HYPERLINK("https://klasma.github.io/Logging_0484/artfynd/A 59070-2022 artfynd.xlsx", "A 59070-2022")</f>
        <v/>
      </c>
      <c r="X64">
        <f>HYPERLINK("https://klasma.github.io/Logging_0484/kartor/A 59070-2022 karta.png", "A 59070-2022")</f>
        <v/>
      </c>
      <c r="Y64">
        <f>HYPERLINK("https://klasma.github.io/Logging_0484/kartor_geotiff/A 59070-2022 georefererad karta.tif", "A 59070-2022")</f>
        <v/>
      </c>
      <c r="AA64">
        <f>HYPERLINK("https://klasma.github.io/Logging_0484/klagomål/A 59070-2022 FSC-klagomål.docx", "A 59070-2022")</f>
        <v/>
      </c>
      <c r="AB64">
        <f>HYPERLINK("https://klasma.github.io/Logging_0484/klagomålsmail/A 59070-2022 FSC-klagomål mail.docx", "A 59070-2022")</f>
        <v/>
      </c>
      <c r="AC64">
        <f>HYPERLINK("https://klasma.github.io/Logging_0484/tillsyn/A 59070-2022 tillsynsbegäran.docx", "A 59070-2022")</f>
        <v/>
      </c>
      <c r="AD64">
        <f>HYPERLINK("https://klasma.github.io/Logging_0484/tillsynsmail/A 59070-2022 tillsynsbegäran mail.docx", "A 59070-2022")</f>
        <v/>
      </c>
    </row>
    <row r="65" ht="15" customHeight="1">
      <c r="A65" t="inlineStr">
        <is>
          <t>A 51345-2024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46257</v>
      </c>
      <c r="F65" t="inlineStr">
        <is>
          <t>SÖDERMANLANDS LÄN</t>
        </is>
      </c>
      <c r="G65" t="inlineStr">
        <is>
          <t>ESKILSTUNA</t>
        </is>
      </c>
      <c r="I65" t="n">
        <v>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HYPERLINK("https://klasma.github.io/Logging_0484/artfynd/A 51345-2024 artfynd.xlsx", "A 51345-2024")</f>
        <v/>
      </c>
      <c r="X65">
        <f>HYPERLINK("https://klasma.github.io/Logging_0484/kartor/A 51345-2024 karta.png", "A 51345-2024")</f>
        <v/>
      </c>
      <c r="Y65">
        <f>HYPERLINK("https://klasma.github.io/Logging_0484/kartor_geotiff/A 51345-2024 georefererad karta.tif", "A 51345-2024")</f>
        <v/>
      </c>
      <c r="AA65">
        <f>HYPERLINK("https://klasma.github.io/Logging_0484/klagomål/A 51345-2024 FSC-klagomål.docx", "A 51345-2024")</f>
        <v/>
      </c>
      <c r="AB65">
        <f>HYPERLINK("https://klasma.github.io/Logging_0484/klagomålsmail/A 51345-2024 FSC-klagomål mail.docx", "A 51345-2024")</f>
        <v/>
      </c>
      <c r="AC65">
        <f>HYPERLINK("https://klasma.github.io/Logging_0484/tillsyn/A 51345-2024 tillsynsbegäran.docx", "A 51345-2024")</f>
        <v/>
      </c>
      <c r="AD65">
        <f>HYPERLINK("https://klasma.github.io/Logging_0484/tillsynsmail/A 51345-2024 tillsynsbegäran mail.docx", "A 51345-2024")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46257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57349-2021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44483</v>
      </c>
      <c r="E67" s="1" t="n">
        <v>46257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Gullviva</t>
        </is>
      </c>
      <c r="W67">
        <f>HYPERLINK("https://klasma.github.io/Logging_0484/artfynd/A 57349-2021 artfynd.xlsx", "A 57349-2021")</f>
        <v/>
      </c>
      <c r="X67">
        <f>HYPERLINK("https://klasma.github.io/Logging_0484/kartor/A 57349-2021 karta.png", "A 57349-2021")</f>
        <v/>
      </c>
      <c r="Y67">
        <f>HYPERLINK("https://klasma.github.io/Logging_0484/kartor_geotiff/A 57349-2021 georefererad karta.tif", "A 57349-2021")</f>
        <v/>
      </c>
      <c r="AA67">
        <f>HYPERLINK("https://klasma.github.io/Logging_0484/klagomål/A 57349-2021 FSC-klagomål.docx", "A 57349-2021")</f>
        <v/>
      </c>
      <c r="AB67">
        <f>HYPERLINK("https://klasma.github.io/Logging_0484/klagomålsmail/A 57349-2021 FSC-klagomål mail.docx", "A 57349-2021")</f>
        <v/>
      </c>
      <c r="AC67">
        <f>HYPERLINK("https://klasma.github.io/Logging_0484/tillsyn/A 57349-2021 tillsynsbegäran.docx", "A 57349-2021")</f>
        <v/>
      </c>
      <c r="AD67">
        <f>HYPERLINK("https://klasma.github.io/Logging_0484/tillsynsmail/A 57349-2021 tillsynsbegäran mail.docx", "A 57349-2021")</f>
        <v/>
      </c>
    </row>
    <row r="68" ht="15" customHeight="1">
      <c r="A68" t="inlineStr">
        <is>
          <t>A 9645-2023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46257</v>
      </c>
      <c r="F68" t="inlineStr">
        <is>
          <t>SÖDERMANLANDS LÄN</t>
        </is>
      </c>
      <c r="G68" t="inlineStr">
        <is>
          <t>ESKILSTUNA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Skogsduva</t>
        </is>
      </c>
      <c r="W68">
        <f>HYPERLINK("https://klasma.github.io/Logging_0484/artfynd/A 9645-2023 artfynd.xlsx", "A 9645-2023")</f>
        <v/>
      </c>
      <c r="X68">
        <f>HYPERLINK("https://klasma.github.io/Logging_0484/kartor/A 9645-2023 karta.png", "A 9645-2023")</f>
        <v/>
      </c>
      <c r="Y68">
        <f>HYPERLINK("https://klasma.github.io/Logging_0484/kartor_geotiff/A 9645-2023 georefererad karta.tif", "A 9645-2023")</f>
        <v/>
      </c>
      <c r="AA68">
        <f>HYPERLINK("https://klasma.github.io/Logging_0484/klagomål/A 9645-2023 FSC-klagomål.docx", "A 9645-2023")</f>
        <v/>
      </c>
      <c r="AB68">
        <f>HYPERLINK("https://klasma.github.io/Logging_0484/klagomålsmail/A 9645-2023 FSC-klagomål mail.docx", "A 9645-2023")</f>
        <v/>
      </c>
      <c r="AC68">
        <f>HYPERLINK("https://klasma.github.io/Logging_0484/tillsyn/A 9645-2023 tillsynsbegäran.docx", "A 9645-2023")</f>
        <v/>
      </c>
      <c r="AD68">
        <f>HYPERLINK("https://klasma.github.io/Logging_0484/tillsynsmail/A 9645-2023 tillsynsbegäran mail.docx", "A 9645-2023")</f>
        <v/>
      </c>
    </row>
    <row r="69" ht="15" customHeight="1">
      <c r="A69" t="inlineStr">
        <is>
          <t>A 50760-2023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46257</v>
      </c>
      <c r="F69" t="inlineStr">
        <is>
          <t>SÖDERMANLANDS LÄN</t>
        </is>
      </c>
      <c r="G69" t="inlineStr">
        <is>
          <t>ESKILSTUNA</t>
        </is>
      </c>
      <c r="I69" t="n">
        <v>4.1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Pärluggla</t>
        </is>
      </c>
      <c r="W69">
        <f>HYPERLINK("https://klasma.github.io/Logging_0484/artfynd/A 50760-2023 artfynd.xlsx", "A 50760-2023")</f>
        <v/>
      </c>
      <c r="X69">
        <f>HYPERLINK("https://klasma.github.io/Logging_0484/kartor/A 50760-2023 karta.png", "A 50760-2023")</f>
        <v/>
      </c>
      <c r="Y69">
        <f>HYPERLINK("https://klasma.github.io/Logging_0484/kartor_geotiff/A 50760-2023 georefererad karta.tif", "A 50760-2023")</f>
        <v/>
      </c>
      <c r="AA69">
        <f>HYPERLINK("https://klasma.github.io/Logging_0484/klagomål/A 50760-2023 FSC-klagomål.docx", "A 50760-2023")</f>
        <v/>
      </c>
      <c r="AB69">
        <f>HYPERLINK("https://klasma.github.io/Logging_0484/klagomålsmail/A 50760-2023 FSC-klagomål mail.docx", "A 50760-2023")</f>
        <v/>
      </c>
      <c r="AC69">
        <f>HYPERLINK("https://klasma.github.io/Logging_0484/tillsyn/A 50760-2023 tillsynsbegäran.docx", "A 50760-2023")</f>
        <v/>
      </c>
      <c r="AD69">
        <f>HYPERLINK("https://klasma.github.io/Logging_0484/tillsynsmail/A 50760-2023 tillsynsbegäran mail.docx", "A 50760-2023")</f>
        <v/>
      </c>
      <c r="AE69">
        <f>HYPERLINK("https://klasma.github.io/Logging_0484/fåglar/A 50760-2023 prioriterade fågelarter.docx", "A 50760-2023")</f>
        <v/>
      </c>
    </row>
    <row r="70" ht="15" customHeight="1">
      <c r="A70" t="inlineStr">
        <is>
          <t>A 55087-2022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46257</v>
      </c>
      <c r="F70" t="inlineStr">
        <is>
          <t>SÖDERMANLANDS LÄN</t>
        </is>
      </c>
      <c r="G70" t="inlineStr">
        <is>
          <t>ESKILSTUNA</t>
        </is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HYPERLINK("https://klasma.github.io/Logging_0484/artfynd/A 55087-2022 artfynd.xlsx", "A 55087-2022")</f>
        <v/>
      </c>
      <c r="X70">
        <f>HYPERLINK("https://klasma.github.io/Logging_0484/kartor/A 55087-2022 karta.png", "A 55087-2022")</f>
        <v/>
      </c>
      <c r="Y70">
        <f>HYPERLINK("https://klasma.github.io/Logging_0484/kartor_geotiff/A 55087-2022 georefererad karta.tif", "A 55087-2022")</f>
        <v/>
      </c>
      <c r="AA70">
        <f>HYPERLINK("https://klasma.github.io/Logging_0484/klagomål/A 55087-2022 FSC-klagomål.docx", "A 55087-2022")</f>
        <v/>
      </c>
      <c r="AB70">
        <f>HYPERLINK("https://klasma.github.io/Logging_0484/klagomålsmail/A 55087-2022 FSC-klagomål mail.docx", "A 55087-2022")</f>
        <v/>
      </c>
      <c r="AC70">
        <f>HYPERLINK("https://klasma.github.io/Logging_0484/tillsyn/A 55087-2022 tillsynsbegäran.docx", "A 55087-2022")</f>
        <v/>
      </c>
      <c r="AD70">
        <f>HYPERLINK("https://klasma.github.io/Logging_0484/tillsynsmail/A 55087-2022 tillsynsbegäran mail.docx", "A 55087-2022")</f>
        <v/>
      </c>
      <c r="AE70">
        <f>HYPERLINK("https://klasma.github.io/Logging_0484/fåglar/A 55087-2022 prioriterade fågelarter.docx", "A 55087-2022")</f>
        <v/>
      </c>
    </row>
    <row r="71" ht="15" customHeight="1">
      <c r="A71" t="inlineStr">
        <is>
          <t>A 71976-2021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46257</v>
      </c>
      <c r="F71" t="inlineStr">
        <is>
          <t>SÖDERMANLANDS LÄN</t>
        </is>
      </c>
      <c r="G71" t="inlineStr">
        <is>
          <t>ESKILSTUNA</t>
        </is>
      </c>
      <c r="I71" t="n">
        <v>19.6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Jungfrulin</t>
        </is>
      </c>
      <c r="W71">
        <f>HYPERLINK("https://klasma.github.io/Logging_0484/artfynd/A 71976-2021 artfynd.xlsx", "A 71976-2021")</f>
        <v/>
      </c>
      <c r="X71">
        <f>HYPERLINK("https://klasma.github.io/Logging_0484/kartor/A 71976-2021 karta.png", "A 71976-2021")</f>
        <v/>
      </c>
      <c r="Y71">
        <f>HYPERLINK("https://klasma.github.io/Logging_0484/kartor_geotiff/A 71976-2021 georefererad karta.tif", "A 71976-2021")</f>
        <v/>
      </c>
      <c r="AA71">
        <f>HYPERLINK("https://klasma.github.io/Logging_0484/klagomål/A 71976-2021 FSC-klagomål.docx", "A 71976-2021")</f>
        <v/>
      </c>
      <c r="AB71">
        <f>HYPERLINK("https://klasma.github.io/Logging_0484/klagomålsmail/A 71976-2021 FSC-klagomål mail.docx", "A 71976-2021")</f>
        <v/>
      </c>
      <c r="AC71">
        <f>HYPERLINK("https://klasma.github.io/Logging_0484/tillsyn/A 71976-2021 tillsynsbegäran.docx", "A 71976-2021")</f>
        <v/>
      </c>
      <c r="AD71">
        <f>HYPERLINK("https://klasma.github.io/Logging_0484/tillsynsmail/A 71976-2021 tillsynsbegäran mail.docx", "A 71976-2021")</f>
        <v/>
      </c>
    </row>
    <row r="72" ht="15" customHeight="1">
      <c r="A72" t="inlineStr">
        <is>
          <t>A 36216-2025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46257</v>
      </c>
      <c r="F72" t="inlineStr">
        <is>
          <t>SÖDERMANLANDS LÄN</t>
        </is>
      </c>
      <c r="G72" t="inlineStr">
        <is>
          <t>ESKILSTUNA</t>
        </is>
      </c>
      <c r="I72" t="n">
        <v>18.7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Blomkålssvamp</t>
        </is>
      </c>
      <c r="W72">
        <f>HYPERLINK("https://klasma.github.io/Logging_0484/artfynd/A 36216-2025 artfynd.xlsx", "A 36216-2025")</f>
        <v/>
      </c>
      <c r="X72">
        <f>HYPERLINK("https://klasma.github.io/Logging_0484/kartor/A 36216-2025 karta.png", "A 36216-2025")</f>
        <v/>
      </c>
      <c r="Y72">
        <f>HYPERLINK("https://klasma.github.io/Logging_0484/kartor_geotiff/A 36216-2025 georefererad karta.tif", "A 36216-2025")</f>
        <v/>
      </c>
      <c r="AA72">
        <f>HYPERLINK("https://klasma.github.io/Logging_0484/klagomål/A 36216-2025 FSC-klagomål.docx", "A 36216-2025")</f>
        <v/>
      </c>
      <c r="AB72">
        <f>HYPERLINK("https://klasma.github.io/Logging_0484/klagomålsmail/A 36216-2025 FSC-klagomål mail.docx", "A 36216-2025")</f>
        <v/>
      </c>
      <c r="AC72">
        <f>HYPERLINK("https://klasma.github.io/Logging_0484/tillsyn/A 36216-2025 tillsynsbegäran.docx", "A 36216-2025")</f>
        <v/>
      </c>
      <c r="AD72">
        <f>HYPERLINK("https://klasma.github.io/Logging_0484/tillsynsmail/A 36216-2025 tillsynsbegäran mail.docx", "A 36216-2025")</f>
        <v/>
      </c>
    </row>
    <row r="73" ht="15" customHeight="1">
      <c r="A73" t="inlineStr">
        <is>
          <t>A 26148-2022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46257</v>
      </c>
      <c r="F73" t="inlineStr">
        <is>
          <t>SÖDERMANLANDS LÄN</t>
        </is>
      </c>
      <c r="G73" t="inlineStr">
        <is>
          <t>ESKILSTUNA</t>
        </is>
      </c>
      <c r="I73" t="n">
        <v>3.3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26148-2022 artfynd.xlsx", "A 26148-2022")</f>
        <v/>
      </c>
      <c r="X73">
        <f>HYPERLINK("https://klasma.github.io/Logging_0484/kartor/A 26148-2022 karta.png", "A 26148-2022")</f>
        <v/>
      </c>
      <c r="Y73">
        <f>HYPERLINK("https://klasma.github.io/Logging_0484/kartor_geotiff/A 26148-2022 georefererad karta.tif", "A 26148-2022")</f>
        <v/>
      </c>
      <c r="AA73">
        <f>HYPERLINK("https://klasma.github.io/Logging_0484/klagomål/A 26148-2022 FSC-klagomål.docx", "A 26148-2022")</f>
        <v/>
      </c>
      <c r="AB73">
        <f>HYPERLINK("https://klasma.github.io/Logging_0484/klagomålsmail/A 26148-2022 FSC-klagomål mail.docx", "A 26148-2022")</f>
        <v/>
      </c>
      <c r="AC73">
        <f>HYPERLINK("https://klasma.github.io/Logging_0484/tillsyn/A 26148-2022 tillsynsbegäran.docx", "A 26148-2022")</f>
        <v/>
      </c>
      <c r="AD73">
        <f>HYPERLINK("https://klasma.github.io/Logging_0484/tillsynsmail/A 26148-2022 tillsynsbegäran mail.docx", "A 26148-2022")</f>
        <v/>
      </c>
      <c r="AE73">
        <f>HYPERLINK("https://klasma.github.io/Logging_0484/fåglar/A 26148-2022 prioriterade fågelarter.docx", "A 26148-2022")</f>
        <v/>
      </c>
    </row>
    <row r="74" ht="15" customHeight="1">
      <c r="A74" t="inlineStr">
        <is>
          <t>A 29647-2023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45107</v>
      </c>
      <c r="E74" s="1" t="n">
        <v>46257</v>
      </c>
      <c r="F74" t="inlineStr">
        <is>
          <t>SÖDERMANLANDS LÄN</t>
        </is>
      </c>
      <c r="G74" t="inlineStr">
        <is>
          <t>ESKILSTUNA</t>
        </is>
      </c>
      <c r="H74" t="inlineStr">
        <is>
          <t>Allmännings- och besparingsskogar</t>
        </is>
      </c>
      <c r="I74" t="n">
        <v>0.9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Rödvingetrast</t>
        </is>
      </c>
      <c r="W74">
        <f>HYPERLINK("https://klasma.github.io/Logging_0484/artfynd/A 29647-2023 artfynd.xlsx", "A 29647-2023")</f>
        <v/>
      </c>
      <c r="X74">
        <f>HYPERLINK("https://klasma.github.io/Logging_0484/kartor/A 29647-2023 karta.png", "A 29647-2023")</f>
        <v/>
      </c>
      <c r="Y74">
        <f>HYPERLINK("https://klasma.github.io/Logging_0484/kartor_geotiff/A 29647-2023 georefererad karta.tif", "A 29647-2023")</f>
        <v/>
      </c>
      <c r="AA74">
        <f>HYPERLINK("https://klasma.github.io/Logging_0484/klagomål/A 29647-2023 FSC-klagomål.docx", "A 29647-2023")</f>
        <v/>
      </c>
      <c r="AB74">
        <f>HYPERLINK("https://klasma.github.io/Logging_0484/klagomålsmail/A 29647-2023 FSC-klagomål mail.docx", "A 29647-2023")</f>
        <v/>
      </c>
      <c r="AC74">
        <f>HYPERLINK("https://klasma.github.io/Logging_0484/tillsyn/A 29647-2023 tillsynsbegäran.docx", "A 29647-2023")</f>
        <v/>
      </c>
      <c r="AD74">
        <f>HYPERLINK("https://klasma.github.io/Logging_0484/tillsynsmail/A 29647-2023 tillsynsbegäran mail.docx", "A 29647-2023")</f>
        <v/>
      </c>
      <c r="AE74">
        <f>HYPERLINK("https://klasma.github.io/Logging_0484/fåglar/A 29647-2023 prioriterade fågelarter.docx", "A 29647-2023")</f>
        <v/>
      </c>
    </row>
    <row r="75" ht="15" customHeight="1">
      <c r="A75" t="inlineStr">
        <is>
          <t>A 48676-2021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46257</v>
      </c>
      <c r="F75" t="inlineStr">
        <is>
          <t>SÖDERMANLANDS LÄN</t>
        </is>
      </c>
      <c r="G75" t="inlineStr">
        <is>
          <t>ESKILSTUNA</t>
        </is>
      </c>
      <c r="I75" t="n">
        <v>8.4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Bronshjon</t>
        </is>
      </c>
      <c r="W75">
        <f>HYPERLINK("https://klasma.github.io/Logging_0484/artfynd/A 48676-2021 artfynd.xlsx", "A 48676-2021")</f>
        <v/>
      </c>
      <c r="X75">
        <f>HYPERLINK("https://klasma.github.io/Logging_0484/kartor/A 48676-2021 karta.png", "A 48676-2021")</f>
        <v/>
      </c>
      <c r="Y75">
        <f>HYPERLINK("https://klasma.github.io/Logging_0484/kartor_geotiff/A 48676-2021 georefererad karta.tif", "A 48676-2021")</f>
        <v/>
      </c>
      <c r="AA75">
        <f>HYPERLINK("https://klasma.github.io/Logging_0484/klagomål/A 48676-2021 FSC-klagomål.docx", "A 48676-2021")</f>
        <v/>
      </c>
      <c r="AB75">
        <f>HYPERLINK("https://klasma.github.io/Logging_0484/klagomålsmail/A 48676-2021 FSC-klagomål mail.docx", "A 48676-2021")</f>
        <v/>
      </c>
      <c r="AC75">
        <f>HYPERLINK("https://klasma.github.io/Logging_0484/tillsyn/A 48676-2021 tillsynsbegäran.docx", "A 48676-2021")</f>
        <v/>
      </c>
      <c r="AD75">
        <f>HYPERLINK("https://klasma.github.io/Logging_0484/tillsynsmail/A 48676-2021 tillsynsbegäran mail.docx", "A 48676-2021")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46257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38361-2024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45545</v>
      </c>
      <c r="E77" s="1" t="n">
        <v>46257</v>
      </c>
      <c r="F77" t="inlineStr">
        <is>
          <t>SÖDERMANLANDS LÄN</t>
        </is>
      </c>
      <c r="G77" t="inlineStr">
        <is>
          <t>ESKILSTUNA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HYPERLINK("https://klasma.github.io/Logging_0484/artfynd/A 38361-2024 artfynd.xlsx", "A 38361-2024")</f>
        <v/>
      </c>
      <c r="X77">
        <f>HYPERLINK("https://klasma.github.io/Logging_0484/kartor/A 38361-2024 karta.png", "A 38361-2024")</f>
        <v/>
      </c>
      <c r="Y77">
        <f>HYPERLINK("https://klasma.github.io/Logging_0484/kartor_geotiff/A 38361-2024 georefererad karta.tif", "A 38361-2024")</f>
        <v/>
      </c>
      <c r="AA77">
        <f>HYPERLINK("https://klasma.github.io/Logging_0484/klagomål/A 38361-2024 FSC-klagomål.docx", "A 38361-2024")</f>
        <v/>
      </c>
      <c r="AB77">
        <f>HYPERLINK("https://klasma.github.io/Logging_0484/klagomålsmail/A 38361-2024 FSC-klagomål mail.docx", "A 38361-2024")</f>
        <v/>
      </c>
      <c r="AC77">
        <f>HYPERLINK("https://klasma.github.io/Logging_0484/tillsyn/A 38361-2024 tillsynsbegäran.docx", "A 38361-2024")</f>
        <v/>
      </c>
      <c r="AD77">
        <f>HYPERLINK("https://klasma.github.io/Logging_0484/tillsynsmail/A 38361-2024 tillsynsbegäran mail.docx", "A 38361-2024")</f>
        <v/>
      </c>
      <c r="AE77">
        <f>HYPERLINK("https://klasma.github.io/Logging_0484/fåglar/A 38361-2024 prioriterade fågelarter.docx", "A 38361-2024")</f>
        <v/>
      </c>
    </row>
    <row r="78" ht="15" customHeight="1">
      <c r="A78" t="inlineStr">
        <is>
          <t>A 26097-2026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46257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Svinrot</t>
        </is>
      </c>
      <c r="W78">
        <f>HYPERLINK("https://klasma.github.io/Logging_0484/artfynd/A 26097-2026 artfynd.xlsx", "A 26097-2026")</f>
        <v/>
      </c>
      <c r="X78">
        <f>HYPERLINK("https://klasma.github.io/Logging_0484/kartor/A 26097-2026 karta.png", "A 26097-2026")</f>
        <v/>
      </c>
      <c r="Y78">
        <f>HYPERLINK("https://klasma.github.io/Logging_0484/kartor_geotiff/A 26097-2026 georefererad karta.tif", "A 26097-2026")</f>
        <v/>
      </c>
      <c r="AA78">
        <f>HYPERLINK("https://klasma.github.io/Logging_0484/klagomål/A 26097-2026 FSC-klagomål.docx", "A 26097-2026")</f>
        <v/>
      </c>
      <c r="AB78">
        <f>HYPERLINK("https://klasma.github.io/Logging_0484/klagomålsmail/A 26097-2026 FSC-klagomål mail.docx", "A 26097-2026")</f>
        <v/>
      </c>
      <c r="AC78">
        <f>HYPERLINK("https://klasma.github.io/Logging_0484/tillsyn/A 26097-2026 tillsynsbegäran.docx", "A 26097-2026")</f>
        <v/>
      </c>
      <c r="AD78">
        <f>HYPERLINK("https://klasma.github.io/Logging_0484/tillsynsmail/A 26097-2026 tillsynsbegäran mail.docx", "A 26097-2026")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46257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t="n">
        <v>0</v>
      </c>
      <c r="V79" s="2" t="inlineStr">
        <is>
          <t>Svart trolldruva</t>
        </is>
      </c>
      <c r="W79">
        <f>HYPERLINK("https://klasma.github.io/Logging_0484/artfynd/A 26008-2026 artfynd.xlsx", "A 26008-2026")</f>
        <v/>
      </c>
      <c r="X79">
        <f>HYPERLINK("https://klasma.github.io/Logging_0484/kartor/A 26008-2026 karta.png", "A 26008-2026")</f>
        <v/>
      </c>
      <c r="Y79">
        <f>HYPERLINK("https://klasma.github.io/Logging_0484/kartor_geotiff/A 26008-2026 georefererad karta.tif", "A 26008-2026")</f>
        <v/>
      </c>
      <c r="AA79">
        <f>HYPERLINK("https://klasma.github.io/Logging_0484/klagomål/A 26008-2026 FSC-klagomål.docx", "A 26008-2026")</f>
        <v/>
      </c>
      <c r="AB79">
        <f>HYPERLINK("https://klasma.github.io/Logging_0484/klagomålsmail/A 26008-2026 FSC-klagomål mail.docx", "A 26008-2026")</f>
        <v/>
      </c>
      <c r="AC79">
        <f>HYPERLINK("https://klasma.github.io/Logging_0484/tillsyn/A 26008-2026 tillsynsbegäran.docx", "A 26008-2026")</f>
        <v/>
      </c>
      <c r="AD79">
        <f>HYPERLINK("https://klasma.github.io/Logging_0484/tillsynsmail/A 26008-2026 tillsynsbegäran mail.docx", "A 26008-2026")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46257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HYPERLINK("https://klasma.github.io/Logging_0484/artfynd/A 26094-2026 artfynd.xlsx", "A 26094-2026")</f>
        <v/>
      </c>
      <c r="X80">
        <f>HYPERLINK("https://klasma.github.io/Logging_0484/kartor/A 26094-2026 karta.png", "A 26094-2026")</f>
        <v/>
      </c>
      <c r="Y80">
        <f>HYPERLINK("https://klasma.github.io/Logging_0484/kartor_geotiff/A 26094-2026 georefererad karta.tif", "A 26094-2026")</f>
        <v/>
      </c>
      <c r="AA80">
        <f>HYPERLINK("https://klasma.github.io/Logging_0484/klagomål/A 26094-2026 FSC-klagomål.docx", "A 26094-2026")</f>
        <v/>
      </c>
      <c r="AB80">
        <f>HYPERLINK("https://klasma.github.io/Logging_0484/klagomålsmail/A 26094-2026 FSC-klagomål mail.docx", "A 26094-2026")</f>
        <v/>
      </c>
      <c r="AC80">
        <f>HYPERLINK("https://klasma.github.io/Logging_0484/tillsyn/A 26094-2026 tillsynsbegäran.docx", "A 26094-2026")</f>
        <v/>
      </c>
      <c r="AD80">
        <f>HYPERLINK("https://klasma.github.io/Logging_0484/tillsynsmail/A 26094-2026 tillsynsbegäran mail.docx", "A 26094-2026")</f>
        <v/>
      </c>
      <c r="AE80">
        <f>HYPERLINK("https://klasma.github.io/Logging_0484/fåglar/A 26094-2026 prioriterade fågelarter.docx", "A 26094-2026")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46257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46257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15608-2026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46257</v>
      </c>
      <c r="F83" t="inlineStr">
        <is>
          <t>SÖDERMANLANDS LÄN</t>
        </is>
      </c>
      <c r="G83" t="inlineStr">
        <is>
          <t>ESKILSTUNA</t>
        </is>
      </c>
      <c r="I83" t="n">
        <v>9.6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Igelkott</t>
        </is>
      </c>
      <c r="W83">
        <f>HYPERLINK("https://klasma.github.io/Logging_0484/artfynd/A 15608-2026 artfynd.xlsx", "A 15608-2026")</f>
        <v/>
      </c>
      <c r="X83">
        <f>HYPERLINK("https://klasma.github.io/Logging_0484/kartor/A 15608-2026 karta.png", "A 15608-2026")</f>
        <v/>
      </c>
      <c r="Y83">
        <f>HYPERLINK("https://klasma.github.io/Logging_0484/kartor_geotiff/A 15608-2026 georefererad karta.tif", "A 15608-2026")</f>
        <v/>
      </c>
      <c r="AA83">
        <f>HYPERLINK("https://klasma.github.io/Logging_0484/klagomål/A 15608-2026 FSC-klagomål.docx", "A 15608-2026")</f>
        <v/>
      </c>
      <c r="AB83">
        <f>HYPERLINK("https://klasma.github.io/Logging_0484/klagomålsmail/A 15608-2026 FSC-klagomål mail.docx", "A 15608-2026")</f>
        <v/>
      </c>
      <c r="AC83">
        <f>HYPERLINK("https://klasma.github.io/Logging_0484/tillsyn/A 15608-2026 tillsynsbegäran.docx", "A 15608-2026")</f>
        <v/>
      </c>
      <c r="AD83">
        <f>HYPERLINK("https://klasma.github.io/Logging_0484/tillsynsmail/A 15608-2026 tillsynsbegäran mail.docx", "A 15608-2026")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46257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29047-2026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46199</v>
      </c>
      <c r="E85" s="1" t="n">
        <v>46257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Kandelabersvamp</t>
        </is>
      </c>
      <c r="W85">
        <f>HYPERLINK("https://klasma.github.io/Logging_0484/artfynd/A 29047-2026 artfynd.xlsx", "A 29047-2026")</f>
        <v/>
      </c>
      <c r="X85">
        <f>HYPERLINK("https://klasma.github.io/Logging_0484/kartor/A 29047-2026 karta.png", "A 29047-2026")</f>
        <v/>
      </c>
      <c r="Y85">
        <f>HYPERLINK("https://klasma.github.io/Logging_0484/kartor_geotiff/A 29047-2026 georefererad karta.tif", "A 29047-2026")</f>
        <v/>
      </c>
      <c r="AA85">
        <f>HYPERLINK("https://klasma.github.io/Logging_0484/klagomål/A 29047-2026 FSC-klagomål.docx", "A 29047-2026")</f>
        <v/>
      </c>
      <c r="AB85">
        <f>HYPERLINK("https://klasma.github.io/Logging_0484/klagomålsmail/A 29047-2026 FSC-klagomål mail.docx", "A 29047-2026")</f>
        <v/>
      </c>
      <c r="AC85">
        <f>HYPERLINK("https://klasma.github.io/Logging_0484/tillsyn/A 29047-2026 tillsynsbegäran.docx", "A 29047-2026")</f>
        <v/>
      </c>
      <c r="AD85">
        <f>HYPERLINK("https://klasma.github.io/Logging_0484/tillsynsmail/A 29047-2026 tillsynsbegäran mail.docx", "A 29047-2026")</f>
        <v/>
      </c>
    </row>
    <row r="86" ht="15" customHeight="1">
      <c r="A86" t="inlineStr">
        <is>
          <t>A 33004-2026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46257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Kommuner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33004-2026 artfynd.xlsx", "A 33004-2026")</f>
        <v/>
      </c>
      <c r="X86">
        <f>HYPERLINK("https://klasma.github.io/Logging_0484/kartor/A 33004-2026 karta.png", "A 33004-2026")</f>
        <v/>
      </c>
      <c r="Y86">
        <f>HYPERLINK("https://klasma.github.io/Logging_0484/kartor_geotiff/A 33004-2026 georefererad karta.tif", "A 33004-2026")</f>
        <v/>
      </c>
      <c r="AA86">
        <f>HYPERLINK("https://klasma.github.io/Logging_0484/klagomål/A 33004-2026 FSC-klagomål.docx", "A 33004-2026")</f>
        <v/>
      </c>
      <c r="AB86">
        <f>HYPERLINK("https://klasma.github.io/Logging_0484/klagomålsmail/A 33004-2026 FSC-klagomål mail.docx", "A 33004-2026")</f>
        <v/>
      </c>
      <c r="AC86">
        <f>HYPERLINK("https://klasma.github.io/Logging_0484/tillsyn/A 33004-2026 tillsynsbegäran.docx", "A 33004-2026")</f>
        <v/>
      </c>
      <c r="AD86">
        <f>HYPERLINK("https://klasma.github.io/Logging_0484/tillsynsmail/A 33004-2026 tillsynsbegäran mail.docx", "A 33004-2026")</f>
        <v/>
      </c>
    </row>
    <row r="87" ht="15" customHeight="1">
      <c r="A87" t="inlineStr">
        <is>
          <t>A 53399-2023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46257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Grönvit nattviol</t>
        </is>
      </c>
      <c r="W87">
        <f>HYPERLINK("https://klasma.github.io/Logging_0484/artfynd/A 53399-2023 artfynd.xlsx", "A 53399-2023")</f>
        <v/>
      </c>
      <c r="X87">
        <f>HYPERLINK("https://klasma.github.io/Logging_0484/kartor/A 53399-2023 karta.png", "A 53399-2023")</f>
        <v/>
      </c>
      <c r="Y87">
        <f>HYPERLINK("https://klasma.github.io/Logging_0484/kartor_geotiff/A 53399-2023 georefererad karta.tif", "A 53399-2023")</f>
        <v/>
      </c>
      <c r="AA87">
        <f>HYPERLINK("https://klasma.github.io/Logging_0484/klagomål/A 53399-2023 FSC-klagomål.docx", "A 53399-2023")</f>
        <v/>
      </c>
      <c r="AB87">
        <f>HYPERLINK("https://klasma.github.io/Logging_0484/klagomålsmail/A 53399-2023 FSC-klagomål mail.docx", "A 53399-2023")</f>
        <v/>
      </c>
      <c r="AC87">
        <f>HYPERLINK("https://klasma.github.io/Logging_0484/tillsyn/A 53399-2023 tillsynsbegäran.docx", "A 53399-2023")</f>
        <v/>
      </c>
      <c r="AD87">
        <f>HYPERLINK("https://klasma.github.io/Logging_0484/tillsynsmail/A 53399-2023 tillsynsbegäran mail.docx", "A 53399-2023")</f>
        <v/>
      </c>
    </row>
    <row r="88" ht="15" customHeight="1">
      <c r="A88" t="inlineStr">
        <is>
          <t>A 43547-2022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44834</v>
      </c>
      <c r="E88" s="1" t="n">
        <v>46257</v>
      </c>
      <c r="F88" t="inlineStr">
        <is>
          <t>SÖDERMANLANDS LÄN</t>
        </is>
      </c>
      <c r="G88" t="inlineStr">
        <is>
          <t>ESKILSTUNA</t>
        </is>
      </c>
      <c r="I88" t="n">
        <v>3.2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HYPERLINK("https://klasma.github.io/Logging_0484/artfynd/A 43547-2022 artfynd.xlsx", "A 43547-2022")</f>
        <v/>
      </c>
      <c r="X88">
        <f>HYPERLINK("https://klasma.github.io/Logging_0484/kartor/A 43547-2022 karta.png", "A 43547-2022")</f>
        <v/>
      </c>
      <c r="Y88">
        <f>HYPERLINK("https://klasma.github.io/Logging_0484/kartor_geotiff/A 43547-2022 georefererad karta.tif", "A 43547-2022")</f>
        <v/>
      </c>
      <c r="Z88">
        <f>HYPERLINK("https://klasma.github.io/Logging_0484/knärot/A 43547-2022 karta knärot.png", "A 43547-2022")</f>
        <v/>
      </c>
      <c r="AA88">
        <f>HYPERLINK("https://klasma.github.io/Logging_0484/klagomål/A 43547-2022 FSC-klagomål.docx", "A 43547-2022")</f>
        <v/>
      </c>
      <c r="AB88">
        <f>HYPERLINK("https://klasma.github.io/Logging_0484/klagomålsmail/A 43547-2022 FSC-klagomål mail.docx", "A 43547-2022")</f>
        <v/>
      </c>
      <c r="AC88">
        <f>HYPERLINK("https://klasma.github.io/Logging_0484/tillsyn/A 43547-2022 tillsynsbegäran.docx", "A 43547-2022")</f>
        <v/>
      </c>
      <c r="AD88">
        <f>HYPERLINK("https://klasma.github.io/Logging_0484/tillsynsmail/A 43547-2022 tillsynsbegäran mail.docx", "A 43547-2022")</f>
        <v/>
      </c>
    </row>
    <row r="89" ht="15" customHeight="1">
      <c r="A89" t="inlineStr">
        <is>
          <t>A 12984-2024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46257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6.4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HYPERLINK("https://klasma.github.io/Logging_0484/artfynd/A 12984-2024 artfynd.xlsx", "A 12984-2024")</f>
        <v/>
      </c>
      <c r="X89">
        <f>HYPERLINK("https://klasma.github.io/Logging_0484/kartor/A 12984-2024 karta.png", "A 12984-2024")</f>
        <v/>
      </c>
      <c r="Y89">
        <f>HYPERLINK("https://klasma.github.io/Logging_0484/kartor_geotiff/A 12984-2024 georefererad karta.tif", "A 12984-2024")</f>
        <v/>
      </c>
      <c r="AA89">
        <f>HYPERLINK("https://klasma.github.io/Logging_0484/klagomål/A 12984-2024 FSC-klagomål.docx", "A 12984-2024")</f>
        <v/>
      </c>
      <c r="AB89">
        <f>HYPERLINK("https://klasma.github.io/Logging_0484/klagomålsmail/A 12984-2024 FSC-klagomål mail.docx", "A 12984-2024")</f>
        <v/>
      </c>
      <c r="AC89">
        <f>HYPERLINK("https://klasma.github.io/Logging_0484/tillsyn/A 12984-2024 tillsynsbegäran.docx", "A 12984-2024")</f>
        <v/>
      </c>
      <c r="AD89">
        <f>HYPERLINK("https://klasma.github.io/Logging_0484/tillsynsmail/A 12984-2024 tillsynsbegäran mail.docx", "A 12984-2024")</f>
        <v/>
      </c>
    </row>
    <row r="90" ht="15" customHeight="1">
      <c r="A90" t="inlineStr">
        <is>
          <t>A 30975-2023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46257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Bombmurkla</t>
        </is>
      </c>
      <c r="W90">
        <f>HYPERLINK("https://klasma.github.io/Logging_0484/artfynd/A 30975-2023 artfynd.xlsx", "A 30975-2023")</f>
        <v/>
      </c>
      <c r="X90">
        <f>HYPERLINK("https://klasma.github.io/Logging_0484/kartor/A 30975-2023 karta.png", "A 30975-2023")</f>
        <v/>
      </c>
      <c r="Y90">
        <f>HYPERLINK("https://klasma.github.io/Logging_0484/kartor_geotiff/A 30975-2023 georefererad karta.tif", "A 30975-2023")</f>
        <v/>
      </c>
      <c r="AA90">
        <f>HYPERLINK("https://klasma.github.io/Logging_0484/klagomål/A 30975-2023 FSC-klagomål.docx", "A 30975-2023")</f>
        <v/>
      </c>
      <c r="AB90">
        <f>HYPERLINK("https://klasma.github.io/Logging_0484/klagomålsmail/A 30975-2023 FSC-klagomål mail.docx", "A 30975-2023")</f>
        <v/>
      </c>
      <c r="AC90">
        <f>HYPERLINK("https://klasma.github.io/Logging_0484/tillsyn/A 30975-2023 tillsynsbegäran.docx", "A 30975-2023")</f>
        <v/>
      </c>
      <c r="AD90">
        <f>HYPERLINK("https://klasma.github.io/Logging_0484/tillsynsmail/A 30975-2023 tillsynsbegäran mail.docx", "A 30975-2023")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46257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46257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46257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46257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46257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46257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46257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46257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46257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46257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46257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46257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46257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46257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46257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46257</v>
      </c>
      <c r="F106" t="inlineStr">
        <is>
          <t>SÖDERMANLANDS LÄN</t>
        </is>
      </c>
      <c r="G106" t="inlineStr">
        <is>
          <t>ESKILSTUNA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44432</v>
      </c>
      <c r="E107" s="1" t="n">
        <v>46257</v>
      </c>
      <c r="F107" t="inlineStr">
        <is>
          <t>SÖDERMANLANDS LÄN</t>
        </is>
      </c>
      <c r="G107" t="inlineStr">
        <is>
          <t>ESKILSTUNA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46257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46257</v>
      </c>
      <c r="F109" t="inlineStr">
        <is>
          <t>SÖDERMANLANDS LÄN</t>
        </is>
      </c>
      <c r="G109" t="inlineStr">
        <is>
          <t>ESKILSTUNA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46257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46257</v>
      </c>
      <c r="F111" t="inlineStr">
        <is>
          <t>SÖDERMANLANDS LÄN</t>
        </is>
      </c>
      <c r="G111" t="inlineStr">
        <is>
          <t>ESKILSTUNA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46257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46257</v>
      </c>
      <c r="F113" t="inlineStr">
        <is>
          <t>SÖDERMANLANDS LÄN</t>
        </is>
      </c>
      <c r="G113" t="inlineStr">
        <is>
          <t>ESKILSTUNA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46257</v>
      </c>
      <c r="F114" t="inlineStr">
        <is>
          <t>SÖDERMANLANDS LÄN</t>
        </is>
      </c>
      <c r="G114" t="inlineStr">
        <is>
          <t>ESKILSTUNA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46257</v>
      </c>
      <c r="F115" t="inlineStr">
        <is>
          <t>SÖDERMANLANDS LÄN</t>
        </is>
      </c>
      <c r="G115" t="inlineStr">
        <is>
          <t>ESKILSTUNA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44799</v>
      </c>
      <c r="E116" s="1" t="n">
        <v>46257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46257</v>
      </c>
      <c r="F117" t="inlineStr">
        <is>
          <t>SÖDERMANLANDS LÄN</t>
        </is>
      </c>
      <c r="G117" t="inlineStr">
        <is>
          <t>ESKILSTUNA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46257</v>
      </c>
      <c r="F118" t="inlineStr">
        <is>
          <t>SÖDERMANLANDS LÄN</t>
        </is>
      </c>
      <c r="G118" t="inlineStr">
        <is>
          <t>ESKILSTUNA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46257</v>
      </c>
      <c r="F119" t="inlineStr">
        <is>
          <t>SÖDERMANLANDS LÄN</t>
        </is>
      </c>
      <c r="G119" t="inlineStr">
        <is>
          <t>ESKILSTUNA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47965-2021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44449</v>
      </c>
      <c r="E120" s="1" t="n">
        <v>46257</v>
      </c>
      <c r="F120" t="inlineStr">
        <is>
          <t>SÖDERMANLANDS LÄN</t>
        </is>
      </c>
      <c r="G120" t="inlineStr">
        <is>
          <t>ESKILSTUNA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46257</v>
      </c>
      <c r="F121" t="inlineStr">
        <is>
          <t>SÖDERMANLANDS LÄN</t>
        </is>
      </c>
      <c r="G121" t="inlineStr">
        <is>
          <t>ESKILSTUNA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46257</v>
      </c>
      <c r="F122" t="inlineStr">
        <is>
          <t>SÖDERMANLANDS LÄN</t>
        </is>
      </c>
      <c r="G122" t="inlineStr">
        <is>
          <t>ESKILSTUNA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46257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44784</v>
      </c>
      <c r="E124" s="1" t="n">
        <v>46257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46257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46257</v>
      </c>
      <c r="F126" t="inlineStr">
        <is>
          <t>SÖDERMANLANDS LÄN</t>
        </is>
      </c>
      <c r="G126" t="inlineStr">
        <is>
          <t>ESKILSTUNA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71980-2021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46257</v>
      </c>
      <c r="F127" t="inlineStr">
        <is>
          <t>SÖDERMANLANDS LÄN</t>
        </is>
      </c>
      <c r="G127" t="inlineStr">
        <is>
          <t>ESKILSTUNA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46257</v>
      </c>
      <c r="F128" t="inlineStr">
        <is>
          <t>SÖDERMANLANDS LÄN</t>
        </is>
      </c>
      <c r="G128" t="inlineStr">
        <is>
          <t>ESKILSTUNA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44628</v>
      </c>
      <c r="E129" s="1" t="n">
        <v>46257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44536</v>
      </c>
      <c r="E130" s="1" t="n">
        <v>46257</v>
      </c>
      <c r="F130" t="inlineStr">
        <is>
          <t>SÖDERMANLANDS LÄN</t>
        </is>
      </c>
      <c r="G130" t="inlineStr">
        <is>
          <t>ESKILSTUNA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46257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46257</v>
      </c>
      <c r="F132" t="inlineStr">
        <is>
          <t>SÖDERMANLANDS LÄN</t>
        </is>
      </c>
      <c r="G132" t="inlineStr">
        <is>
          <t>ESKILSTUNA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44734</v>
      </c>
      <c r="E133" s="1" t="n">
        <v>46257</v>
      </c>
      <c r="F133" t="inlineStr">
        <is>
          <t>SÖDERMANLANDS LÄN</t>
        </is>
      </c>
      <c r="G133" t="inlineStr">
        <is>
          <t>ESKILSTUNA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46257</v>
      </c>
      <c r="F134" t="inlineStr">
        <is>
          <t>SÖDERMANLANDS LÄN</t>
        </is>
      </c>
      <c r="G134" t="inlineStr">
        <is>
          <t>ESKILSTUNA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46257</v>
      </c>
      <c r="F135" t="inlineStr">
        <is>
          <t>SÖDERMANLANDS LÄN</t>
        </is>
      </c>
      <c r="G135" t="inlineStr">
        <is>
          <t>ESKILSTUNA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44461</v>
      </c>
      <c r="E136" s="1" t="n">
        <v>46257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46257</v>
      </c>
      <c r="F137" t="inlineStr">
        <is>
          <t>SÖDERMANLANDS LÄN</t>
        </is>
      </c>
      <c r="G137" t="inlineStr">
        <is>
          <t>ESKILSTUNA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44699</v>
      </c>
      <c r="E138" s="1" t="n">
        <v>46257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Naturvårdsverket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65406-2021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46257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Kyrkan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73480-2021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46257</v>
      </c>
      <c r="F140" t="inlineStr">
        <is>
          <t>SÖDERMANLANDS LÄN</t>
        </is>
      </c>
      <c r="G140" t="inlineStr">
        <is>
          <t>ESKILSTUNA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46257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46257</v>
      </c>
      <c r="F142" t="inlineStr">
        <is>
          <t>SÖDERMANLANDS LÄN</t>
        </is>
      </c>
      <c r="G142" t="inlineStr">
        <is>
          <t>ESKILSTUNA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46257</v>
      </c>
      <c r="F143" t="inlineStr">
        <is>
          <t>SÖDERMANLANDS LÄN</t>
        </is>
      </c>
      <c r="G143" t="inlineStr">
        <is>
          <t>ESKILSTUNA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60721-2021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44490</v>
      </c>
      <c r="E144" s="1" t="n">
        <v>46257</v>
      </c>
      <c r="F144" t="inlineStr">
        <is>
          <t>SÖDERMANLANDS LÄN</t>
        </is>
      </c>
      <c r="G144" t="inlineStr">
        <is>
          <t>ESKILSTUNA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46257</v>
      </c>
      <c r="F145" t="inlineStr">
        <is>
          <t>SÖDERMANLANDS LÄN</t>
        </is>
      </c>
      <c r="G145" t="inlineStr">
        <is>
          <t>ESKILSTUNA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46257</v>
      </c>
      <c r="F146" t="inlineStr">
        <is>
          <t>SÖDERMANLANDS LÄN</t>
        </is>
      </c>
      <c r="G146" t="inlineStr">
        <is>
          <t>ESKILSTUNA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46257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46257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44449</v>
      </c>
      <c r="E149" s="1" t="n">
        <v>46257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43396-2021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46257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44490</v>
      </c>
      <c r="E151" s="1" t="n">
        <v>46257</v>
      </c>
      <c r="F151" t="inlineStr">
        <is>
          <t>SÖDERMANLANDS LÄN</t>
        </is>
      </c>
      <c r="G151" t="inlineStr">
        <is>
          <t>ESKILSTUNA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46257</v>
      </c>
      <c r="F152" t="inlineStr">
        <is>
          <t>SÖDERMANLANDS LÄN</t>
        </is>
      </c>
      <c r="G152" t="inlineStr">
        <is>
          <t>ESKILSTUNA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44435</v>
      </c>
      <c r="E153" s="1" t="n">
        <v>46257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46257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46257</v>
      </c>
      <c r="F155" t="inlineStr">
        <is>
          <t>SÖDERMANLANDS LÄN</t>
        </is>
      </c>
      <c r="G155" t="inlineStr">
        <is>
          <t>ESKILSTUNA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46257</v>
      </c>
      <c r="F156" t="inlineStr">
        <is>
          <t>SÖDERMANLANDS LÄN</t>
        </is>
      </c>
      <c r="G156" t="inlineStr">
        <is>
          <t>ESKILSTUNA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46257</v>
      </c>
      <c r="F157" t="inlineStr">
        <is>
          <t>SÖDERMANLANDS LÄN</t>
        </is>
      </c>
      <c r="G157" t="inlineStr">
        <is>
          <t>ESKILSTUNA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46257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45568</v>
      </c>
      <c r="E159" s="1" t="n">
        <v>46257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24537-2025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45798</v>
      </c>
      <c r="E160" s="1" t="n">
        <v>46257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46257</v>
      </c>
      <c r="F161" t="inlineStr">
        <is>
          <t>SÖDERMANLANDS LÄN</t>
        </is>
      </c>
      <c r="G161" t="inlineStr">
        <is>
          <t>ESKILSTUNA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44781</v>
      </c>
      <c r="E162" s="1" t="n">
        <v>46257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46257</v>
      </c>
      <c r="F163" t="inlineStr">
        <is>
          <t>SÖDERMANLANDS LÄN</t>
        </is>
      </c>
      <c r="G163" t="inlineStr">
        <is>
          <t>ESKILSTUNA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46257</v>
      </c>
      <c r="F164" t="inlineStr">
        <is>
          <t>SÖDERMANLANDS LÄN</t>
        </is>
      </c>
      <c r="G164" t="inlineStr">
        <is>
          <t>ESKILSTUNA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46257</v>
      </c>
      <c r="F165" t="inlineStr">
        <is>
          <t>SÖDERMANLANDS LÄN</t>
        </is>
      </c>
      <c r="G165" t="inlineStr">
        <is>
          <t>ESKILSTUNA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44799</v>
      </c>
      <c r="E166" s="1" t="n">
        <v>46257</v>
      </c>
      <c r="F166" t="inlineStr">
        <is>
          <t>SÖDERMANLANDS LÄN</t>
        </is>
      </c>
      <c r="G166" t="inlineStr">
        <is>
          <t>ESKILSTUNA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46257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46257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70191-2021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44533</v>
      </c>
      <c r="E169" s="1" t="n">
        <v>46257</v>
      </c>
      <c r="F169" t="inlineStr">
        <is>
          <t>SÖDERMANLANDS LÄN</t>
        </is>
      </c>
      <c r="G169" t="inlineStr">
        <is>
          <t>ESKILSTUNA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46608-2024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45582</v>
      </c>
      <c r="E170" s="1" t="n">
        <v>46257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44748</v>
      </c>
      <c r="E171" s="1" t="n">
        <v>46257</v>
      </c>
      <c r="F171" t="inlineStr">
        <is>
          <t>SÖDERMANLANDS LÄN</t>
        </is>
      </c>
      <c r="G171" t="inlineStr">
        <is>
          <t>ESKILSTUNA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44616</v>
      </c>
      <c r="E172" s="1" t="n">
        <v>46257</v>
      </c>
      <c r="F172" t="inlineStr">
        <is>
          <t>SÖDERMANLANDS LÄN</t>
        </is>
      </c>
      <c r="G172" t="inlineStr">
        <is>
          <t>ESKILSTUNA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44979</v>
      </c>
      <c r="E173" s="1" t="n">
        <v>46257</v>
      </c>
      <c r="F173" t="inlineStr">
        <is>
          <t>SÖDERMANLANDS LÄN</t>
        </is>
      </c>
      <c r="G173" t="inlineStr">
        <is>
          <t>ESKILSTUNA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46257</v>
      </c>
      <c r="F174" t="inlineStr">
        <is>
          <t>SÖDERMANLANDS LÄN</t>
        </is>
      </c>
      <c r="G174" t="inlineStr">
        <is>
          <t>ESKILSTUNA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15247-2022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44658</v>
      </c>
      <c r="E175" s="1" t="n">
        <v>46257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Allmännings- och besparingsskogar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46257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46257</v>
      </c>
      <c r="F177" t="inlineStr">
        <is>
          <t>SÖDERMANLANDS LÄN</t>
        </is>
      </c>
      <c r="G177" t="inlineStr">
        <is>
          <t>ESKILSTUNA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46257</v>
      </c>
      <c r="F178" t="inlineStr">
        <is>
          <t>SÖDERMANLANDS LÄN</t>
        </is>
      </c>
      <c r="G178" t="inlineStr">
        <is>
          <t>ESKILSTUNA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46257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46257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44490</v>
      </c>
      <c r="E181" s="1" t="n">
        <v>46257</v>
      </c>
      <c r="F181" t="inlineStr">
        <is>
          <t>SÖDERMANLANDS LÄN</t>
        </is>
      </c>
      <c r="G181" t="inlineStr">
        <is>
          <t>ESKILSTUNA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46257</v>
      </c>
      <c r="F182" t="inlineStr">
        <is>
          <t>SÖDERMANLANDS LÄN</t>
        </is>
      </c>
      <c r="G182" t="inlineStr">
        <is>
          <t>ESKILSTUNA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46257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Kyrkan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46257</v>
      </c>
      <c r="F184" t="inlineStr">
        <is>
          <t>SÖDERMANLANDS LÄN</t>
        </is>
      </c>
      <c r="G184" t="inlineStr">
        <is>
          <t>ESKILSTUNA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46257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46257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46257</v>
      </c>
      <c r="F187" t="inlineStr">
        <is>
          <t>SÖDERMANLANDS LÄN</t>
        </is>
      </c>
      <c r="G187" t="inlineStr">
        <is>
          <t>ESKILSTUNA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46257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46257</v>
      </c>
      <c r="F189" t="inlineStr">
        <is>
          <t>SÖDERMANLANDS LÄN</t>
        </is>
      </c>
      <c r="G189" t="inlineStr">
        <is>
          <t>ESKILSTUNA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44946</v>
      </c>
      <c r="E190" s="1" t="n">
        <v>46257</v>
      </c>
      <c r="F190" t="inlineStr">
        <is>
          <t>SÖDERMANLANDS LÄN</t>
        </is>
      </c>
      <c r="G190" t="inlineStr">
        <is>
          <t>ESKILSTUNA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46257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44755</v>
      </c>
      <c r="E192" s="1" t="n">
        <v>46257</v>
      </c>
      <c r="F192" t="inlineStr">
        <is>
          <t>SÖDERMANLANDS LÄN</t>
        </is>
      </c>
      <c r="G192" t="inlineStr">
        <is>
          <t>ESKILSTUNA</t>
        </is>
      </c>
      <c r="I192" t="n">
        <v>20.1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46257</v>
      </c>
      <c r="F193" t="inlineStr">
        <is>
          <t>SÖDERMANLANDS LÄN</t>
        </is>
      </c>
      <c r="G193" t="inlineStr">
        <is>
          <t>ESKILSTUNA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30096-2025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45826</v>
      </c>
      <c r="E194" s="1" t="n">
        <v>46257</v>
      </c>
      <c r="F194" t="inlineStr">
        <is>
          <t>SÖDERMANLANDS LÄN</t>
        </is>
      </c>
      <c r="G194" t="inlineStr">
        <is>
          <t>ESKILSTUNA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46257</v>
      </c>
      <c r="F195" t="inlineStr">
        <is>
          <t>SÖDERMANLANDS LÄN</t>
        </is>
      </c>
      <c r="G195" t="inlineStr">
        <is>
          <t>ESKILSTUNA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46257</v>
      </c>
      <c r="F196" t="inlineStr">
        <is>
          <t>SÖDERMANLANDS LÄN</t>
        </is>
      </c>
      <c r="G196" t="inlineStr">
        <is>
          <t>ESKILSTUNA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46257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46257</v>
      </c>
      <c r="F198" t="inlineStr">
        <is>
          <t>SÖDERMANLANDS LÄN</t>
        </is>
      </c>
      <c r="G198" t="inlineStr">
        <is>
          <t>ESKILSTUNA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46257</v>
      </c>
      <c r="F199" t="inlineStr">
        <is>
          <t>SÖDERMANLANDS LÄN</t>
        </is>
      </c>
      <c r="G199" t="inlineStr">
        <is>
          <t>ESKILSTUNA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46257</v>
      </c>
      <c r="F200" t="inlineStr">
        <is>
          <t>SÖDERMANLANDS LÄN</t>
        </is>
      </c>
      <c r="G200" t="inlineStr">
        <is>
          <t>ESKILSTUNA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46257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46257</v>
      </c>
      <c r="F202" t="inlineStr">
        <is>
          <t>SÖDERMANLANDS LÄN</t>
        </is>
      </c>
      <c r="G202" t="inlineStr">
        <is>
          <t>ESKILSTUNA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46257</v>
      </c>
      <c r="F203" t="inlineStr">
        <is>
          <t>SÖDERMANLANDS LÄN</t>
        </is>
      </c>
      <c r="G203" t="inlineStr">
        <is>
          <t>ESKILSTUNA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46257</v>
      </c>
      <c r="F204" t="inlineStr">
        <is>
          <t>SÖDERMANLANDS LÄN</t>
        </is>
      </c>
      <c r="G204" t="inlineStr">
        <is>
          <t>ESKILSTUNA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46257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46257</v>
      </c>
      <c r="F206" t="inlineStr">
        <is>
          <t>SÖDERMANLANDS LÄN</t>
        </is>
      </c>
      <c r="G206" t="inlineStr">
        <is>
          <t>ESKILSTUNA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45307</v>
      </c>
      <c r="E207" s="1" t="n">
        <v>46257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46257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46257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46257</v>
      </c>
      <c r="F210" t="inlineStr">
        <is>
          <t>SÖDERMANLANDS LÄN</t>
        </is>
      </c>
      <c r="G210" t="inlineStr">
        <is>
          <t>ESKILSTUNA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46257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46257</v>
      </c>
      <c r="F212" t="inlineStr">
        <is>
          <t>SÖDERMANLANDS LÄN</t>
        </is>
      </c>
      <c r="G212" t="inlineStr">
        <is>
          <t>ESKILSTUNA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15592-2023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45020</v>
      </c>
      <c r="E213" s="1" t="n">
        <v>46257</v>
      </c>
      <c r="F213" t="inlineStr">
        <is>
          <t>SÖDERMANLANDS LÄN</t>
        </is>
      </c>
      <c r="G213" t="inlineStr">
        <is>
          <t>ESKILSTUNA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46257</v>
      </c>
      <c r="F214" t="inlineStr">
        <is>
          <t>SÖDERMANLANDS LÄN</t>
        </is>
      </c>
      <c r="G214" t="inlineStr">
        <is>
          <t>ESKILSTUNA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46257</v>
      </c>
      <c r="F215" t="inlineStr">
        <is>
          <t>SÖDERMANLANDS LÄN</t>
        </is>
      </c>
      <c r="G215" t="inlineStr">
        <is>
          <t>ESKILSTUNA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46257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46257</v>
      </c>
      <c r="F217" t="inlineStr">
        <is>
          <t>SÖDERMANLANDS LÄN</t>
        </is>
      </c>
      <c r="G217" t="inlineStr">
        <is>
          <t>ESKILSTUNA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46257</v>
      </c>
      <c r="F218" t="inlineStr">
        <is>
          <t>SÖDERMANLANDS LÄN</t>
        </is>
      </c>
      <c r="G218" t="inlineStr">
        <is>
          <t>ESKILSTUNA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65595-2021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44516</v>
      </c>
      <c r="E219" s="1" t="n">
        <v>46257</v>
      </c>
      <c r="F219" t="inlineStr">
        <is>
          <t>SÖDERMANLANDS LÄN</t>
        </is>
      </c>
      <c r="G219" t="inlineStr">
        <is>
          <t>ESKILSTUNA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46257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46257</v>
      </c>
      <c r="F221" t="inlineStr">
        <is>
          <t>SÖDERMANLANDS LÄN</t>
        </is>
      </c>
      <c r="G221" t="inlineStr">
        <is>
          <t>ESKILSTUNA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44819</v>
      </c>
      <c r="E222" s="1" t="n">
        <v>46257</v>
      </c>
      <c r="F222" t="inlineStr">
        <is>
          <t>SÖDERMANLANDS LÄN</t>
        </is>
      </c>
      <c r="G222" t="inlineStr">
        <is>
          <t>ESKILSTUNA</t>
        </is>
      </c>
      <c r="I222" t="n">
        <v>11.6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45514</v>
      </c>
      <c r="E223" s="1" t="n">
        <v>46257</v>
      </c>
      <c r="F223" t="inlineStr">
        <is>
          <t>SÖDERMANLANDS LÄN</t>
        </is>
      </c>
      <c r="G223" t="inlineStr">
        <is>
          <t>ESKILSTUNA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44874</v>
      </c>
      <c r="E224" s="1" t="n">
        <v>46257</v>
      </c>
      <c r="F224" t="inlineStr">
        <is>
          <t>SÖDERMANLANDS LÄN</t>
        </is>
      </c>
      <c r="G224" t="inlineStr">
        <is>
          <t>ESKILSTUNA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44965</v>
      </c>
      <c r="E225" s="1" t="n">
        <v>46257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46257</v>
      </c>
      <c r="F226" t="inlineStr">
        <is>
          <t>SÖDERMANLANDS LÄN</t>
        </is>
      </c>
      <c r="G226" t="inlineStr">
        <is>
          <t>ESKILSTUNA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46257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Allmännings- och besparingsskogar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45211</v>
      </c>
      <c r="E228" s="1" t="n">
        <v>46257</v>
      </c>
      <c r="F228" t="inlineStr">
        <is>
          <t>SÖDERMANLANDS LÄN</t>
        </is>
      </c>
      <c r="G228" t="inlineStr">
        <is>
          <t>ESKILSTUNA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46257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Kommuner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20842-2023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46257</v>
      </c>
      <c r="F230" t="inlineStr">
        <is>
          <t>SÖDERMANLANDS LÄN</t>
        </is>
      </c>
      <c r="G230" t="inlineStr">
        <is>
          <t>ESKILSTUNA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45608</v>
      </c>
      <c r="E231" s="1" t="n">
        <v>46257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Övriga Aktiebolag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30968-2022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44768</v>
      </c>
      <c r="E232" s="1" t="n">
        <v>46257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46257</v>
      </c>
      <c r="F233" t="inlineStr">
        <is>
          <t>SÖDERMANLANDS LÄN</t>
        </is>
      </c>
      <c r="G233" t="inlineStr">
        <is>
          <t>ESKILSTUNA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46257</v>
      </c>
      <c r="F234" t="inlineStr">
        <is>
          <t>SÖDERMANLANDS LÄN</t>
        </is>
      </c>
      <c r="G234" t="inlineStr">
        <is>
          <t>ESKILSTUNA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44019-2021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44434</v>
      </c>
      <c r="E235" s="1" t="n">
        <v>46257</v>
      </c>
      <c r="F235" t="inlineStr">
        <is>
          <t>SÖDERMANLANDS LÄN</t>
        </is>
      </c>
      <c r="G235" t="inlineStr">
        <is>
          <t>ESKILSTUNA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44904</v>
      </c>
      <c r="E236" s="1" t="n">
        <v>46257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Allmännings- och besparingsskogar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45301</v>
      </c>
      <c r="E237" s="1" t="n">
        <v>46257</v>
      </c>
      <c r="F237" t="inlineStr">
        <is>
          <t>SÖDERMANLANDS LÄN</t>
        </is>
      </c>
      <c r="G237" t="inlineStr">
        <is>
          <t>ESKILSTUNA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46257</v>
      </c>
      <c r="F238" t="inlineStr">
        <is>
          <t>SÖDERMANLANDS LÄN</t>
        </is>
      </c>
      <c r="G238" t="inlineStr">
        <is>
          <t>ESKILSTUNA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46257</v>
      </c>
      <c r="F239" t="inlineStr">
        <is>
          <t>SÖDERMANLANDS LÄN</t>
        </is>
      </c>
      <c r="G239" t="inlineStr">
        <is>
          <t>ESKILSTUNA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68020-2021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44525</v>
      </c>
      <c r="E240" s="1" t="n">
        <v>46257</v>
      </c>
      <c r="F240" t="inlineStr">
        <is>
          <t>SÖDERMANLANDS LÄN</t>
        </is>
      </c>
      <c r="G240" t="inlineStr">
        <is>
          <t>ESKILSTUNA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44634</v>
      </c>
      <c r="E241" s="1" t="n">
        <v>46257</v>
      </c>
      <c r="F241" t="inlineStr">
        <is>
          <t>SÖDERMANLANDS LÄN</t>
        </is>
      </c>
      <c r="G241" t="inlineStr">
        <is>
          <t>ESKILSTUNA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45007</v>
      </c>
      <c r="E242" s="1" t="n">
        <v>46257</v>
      </c>
      <c r="F242" t="inlineStr">
        <is>
          <t>SÖDERMANLANDS LÄN</t>
        </is>
      </c>
      <c r="G242" t="inlineStr">
        <is>
          <t>ESKILSTUNA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44626</v>
      </c>
      <c r="E243" s="1" t="n">
        <v>46257</v>
      </c>
      <c r="F243" t="inlineStr">
        <is>
          <t>SÖDERMANLANDS LÄN</t>
        </is>
      </c>
      <c r="G243" t="inlineStr">
        <is>
          <t>ESKILSTUNA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44582</v>
      </c>
      <c r="E244" s="1" t="n">
        <v>46257</v>
      </c>
      <c r="F244" t="inlineStr">
        <is>
          <t>SÖDERMANLANDS LÄN</t>
        </is>
      </c>
      <c r="G244" t="inlineStr">
        <is>
          <t>ESKILSTUNA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45119</v>
      </c>
      <c r="E245" s="1" t="n">
        <v>46257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46257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46257</v>
      </c>
      <c r="F247" t="inlineStr">
        <is>
          <t>SÖDERMANLANDS LÄN</t>
        </is>
      </c>
      <c r="G247" t="inlineStr">
        <is>
          <t>ESKILSTUNA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44889</v>
      </c>
      <c r="E248" s="1" t="n">
        <v>46257</v>
      </c>
      <c r="F248" t="inlineStr">
        <is>
          <t>SÖDERMANLANDS LÄN</t>
        </is>
      </c>
      <c r="G248" t="inlineStr">
        <is>
          <t>ESKILSTUNA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44886</v>
      </c>
      <c r="E249" s="1" t="n">
        <v>46257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44729</v>
      </c>
      <c r="E250" s="1" t="n">
        <v>46257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Kyrkan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46257</v>
      </c>
      <c r="F251" t="inlineStr">
        <is>
          <t>SÖDERMANLANDS LÄN</t>
        </is>
      </c>
      <c r="G251" t="inlineStr">
        <is>
          <t>ESKILSTUNA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46257</v>
      </c>
      <c r="F252" t="inlineStr">
        <is>
          <t>SÖDERMANLANDS LÄN</t>
        </is>
      </c>
      <c r="G252" t="inlineStr">
        <is>
          <t>ESKILSTUNA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46257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1340-2024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45303</v>
      </c>
      <c r="E254" s="1" t="n">
        <v>46257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45303</v>
      </c>
      <c r="E255" s="1" t="n">
        <v>46257</v>
      </c>
      <c r="F255" t="inlineStr">
        <is>
          <t>SÖDERMANLANDS LÄN</t>
        </is>
      </c>
      <c r="G255" t="inlineStr">
        <is>
          <t>ESKILSTUNA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46257</v>
      </c>
      <c r="F256" t="inlineStr">
        <is>
          <t>SÖDERMANLANDS LÄN</t>
        </is>
      </c>
      <c r="G256" t="inlineStr">
        <is>
          <t>ESKILSTUNA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38895-2023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45163</v>
      </c>
      <c r="E257" s="1" t="n">
        <v>46257</v>
      </c>
      <c r="F257" t="inlineStr">
        <is>
          <t>SÖDERMANLANDS LÄN</t>
        </is>
      </c>
      <c r="G257" t="inlineStr">
        <is>
          <t>ESKILSTUNA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45209</v>
      </c>
      <c r="E258" s="1" t="n">
        <v>46257</v>
      </c>
      <c r="F258" t="inlineStr">
        <is>
          <t>SÖDERMANLANDS LÄN</t>
        </is>
      </c>
      <c r="G258" t="inlineStr">
        <is>
          <t>ESKILSTUNA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45004</v>
      </c>
      <c r="E259" s="1" t="n">
        <v>46257</v>
      </c>
      <c r="F259" t="inlineStr">
        <is>
          <t>SÖDERMANLANDS LÄN</t>
        </is>
      </c>
      <c r="G259" t="inlineStr">
        <is>
          <t>ESKILSTUNA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44804</v>
      </c>
      <c r="E260" s="1" t="n">
        <v>46257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46257</v>
      </c>
      <c r="F261" t="inlineStr">
        <is>
          <t>SÖDERMANLANDS LÄN</t>
        </is>
      </c>
      <c r="G261" t="inlineStr">
        <is>
          <t>ESKILSTUNA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44844</v>
      </c>
      <c r="E262" s="1" t="n">
        <v>46257</v>
      </c>
      <c r="F262" t="inlineStr">
        <is>
          <t>SÖDERMANLANDS LÄN</t>
        </is>
      </c>
      <c r="G262" t="inlineStr">
        <is>
          <t>ESKILSTUNA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46257</v>
      </c>
      <c r="F263" t="inlineStr">
        <is>
          <t>SÖDERMANLANDS LÄN</t>
        </is>
      </c>
      <c r="G263" t="inlineStr">
        <is>
          <t>ESKILSTUNA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46257</v>
      </c>
      <c r="F264" t="inlineStr">
        <is>
          <t>SÖDERMANLANDS LÄN</t>
        </is>
      </c>
      <c r="G264" t="inlineStr">
        <is>
          <t>ESKILSTUNA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46257</v>
      </c>
      <c r="F265" t="inlineStr">
        <is>
          <t>SÖDERMANLANDS LÄN</t>
        </is>
      </c>
      <c r="G265" t="inlineStr">
        <is>
          <t>ESKILSTUNA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45694</v>
      </c>
      <c r="E266" s="1" t="n">
        <v>46257</v>
      </c>
      <c r="F266" t="inlineStr">
        <is>
          <t>SÖDERMANLANDS LÄN</t>
        </is>
      </c>
      <c r="G266" t="inlineStr">
        <is>
          <t>ESKILSTUNA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45146</v>
      </c>
      <c r="E267" s="1" t="n">
        <v>46257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46257</v>
      </c>
      <c r="F268" t="inlineStr">
        <is>
          <t>SÖDERMANLANDS LÄN</t>
        </is>
      </c>
      <c r="G268" t="inlineStr">
        <is>
          <t>ESKILSTUNA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61830-2023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45266</v>
      </c>
      <c r="E269" s="1" t="n">
        <v>46257</v>
      </c>
      <c r="F269" t="inlineStr">
        <is>
          <t>SÖDERMANLANDS LÄN</t>
        </is>
      </c>
      <c r="G269" t="inlineStr">
        <is>
          <t>ESKILSTUNA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46257</v>
      </c>
      <c r="F270" t="inlineStr">
        <is>
          <t>SÖDERMANLANDS LÄN</t>
        </is>
      </c>
      <c r="G270" t="inlineStr">
        <is>
          <t>ESKILSTUNA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52830-2021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44467</v>
      </c>
      <c r="E271" s="1" t="n">
        <v>46257</v>
      </c>
      <c r="F271" t="inlineStr">
        <is>
          <t>SÖDERMANLANDS LÄN</t>
        </is>
      </c>
      <c r="G271" t="inlineStr">
        <is>
          <t>ESKILSTUNA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46257</v>
      </c>
      <c r="F272" t="inlineStr">
        <is>
          <t>SÖDERMANLANDS LÄN</t>
        </is>
      </c>
      <c r="G272" t="inlineStr">
        <is>
          <t>ESKILSTUNA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46257</v>
      </c>
      <c r="F273" t="inlineStr">
        <is>
          <t>SÖDERMANLANDS LÄN</t>
        </is>
      </c>
      <c r="G273" t="inlineStr">
        <is>
          <t>ESKILSTUNA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46257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46257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46257</v>
      </c>
      <c r="F276" t="inlineStr">
        <is>
          <t>SÖDERMANLANDS LÄN</t>
        </is>
      </c>
      <c r="G276" t="inlineStr">
        <is>
          <t>ESKILSTUNA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1346-2024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45303</v>
      </c>
      <c r="E277" s="1" t="n">
        <v>46257</v>
      </c>
      <c r="F277" t="inlineStr">
        <is>
          <t>SÖDERMANLANDS LÄN</t>
        </is>
      </c>
      <c r="G277" t="inlineStr">
        <is>
          <t>ESKILSTUNA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46257</v>
      </c>
      <c r="F278" t="inlineStr">
        <is>
          <t>SÖDERMANLANDS LÄN</t>
        </is>
      </c>
      <c r="G278" t="inlineStr">
        <is>
          <t>ESKILSTUNA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44889</v>
      </c>
      <c r="E279" s="1" t="n">
        <v>46257</v>
      </c>
      <c r="F279" t="inlineStr">
        <is>
          <t>SÖDERMANLANDS LÄN</t>
        </is>
      </c>
      <c r="G279" t="inlineStr">
        <is>
          <t>ESKILSTUNA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46257</v>
      </c>
      <c r="F280" t="inlineStr">
        <is>
          <t>SÖDERMANLANDS LÄN</t>
        </is>
      </c>
      <c r="G280" t="inlineStr">
        <is>
          <t>ESKILSTUNA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46257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45006</v>
      </c>
      <c r="E282" s="1" t="n">
        <v>46257</v>
      </c>
      <c r="F282" t="inlineStr">
        <is>
          <t>SÖDERMANLANDS LÄN</t>
        </is>
      </c>
      <c r="G282" t="inlineStr">
        <is>
          <t>ESKILSTUNA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46257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46257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44886</v>
      </c>
      <c r="E285" s="1" t="n">
        <v>46257</v>
      </c>
      <c r="F285" t="inlineStr">
        <is>
          <t>SÖDERMANLANDS LÄN</t>
        </is>
      </c>
      <c r="G285" t="inlineStr">
        <is>
          <t>ESKILSTUNA</t>
        </is>
      </c>
      <c r="I285" t="n">
        <v>15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25668-2022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44732</v>
      </c>
      <c r="E286" s="1" t="n">
        <v>46257</v>
      </c>
      <c r="F286" t="inlineStr">
        <is>
          <t>SÖDERMANLANDS LÄN</t>
        </is>
      </c>
      <c r="G286" t="inlineStr">
        <is>
          <t>ESKILSTUNA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45643</v>
      </c>
      <c r="E287" s="1" t="n">
        <v>46257</v>
      </c>
      <c r="F287" t="inlineStr">
        <is>
          <t>SÖDERMANLANDS LÄN</t>
        </is>
      </c>
      <c r="G287" t="inlineStr">
        <is>
          <t>ESKILSTUNA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70265-2021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46257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57541-2022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46257</v>
      </c>
      <c r="F289" t="inlineStr">
        <is>
          <t>SÖDERMANLANDS LÄN</t>
        </is>
      </c>
      <c r="G289" t="inlineStr">
        <is>
          <t>ESKILSTUNA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43501-2022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44837</v>
      </c>
      <c r="E290" s="1" t="n">
        <v>46257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45518</v>
      </c>
      <c r="E291" s="1" t="n">
        <v>46257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45685</v>
      </c>
      <c r="E292" s="1" t="n">
        <v>46257</v>
      </c>
      <c r="F292" t="inlineStr">
        <is>
          <t>SÖDERMANLANDS LÄN</t>
        </is>
      </c>
      <c r="G292" t="inlineStr">
        <is>
          <t>ESKILSTUNA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46257</v>
      </c>
      <c r="F293" t="inlineStr">
        <is>
          <t>SÖDERMANLANDS LÄN</t>
        </is>
      </c>
      <c r="G293" t="inlineStr">
        <is>
          <t>ESKILSTUNA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70613-2021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44537</v>
      </c>
      <c r="E294" s="1" t="n">
        <v>46257</v>
      </c>
      <c r="F294" t="inlineStr">
        <is>
          <t>SÖDERMANLANDS LÄN</t>
        </is>
      </c>
      <c r="G294" t="inlineStr">
        <is>
          <t>ESKILSTUNA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16391-2022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44671</v>
      </c>
      <c r="E295" s="1" t="n">
        <v>46257</v>
      </c>
      <c r="F295" t="inlineStr">
        <is>
          <t>SÖDERMANLANDS LÄN</t>
        </is>
      </c>
      <c r="G295" t="inlineStr">
        <is>
          <t>ESKILSTUNA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46257</v>
      </c>
      <c r="F296" t="inlineStr">
        <is>
          <t>SÖDERMANLANDS LÄN</t>
        </is>
      </c>
      <c r="G296" t="inlineStr">
        <is>
          <t>ESKILSTUNA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65614-2021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44516</v>
      </c>
      <c r="E297" s="1" t="n">
        <v>46257</v>
      </c>
      <c r="F297" t="inlineStr">
        <is>
          <t>SÖDERMANLANDS LÄN</t>
        </is>
      </c>
      <c r="G297" t="inlineStr">
        <is>
          <t>ESKILSTUNA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46257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46257</v>
      </c>
      <c r="F299" t="inlineStr">
        <is>
          <t>SÖDERMANLANDS LÄN</t>
        </is>
      </c>
      <c r="G299" t="inlineStr">
        <is>
          <t>ESKILSTUNA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46257</v>
      </c>
      <c r="F300" t="inlineStr">
        <is>
          <t>SÖDERMANLANDS LÄN</t>
        </is>
      </c>
      <c r="G300" t="inlineStr">
        <is>
          <t>ESKILSTUNA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46257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46257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44915</v>
      </c>
      <c r="E303" s="1" t="n">
        <v>46257</v>
      </c>
      <c r="F303" t="inlineStr">
        <is>
          <t>SÖDERMANLANDS LÄN</t>
        </is>
      </c>
      <c r="G303" t="inlineStr">
        <is>
          <t>ESKILSTUNA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46257</v>
      </c>
      <c r="F304" t="inlineStr">
        <is>
          <t>SÖDERMANLANDS LÄN</t>
        </is>
      </c>
      <c r="G304" t="inlineStr">
        <is>
          <t>ESKILSTUNA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44983</v>
      </c>
      <c r="E305" s="1" t="n">
        <v>46257</v>
      </c>
      <c r="F305" t="inlineStr">
        <is>
          <t>SÖDERMANLANDS LÄN</t>
        </is>
      </c>
      <c r="G305" t="inlineStr">
        <is>
          <t>ESKILSTUNA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46257</v>
      </c>
      <c r="F306" t="inlineStr">
        <is>
          <t>SÖDERMANLANDS LÄN</t>
        </is>
      </c>
      <c r="G306" t="inlineStr">
        <is>
          <t>ESKILSTUNA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45637</v>
      </c>
      <c r="E307" s="1" t="n">
        <v>46257</v>
      </c>
      <c r="F307" t="inlineStr">
        <is>
          <t>SÖDERMANLANDS LÄN</t>
        </is>
      </c>
      <c r="G307" t="inlineStr">
        <is>
          <t>ESKILSTUNA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57304-2023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45245</v>
      </c>
      <c r="E308" s="1" t="n">
        <v>46257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Sveaskog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45006</v>
      </c>
      <c r="E309" s="1" t="n">
        <v>46257</v>
      </c>
      <c r="F309" t="inlineStr">
        <is>
          <t>SÖDERMANLANDS LÄN</t>
        </is>
      </c>
      <c r="G309" t="inlineStr">
        <is>
          <t>ESKILSTUNA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46257</v>
      </c>
      <c r="F310" t="inlineStr">
        <is>
          <t>SÖDERMANLANDS LÄN</t>
        </is>
      </c>
      <c r="G310" t="inlineStr">
        <is>
          <t>ESKILSTUNA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44468</v>
      </c>
      <c r="E311" s="1" t="n">
        <v>46257</v>
      </c>
      <c r="F311" t="inlineStr">
        <is>
          <t>SÖDERMANLANDS LÄN</t>
        </is>
      </c>
      <c r="G311" t="inlineStr">
        <is>
          <t>ESKILSTUNA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46257</v>
      </c>
      <c r="F312" t="inlineStr">
        <is>
          <t>SÖDERMANLANDS LÄN</t>
        </is>
      </c>
      <c r="G312" t="inlineStr">
        <is>
          <t>ESKILSTUNA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46257</v>
      </c>
      <c r="F313" t="inlineStr">
        <is>
          <t>SÖDERMANLANDS LÄN</t>
        </is>
      </c>
      <c r="G313" t="inlineStr">
        <is>
          <t>ESKILSTUNA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46257</v>
      </c>
      <c r="F314" t="inlineStr">
        <is>
          <t>SÖDERMANLANDS LÄN</t>
        </is>
      </c>
      <c r="G314" t="inlineStr">
        <is>
          <t>ESKILSTUNA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44572</v>
      </c>
      <c r="E315" s="1" t="n">
        <v>46257</v>
      </c>
      <c r="F315" t="inlineStr">
        <is>
          <t>SÖDERMANLANDS LÄN</t>
        </is>
      </c>
      <c r="G315" t="inlineStr">
        <is>
          <t>ESKILSTUNA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46257</v>
      </c>
      <c r="F316" t="inlineStr">
        <is>
          <t>SÖDERMANLANDS LÄN</t>
        </is>
      </c>
      <c r="G316" t="inlineStr">
        <is>
          <t>ESKILSTUNA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44797</v>
      </c>
      <c r="E317" s="1" t="n">
        <v>46257</v>
      </c>
      <c r="F317" t="inlineStr">
        <is>
          <t>SÖDERMANLANDS LÄN</t>
        </is>
      </c>
      <c r="G317" t="inlineStr">
        <is>
          <t>ESKILSTUNA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46257</v>
      </c>
      <c r="F318" t="inlineStr">
        <is>
          <t>SÖDERMANLANDS LÄN</t>
        </is>
      </c>
      <c r="G318" t="inlineStr">
        <is>
          <t>ESKILSTUNA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44930</v>
      </c>
      <c r="E319" s="1" t="n">
        <v>46257</v>
      </c>
      <c r="F319" t="inlineStr">
        <is>
          <t>SÖDERMANLANDS LÄN</t>
        </is>
      </c>
      <c r="G319" t="inlineStr">
        <is>
          <t>ESKILSTUNA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44858</v>
      </c>
      <c r="E320" s="1" t="n">
        <v>46257</v>
      </c>
      <c r="F320" t="inlineStr">
        <is>
          <t>SÖDERMANLANDS LÄN</t>
        </is>
      </c>
      <c r="G320" t="inlineStr">
        <is>
          <t>ESKILSTUNA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45079</v>
      </c>
      <c r="E321" s="1" t="n">
        <v>46257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45429</v>
      </c>
      <c r="E322" s="1" t="n">
        <v>46257</v>
      </c>
      <c r="F322" t="inlineStr">
        <is>
          <t>SÖDERMANLANDS LÄN</t>
        </is>
      </c>
      <c r="G322" t="inlineStr">
        <is>
          <t>ESKILSTUNA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44916</v>
      </c>
      <c r="E323" s="1" t="n">
        <v>46257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46257</v>
      </c>
      <c r="F324" t="inlineStr">
        <is>
          <t>SÖDERMANLANDS LÄN</t>
        </is>
      </c>
      <c r="G324" t="inlineStr">
        <is>
          <t>ESKILSTUNA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44832</v>
      </c>
      <c r="E325" s="1" t="n">
        <v>46257</v>
      </c>
      <c r="F325" t="inlineStr">
        <is>
          <t>SÖDERMANLANDS LÄN</t>
        </is>
      </c>
      <c r="G325" t="inlineStr">
        <is>
          <t>ESKILSTUNA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44432</v>
      </c>
      <c r="E326" s="1" t="n">
        <v>46257</v>
      </c>
      <c r="F326" t="inlineStr">
        <is>
          <t>SÖDERMANLANDS LÄN</t>
        </is>
      </c>
      <c r="G326" t="inlineStr">
        <is>
          <t>ESKILSTUNA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45464</v>
      </c>
      <c r="E327" s="1" t="n">
        <v>46257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46257</v>
      </c>
      <c r="F328" t="inlineStr">
        <is>
          <t>SÖDERMANLANDS LÄN</t>
        </is>
      </c>
      <c r="G328" t="inlineStr">
        <is>
          <t>ESKILSTUNA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46257</v>
      </c>
      <c r="F329" t="inlineStr">
        <is>
          <t>SÖDERMANLANDS LÄN</t>
        </is>
      </c>
      <c r="G329" t="inlineStr">
        <is>
          <t>ESKILSTUNA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46257</v>
      </c>
      <c r="F330" t="inlineStr">
        <is>
          <t>SÖDERMANLANDS LÄN</t>
        </is>
      </c>
      <c r="G330" t="inlineStr">
        <is>
          <t>ESKILSTUNA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44804</v>
      </c>
      <c r="E331" s="1" t="n">
        <v>46257</v>
      </c>
      <c r="F331" t="inlineStr">
        <is>
          <t>SÖDERMANLANDS LÄN</t>
        </is>
      </c>
      <c r="G331" t="inlineStr">
        <is>
          <t>ESKILSTUNA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45237</v>
      </c>
      <c r="E332" s="1" t="n">
        <v>46257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1538-2025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45670</v>
      </c>
      <c r="E333" s="1" t="n">
        <v>46257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61988-2022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44918</v>
      </c>
      <c r="E334" s="1" t="n">
        <v>46257</v>
      </c>
      <c r="F334" t="inlineStr">
        <is>
          <t>SÖDERMANLANDS LÄN</t>
        </is>
      </c>
      <c r="G334" t="inlineStr">
        <is>
          <t>ESKILSTUNA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46257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25229-2022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44729</v>
      </c>
      <c r="E336" s="1" t="n">
        <v>46257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45363</v>
      </c>
      <c r="E337" s="1" t="n">
        <v>46257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45664</v>
      </c>
      <c r="E338" s="1" t="n">
        <v>46257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46257</v>
      </c>
      <c r="F339" t="inlineStr">
        <is>
          <t>SÖDERMANLANDS LÄN</t>
        </is>
      </c>
      <c r="G339" t="inlineStr">
        <is>
          <t>ESKILSTUNA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52203-2025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45953</v>
      </c>
      <c r="E340" s="1" t="n">
        <v>46257</v>
      </c>
      <c r="F340" t="inlineStr">
        <is>
          <t>SÖDERMANLANDS LÄN</t>
        </is>
      </c>
      <c r="G340" t="inlineStr">
        <is>
          <t>ESKILSTUNA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46257</v>
      </c>
      <c r="F341" t="inlineStr">
        <is>
          <t>SÖDERMANLANDS LÄN</t>
        </is>
      </c>
      <c r="G341" t="inlineStr">
        <is>
          <t>ESKILSTUNA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46257</v>
      </c>
      <c r="F342" t="inlineStr">
        <is>
          <t>SÖDERMANLANDS LÄN</t>
        </is>
      </c>
      <c r="G342" t="inlineStr">
        <is>
          <t>ESKILSTUNA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46257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46257</v>
      </c>
      <c r="F344" t="inlineStr">
        <is>
          <t>SÖDERMANLANDS LÄN</t>
        </is>
      </c>
      <c r="G344" t="inlineStr">
        <is>
          <t>ESKILSTUNA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46257</v>
      </c>
      <c r="F345" t="inlineStr">
        <is>
          <t>SÖDERMANLANDS LÄN</t>
        </is>
      </c>
      <c r="G345" t="inlineStr">
        <is>
          <t>ESKILSTUNA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48671-2021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44452</v>
      </c>
      <c r="E346" s="1" t="n">
        <v>46257</v>
      </c>
      <c r="F346" t="inlineStr">
        <is>
          <t>SÖDERMANLANDS LÄN</t>
        </is>
      </c>
      <c r="G346" t="inlineStr">
        <is>
          <t>ESKILSTUNA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45875</v>
      </c>
      <c r="E347" s="1" t="n">
        <v>46257</v>
      </c>
      <c r="F347" t="inlineStr">
        <is>
          <t>SÖDERMANLANDS LÄN</t>
        </is>
      </c>
      <c r="G347" t="inlineStr">
        <is>
          <t>ESKILSTUNA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46257</v>
      </c>
      <c r="F348" t="inlineStr">
        <is>
          <t>SÖDERMANLANDS LÄN</t>
        </is>
      </c>
      <c r="G348" t="inlineStr">
        <is>
          <t>ESKILSTUNA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45950</v>
      </c>
      <c r="E349" s="1" t="n">
        <v>46257</v>
      </c>
      <c r="F349" t="inlineStr">
        <is>
          <t>SÖDERMANLANDS LÄN</t>
        </is>
      </c>
      <c r="G349" t="inlineStr">
        <is>
          <t>ESKILSTUNA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46257</v>
      </c>
      <c r="F350" t="inlineStr">
        <is>
          <t>SÖDERMANLANDS LÄN</t>
        </is>
      </c>
      <c r="G350" t="inlineStr">
        <is>
          <t>ESKILSTUNA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46257</v>
      </c>
      <c r="F351" t="inlineStr">
        <is>
          <t>SÖDERMANLANDS LÄN</t>
        </is>
      </c>
      <c r="G351" t="inlineStr">
        <is>
          <t>ESKILSTUNA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46257</v>
      </c>
      <c r="F352" t="inlineStr">
        <is>
          <t>SÖDERMANLANDS LÄN</t>
        </is>
      </c>
      <c r="G352" t="inlineStr">
        <is>
          <t>ESKILSTUNA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46257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44956</v>
      </c>
      <c r="E354" s="1" t="n">
        <v>46257</v>
      </c>
      <c r="F354" t="inlineStr">
        <is>
          <t>SÖDERMANLANDS LÄN</t>
        </is>
      </c>
      <c r="G354" t="inlineStr">
        <is>
          <t>ESKILSTUNA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46257</v>
      </c>
      <c r="F355" t="inlineStr">
        <is>
          <t>SÖDERMANLANDS LÄN</t>
        </is>
      </c>
      <c r="G355" t="inlineStr">
        <is>
          <t>ESKILSTUNA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46216</v>
      </c>
      <c r="E356" s="1" t="n">
        <v>46257</v>
      </c>
      <c r="F356" t="inlineStr">
        <is>
          <t>SÖDERMANLANDS LÄN</t>
        </is>
      </c>
      <c r="G356" t="inlineStr">
        <is>
          <t>ESKILSTUNA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31200-2026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46217</v>
      </c>
      <c r="E357" s="1" t="n">
        <v>46257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Kommuner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46257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Kommuner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46257</v>
      </c>
      <c r="F359" t="inlineStr">
        <is>
          <t>SÖDERMANLANDS LÄN</t>
        </is>
      </c>
      <c r="G359" t="inlineStr">
        <is>
          <t>ESKILSTUNA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31131-2026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46216</v>
      </c>
      <c r="E360" s="1" t="n">
        <v>46257</v>
      </c>
      <c r="F360" t="inlineStr">
        <is>
          <t>SÖDERMANLANDS LÄN</t>
        </is>
      </c>
      <c r="G360" t="inlineStr">
        <is>
          <t>ESKILSTUNA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46872-2022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46257</v>
      </c>
      <c r="F361" t="inlineStr">
        <is>
          <t>SÖDERMANLANDS LÄN</t>
        </is>
      </c>
      <c r="G361" t="inlineStr">
        <is>
          <t>ESKILSTUNA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46257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59276-2021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44490</v>
      </c>
      <c r="E363" s="1" t="n">
        <v>46257</v>
      </c>
      <c r="F363" t="inlineStr">
        <is>
          <t>SÖDERMANLANDS LÄN</t>
        </is>
      </c>
      <c r="G363" t="inlineStr">
        <is>
          <t>ESKILSTUNA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61367-2021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44499</v>
      </c>
      <c r="E364" s="1" t="n">
        <v>46257</v>
      </c>
      <c r="F364" t="inlineStr">
        <is>
          <t>SÖDERMANLANDS LÄN</t>
        </is>
      </c>
      <c r="G364" t="inlineStr">
        <is>
          <t>ESKILSTUNA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44606</v>
      </c>
      <c r="E365" s="1" t="n">
        <v>46257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Kyrkan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46219</v>
      </c>
      <c r="E366" s="1" t="n">
        <v>46257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45611</v>
      </c>
      <c r="E367" s="1" t="n">
        <v>46257</v>
      </c>
      <c r="F367" t="inlineStr">
        <is>
          <t>SÖDERMANLANDS LÄN</t>
        </is>
      </c>
      <c r="G367" t="inlineStr">
        <is>
          <t>ESKILSTUNA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46257</v>
      </c>
      <c r="F368" t="inlineStr">
        <is>
          <t>SÖDERMANLANDS LÄN</t>
        </is>
      </c>
      <c r="G368" t="inlineStr">
        <is>
          <t>ESKILSTUNA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46257</v>
      </c>
      <c r="F369" t="inlineStr">
        <is>
          <t>SÖDERMANLANDS LÄN</t>
        </is>
      </c>
      <c r="G369" t="inlineStr">
        <is>
          <t>ESKILSTUNA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46177</v>
      </c>
      <c r="E370" s="1" t="n">
        <v>46257</v>
      </c>
      <c r="F370" t="inlineStr">
        <is>
          <t>SÖDERMANLANDS LÄN</t>
        </is>
      </c>
      <c r="G370" t="inlineStr">
        <is>
          <t>ESKILSTUNA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46257</v>
      </c>
      <c r="F371" t="inlineStr">
        <is>
          <t>SÖDERMANLANDS LÄN</t>
        </is>
      </c>
      <c r="G371" t="inlineStr">
        <is>
          <t>ESKILSTUNA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46257</v>
      </c>
      <c r="F372" t="inlineStr">
        <is>
          <t>SÖDERMANLANDS LÄN</t>
        </is>
      </c>
      <c r="G372" t="inlineStr">
        <is>
          <t>ESKILSTUNA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46257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Kyrkan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44592</v>
      </c>
      <c r="E374" s="1" t="n">
        <v>46257</v>
      </c>
      <c r="F374" t="inlineStr">
        <is>
          <t>SÖDERMANLANDS LÄN</t>
        </is>
      </c>
      <c r="G374" t="inlineStr">
        <is>
          <t>ESKILSTUNA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45464</v>
      </c>
      <c r="E375" s="1" t="n">
        <v>46257</v>
      </c>
      <c r="F375" t="inlineStr">
        <is>
          <t>SÖDERMANLANDS LÄN</t>
        </is>
      </c>
      <c r="G375" t="inlineStr">
        <is>
          <t>ESKILSTUNA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46257</v>
      </c>
      <c r="F376" t="inlineStr">
        <is>
          <t>SÖDERMANLANDS LÄN</t>
        </is>
      </c>
      <c r="G376" t="inlineStr">
        <is>
          <t>ESKILSTUNA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46257</v>
      </c>
      <c r="F377" t="inlineStr">
        <is>
          <t>SÖDERMANLANDS LÄN</t>
        </is>
      </c>
      <c r="G377" t="inlineStr">
        <is>
          <t>ESKILSTUNA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26022-2026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46257</v>
      </c>
      <c r="F378" t="inlineStr">
        <is>
          <t>SÖDERMANLANDS LÄN</t>
        </is>
      </c>
      <c r="G378" t="inlineStr">
        <is>
          <t>ESKILSTUNA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46257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61829-2023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45266</v>
      </c>
      <c r="E380" s="1" t="n">
        <v>46257</v>
      </c>
      <c r="F380" t="inlineStr">
        <is>
          <t>SÖDERMANLANDS LÄN</t>
        </is>
      </c>
      <c r="G380" t="inlineStr">
        <is>
          <t>ESKILSTUNA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61831-2023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45266</v>
      </c>
      <c r="E381" s="1" t="n">
        <v>46257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61367-2021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44499</v>
      </c>
      <c r="E382" s="1" t="n">
        <v>46257</v>
      </c>
      <c r="F382" t="inlineStr">
        <is>
          <t>SÖDERMANLANDS LÄN</t>
        </is>
      </c>
      <c r="G382" t="inlineStr">
        <is>
          <t>ESKILSTUNA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70560-2021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46257</v>
      </c>
      <c r="F383" t="inlineStr">
        <is>
          <t>SÖDERMANLANDS LÄN</t>
        </is>
      </c>
      <c r="G383" t="inlineStr">
        <is>
          <t>ESKILSTUNA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46257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46257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46257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45713</v>
      </c>
      <c r="E387" s="1" t="n">
        <v>46257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Allmännings- och besparingsskogar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46257</v>
      </c>
      <c r="F388" t="inlineStr">
        <is>
          <t>SÖDERMANLANDS LÄN</t>
        </is>
      </c>
      <c r="G388" t="inlineStr">
        <is>
          <t>ESKILSTUNA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9646-2022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44617</v>
      </c>
      <c r="E389" s="1" t="n">
        <v>46257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27779-2026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46191</v>
      </c>
      <c r="E390" s="1" t="n">
        <v>46257</v>
      </c>
      <c r="F390" t="inlineStr">
        <is>
          <t>SÖDERMANLANDS LÄN</t>
        </is>
      </c>
      <c r="G390" t="inlineStr">
        <is>
          <t>ESKILSTUNA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57061-2021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46257</v>
      </c>
      <c r="F391" t="inlineStr">
        <is>
          <t>SÖDERMANLANDS LÄN</t>
        </is>
      </c>
      <c r="G391" t="inlineStr">
        <is>
          <t>ESKILSTUNA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26532-2022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44739</v>
      </c>
      <c r="E392" s="1" t="n">
        <v>46257</v>
      </c>
      <c r="F392" t="inlineStr">
        <is>
          <t>SÖDERMANLANDS LÄN</t>
        </is>
      </c>
      <c r="G392" t="inlineStr">
        <is>
          <t>ESKILSTUNA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46257</v>
      </c>
      <c r="F393" t="inlineStr">
        <is>
          <t>SÖDERMANLANDS LÄN</t>
        </is>
      </c>
      <c r="G393" t="inlineStr">
        <is>
          <t>ESKILSTUNA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46257</v>
      </c>
      <c r="F394" t="inlineStr">
        <is>
          <t>SÖDERMANLANDS LÄN</t>
        </is>
      </c>
      <c r="G394" t="inlineStr">
        <is>
          <t>ESKILSTUNA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27884-2026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46191</v>
      </c>
      <c r="E395" s="1" t="n">
        <v>46257</v>
      </c>
      <c r="F395" t="inlineStr">
        <is>
          <t>SÖDERMANLANDS LÄN</t>
        </is>
      </c>
      <c r="G395" t="inlineStr">
        <is>
          <t>ESKILSTUNA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32177-2026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46237</v>
      </c>
      <c r="E396" s="1" t="n">
        <v>46257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Sveaskog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57524-2022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44889</v>
      </c>
      <c r="E397" s="1" t="n">
        <v>46257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46257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46257</v>
      </c>
      <c r="F399" t="inlineStr">
        <is>
          <t>SÖDERMANLANDS LÄN</t>
        </is>
      </c>
      <c r="G399" t="inlineStr">
        <is>
          <t>ESKILSTUNA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46257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Övriga Aktiebolag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46238</v>
      </c>
      <c r="E401" s="1" t="n">
        <v>46257</v>
      </c>
      <c r="F401" t="inlineStr">
        <is>
          <t>SÖDERMANLANDS LÄN</t>
        </is>
      </c>
      <c r="G401" t="inlineStr">
        <is>
          <t>ESKILSTUNA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20180-2022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46257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46257</v>
      </c>
      <c r="F403" t="inlineStr">
        <is>
          <t>SÖDERMANLANDS LÄN</t>
        </is>
      </c>
      <c r="G403" t="inlineStr">
        <is>
          <t>ESKILSTUNA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46257</v>
      </c>
      <c r="F404" t="inlineStr">
        <is>
          <t>SÖDERMANLANDS LÄN</t>
        </is>
      </c>
      <c r="G404" t="inlineStr">
        <is>
          <t>ESKILSTUNA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46257</v>
      </c>
      <c r="F405" t="inlineStr">
        <is>
          <t>SÖDERMANLANDS LÄN</t>
        </is>
      </c>
      <c r="G405" t="inlineStr">
        <is>
          <t>ESKILSTUNA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46257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46239</v>
      </c>
      <c r="E407" s="1" t="n">
        <v>46257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46257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46257</v>
      </c>
      <c r="F409" t="inlineStr">
        <is>
          <t>SÖDERMANLANDS LÄN</t>
        </is>
      </c>
      <c r="G409" t="inlineStr">
        <is>
          <t>ESKILSTUNA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46257</v>
      </c>
      <c r="F410" t="inlineStr">
        <is>
          <t>SÖDERMANLANDS LÄN</t>
        </is>
      </c>
      <c r="G410" t="inlineStr">
        <is>
          <t>ESKILSTUNA</t>
        </is>
      </c>
      <c r="I410" t="n">
        <v>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46257</v>
      </c>
      <c r="F411" t="inlineStr">
        <is>
          <t>SÖDERMANLANDS LÄN</t>
        </is>
      </c>
      <c r="G411" t="inlineStr">
        <is>
          <t>ESKILSTUNA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46197</v>
      </c>
      <c r="E412" s="1" t="n">
        <v>46257</v>
      </c>
      <c r="F412" t="inlineStr">
        <is>
          <t>SÖDERMANLANDS LÄN</t>
        </is>
      </c>
      <c r="G412" t="inlineStr">
        <is>
          <t>ESKILSTUNA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44729</v>
      </c>
      <c r="E413" s="1" t="n">
        <v>46257</v>
      </c>
      <c r="F413" t="inlineStr">
        <is>
          <t>SÖDERMANLANDS LÄN</t>
        </is>
      </c>
      <c r="G413" t="inlineStr">
        <is>
          <t>ESKILSTUNA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18105-2026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46125</v>
      </c>
      <c r="E414" s="1" t="n">
        <v>46257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29053-2026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46199</v>
      </c>
      <c r="E415" s="1" t="n">
        <v>46257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13153-2026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46092</v>
      </c>
      <c r="E416" s="1" t="n">
        <v>46257</v>
      </c>
      <c r="F416" t="inlineStr">
        <is>
          <t>SÖDERMANLANDS LÄN</t>
        </is>
      </c>
      <c r="G416" t="inlineStr">
        <is>
          <t>ESKILSTUNA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46257</v>
      </c>
      <c r="F417" t="inlineStr">
        <is>
          <t>SÖDERMANLANDS LÄN</t>
        </is>
      </c>
      <c r="G417" t="inlineStr">
        <is>
          <t>ESKILSTUNA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46257</v>
      </c>
      <c r="F418" t="inlineStr">
        <is>
          <t>SÖDERMANLANDS LÄN</t>
        </is>
      </c>
      <c r="G418" t="inlineStr">
        <is>
          <t>ESKILSTUNA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29051-2026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46199</v>
      </c>
      <c r="E419" s="1" t="n">
        <v>46257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46245</v>
      </c>
      <c r="E420" s="1" t="n">
        <v>46257</v>
      </c>
      <c r="F420" t="inlineStr">
        <is>
          <t>SÖDERMANLANDS LÄN</t>
        </is>
      </c>
      <c r="G420" t="inlineStr">
        <is>
          <t>ESKILSTUNA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33087-2026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46245</v>
      </c>
      <c r="E421" s="1" t="n">
        <v>46257</v>
      </c>
      <c r="F421" t="inlineStr">
        <is>
          <t>SÖDERMANLANDS LÄN</t>
        </is>
      </c>
      <c r="G421" t="inlineStr">
        <is>
          <t>ESKILSTUNA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46257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44741</v>
      </c>
      <c r="E423" s="1" t="n">
        <v>46257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46257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45267</v>
      </c>
      <c r="E425" s="1" t="n">
        <v>46257</v>
      </c>
      <c r="F425" t="inlineStr">
        <is>
          <t>SÖDERMANLANDS LÄN</t>
        </is>
      </c>
      <c r="G425" t="inlineStr">
        <is>
          <t>ESKILSTUNA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46257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45190</v>
      </c>
      <c r="E427" s="1" t="n">
        <v>46257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46257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45183</v>
      </c>
      <c r="E429" s="1" t="n">
        <v>46257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15.8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46257</v>
      </c>
      <c r="F430" t="inlineStr">
        <is>
          <t>SÖDERMANLANDS LÄN</t>
        </is>
      </c>
      <c r="G430" t="inlineStr">
        <is>
          <t>ESKILSTUNA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46257</v>
      </c>
      <c r="F431" t="inlineStr">
        <is>
          <t>SÖDERMANLANDS LÄN</t>
        </is>
      </c>
      <c r="G431" t="inlineStr">
        <is>
          <t>ESKILSTUNA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46257</v>
      </c>
      <c r="F432" t="inlineStr">
        <is>
          <t>SÖDERMANLANDS LÄN</t>
        </is>
      </c>
      <c r="G432" t="inlineStr">
        <is>
          <t>ESKILSTUNA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46257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45992</v>
      </c>
      <c r="E434" s="1" t="n">
        <v>46257</v>
      </c>
      <c r="F434" t="inlineStr">
        <is>
          <t>SÖDERMANLANDS LÄN</t>
        </is>
      </c>
      <c r="G434" t="inlineStr">
        <is>
          <t>ESKILSTUNA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46257</v>
      </c>
      <c r="F435" t="inlineStr">
        <is>
          <t>SÖDERMANLANDS LÄN</t>
        </is>
      </c>
      <c r="G435" t="inlineStr">
        <is>
          <t>ESKILSTUNA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46257</v>
      </c>
      <c r="F436" t="inlineStr">
        <is>
          <t>SÖDERMANLANDS LÄN</t>
        </is>
      </c>
      <c r="G436" t="inlineStr">
        <is>
          <t>ESKILSTUNA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46257</v>
      </c>
      <c r="F437" t="inlineStr">
        <is>
          <t>SÖDERMANLANDS LÄN</t>
        </is>
      </c>
      <c r="G437" t="inlineStr">
        <is>
          <t>ESKILSTUNA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46164</v>
      </c>
      <c r="E438" s="1" t="n">
        <v>46257</v>
      </c>
      <c r="F438" t="inlineStr">
        <is>
          <t>SÖDERMANLANDS LÄN</t>
        </is>
      </c>
      <c r="G438" t="inlineStr">
        <is>
          <t>ESKILSTUNA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46257</v>
      </c>
      <c r="F439" t="inlineStr">
        <is>
          <t>SÖDERMANLANDS LÄN</t>
        </is>
      </c>
      <c r="G439" t="inlineStr">
        <is>
          <t>ESKILSTUNA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44664</v>
      </c>
      <c r="E440" s="1" t="n">
        <v>46257</v>
      </c>
      <c r="F440" t="inlineStr">
        <is>
          <t>SÖDERMANLANDS LÄN</t>
        </is>
      </c>
      <c r="G440" t="inlineStr">
        <is>
          <t>ESKILSTUNA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44789</v>
      </c>
      <c r="E441" s="1" t="n">
        <v>46257</v>
      </c>
      <c r="F441" t="inlineStr">
        <is>
          <t>SÖDERMANLANDS LÄN</t>
        </is>
      </c>
      <c r="G441" t="inlineStr">
        <is>
          <t>ESKILSTUNA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46257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46257</v>
      </c>
      <c r="F443" t="inlineStr">
        <is>
          <t>SÖDERMANLANDS LÄN</t>
        </is>
      </c>
      <c r="G443" t="inlineStr">
        <is>
          <t>ESKILSTUNA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46257</v>
      </c>
      <c r="F444" t="inlineStr">
        <is>
          <t>SÖDERMANLANDS LÄN</t>
        </is>
      </c>
      <c r="G444" t="inlineStr">
        <is>
          <t>ESKILSTUNA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46257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45833</v>
      </c>
      <c r="E446" s="1" t="n">
        <v>46257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54598-2021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44473</v>
      </c>
      <c r="E447" s="1" t="n">
        <v>46257</v>
      </c>
      <c r="F447" t="inlineStr">
        <is>
          <t>SÖDERMANLANDS LÄN</t>
        </is>
      </c>
      <c r="G447" t="inlineStr">
        <is>
          <t>ESKILSTUNA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55812-2022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46257</v>
      </c>
      <c r="F448" t="inlineStr">
        <is>
          <t>SÖDERMANLANDS LÄN</t>
        </is>
      </c>
      <c r="G448" t="inlineStr">
        <is>
          <t>ESKILSTUNA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50484-2025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45945</v>
      </c>
      <c r="E449" s="1" t="n">
        <v>46257</v>
      </c>
      <c r="F449" t="inlineStr">
        <is>
          <t>SÖDERMANLANDS LÄN</t>
        </is>
      </c>
      <c r="G449" t="inlineStr">
        <is>
          <t>ESKILSTUNA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46257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46257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46257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46257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46213</v>
      </c>
      <c r="E454" s="1" t="n">
        <v>46257</v>
      </c>
      <c r="F454" t="inlineStr">
        <is>
          <t>SÖDERMANLANDS LÄN</t>
        </is>
      </c>
      <c r="G454" t="inlineStr">
        <is>
          <t>ESKILSTUNA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45763</v>
      </c>
      <c r="E455" s="1" t="n">
        <v>46257</v>
      </c>
      <c r="F455" t="inlineStr">
        <is>
          <t>SÖDERMANLANDS LÄN</t>
        </is>
      </c>
      <c r="G455" t="inlineStr">
        <is>
          <t>ESKILSTUNA</t>
        </is>
      </c>
      <c r="I455" t="n">
        <v>15.6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44739</v>
      </c>
      <c r="E456" s="1" t="n">
        <v>46257</v>
      </c>
      <c r="F456" t="inlineStr">
        <is>
          <t>SÖDERMANLANDS LÄN</t>
        </is>
      </c>
      <c r="G456" t="inlineStr">
        <is>
          <t>ESKILSTUNA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46257</v>
      </c>
      <c r="F457" t="inlineStr">
        <is>
          <t>SÖDERMANLANDS LÄN</t>
        </is>
      </c>
      <c r="G457" t="inlineStr">
        <is>
          <t>ESKILSTUNA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46257</v>
      </c>
      <c r="F458" t="inlineStr">
        <is>
          <t>SÖDERMANLANDS LÄN</t>
        </is>
      </c>
      <c r="G458" t="inlineStr">
        <is>
          <t>ESKILSTUNA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46257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44804</v>
      </c>
      <c r="E460" s="1" t="n">
        <v>46257</v>
      </c>
      <c r="F460" t="inlineStr">
        <is>
          <t>SÖDERMANLANDS LÄN</t>
        </is>
      </c>
      <c r="G460" t="inlineStr">
        <is>
          <t>ESKILSTUNA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46257</v>
      </c>
      <c r="F461" t="inlineStr">
        <is>
          <t>SÖDERMANLANDS LÄN</t>
        </is>
      </c>
      <c r="G461" t="inlineStr">
        <is>
          <t>ESKILSTUNA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20823-2022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44701</v>
      </c>
      <c r="E462" s="1" t="n">
        <v>46257</v>
      </c>
      <c r="F462" t="inlineStr">
        <is>
          <t>SÖDERMANLANDS LÄN</t>
        </is>
      </c>
      <c r="G462" t="inlineStr">
        <is>
          <t>ESKILSTUNA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12547-2022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44638</v>
      </c>
      <c r="E463" s="1" t="n">
        <v>46257</v>
      </c>
      <c r="F463" t="inlineStr">
        <is>
          <t>SÖDERMANLANDS LÄN</t>
        </is>
      </c>
      <c r="G463" t="inlineStr">
        <is>
          <t>ESKILSTUNA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46257</v>
      </c>
      <c r="F464" t="inlineStr">
        <is>
          <t>SÖDERMANLANDS LÄN</t>
        </is>
      </c>
      <c r="G464" t="inlineStr">
        <is>
          <t>ESKILSTUNA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68022-2021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44525</v>
      </c>
      <c r="E465" s="1" t="n">
        <v>46257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61170-2021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44497</v>
      </c>
      <c r="E466" s="1" t="n">
        <v>46257</v>
      </c>
      <c r="F466" t="inlineStr">
        <is>
          <t>SÖDERMANLANDS LÄN</t>
        </is>
      </c>
      <c r="G466" t="inlineStr">
        <is>
          <t>ESKILSTUNA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45182</v>
      </c>
      <c r="E467" s="1" t="n">
        <v>46257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29068-2022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46257</v>
      </c>
      <c r="F468" t="inlineStr">
        <is>
          <t>SÖDERMANLANDS LÄN</t>
        </is>
      </c>
      <c r="G468" t="inlineStr">
        <is>
          <t>ESKILSTUNA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44946</v>
      </c>
      <c r="E469" s="1" t="n">
        <v>46257</v>
      </c>
      <c r="F469" t="inlineStr">
        <is>
          <t>SÖDERMANLANDS LÄN</t>
        </is>
      </c>
      <c r="G469" t="inlineStr">
        <is>
          <t>ESKILSTUNA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45159</v>
      </c>
      <c r="E470" s="1" t="n">
        <v>46257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Kommuner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44746</v>
      </c>
      <c r="E471" s="1" t="n">
        <v>46257</v>
      </c>
      <c r="F471" t="inlineStr">
        <is>
          <t>SÖDERMANLANDS LÄN</t>
        </is>
      </c>
      <c r="G471" t="inlineStr">
        <is>
          <t>ESKILSTUNA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46257</v>
      </c>
      <c r="F472" t="inlineStr">
        <is>
          <t>SÖDERMANLANDS LÄN</t>
        </is>
      </c>
      <c r="G472" t="inlineStr">
        <is>
          <t>ESKILSTUNA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46257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22605-2023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45071</v>
      </c>
      <c r="E474" s="1" t="n">
        <v>46257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Kyrkan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46257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46257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46257</v>
      </c>
      <c r="F477" t="inlineStr">
        <is>
          <t>SÖDERMANLANDS LÄN</t>
        </is>
      </c>
      <c r="G477" t="inlineStr">
        <is>
          <t>ESKILSTUNA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9711-2025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45715</v>
      </c>
      <c r="E478" s="1" t="n">
        <v>46257</v>
      </c>
      <c r="F478" t="inlineStr">
        <is>
          <t>SÖDERMANLANDS LÄN</t>
        </is>
      </c>
      <c r="G478" t="inlineStr">
        <is>
          <t>ESKILSTUNA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46257</v>
      </c>
      <c r="F479" t="inlineStr">
        <is>
          <t>SÖDERMANLANDS LÄN</t>
        </is>
      </c>
      <c r="G479" t="inlineStr">
        <is>
          <t>ESKILSTUNA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40930-2025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45897</v>
      </c>
      <c r="E480" s="1" t="n">
        <v>46257</v>
      </c>
      <c r="F480" t="inlineStr">
        <is>
          <t>SÖDERMANLANDS LÄN</t>
        </is>
      </c>
      <c r="G480" t="inlineStr">
        <is>
          <t>ESKILSTUNA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46257</v>
      </c>
      <c r="F481" t="inlineStr">
        <is>
          <t>SÖDERMANLANDS LÄN</t>
        </is>
      </c>
      <c r="G481" t="inlineStr">
        <is>
          <t>ESKILSTUNA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46257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45737</v>
      </c>
      <c r="E483" s="1" t="n">
        <v>46257</v>
      </c>
      <c r="F483" t="inlineStr">
        <is>
          <t>SÖDERMANLANDS LÄN</t>
        </is>
      </c>
      <c r="G483" t="inlineStr">
        <is>
          <t>ESKILSTUNA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45365</v>
      </c>
      <c r="E484" s="1" t="n">
        <v>46257</v>
      </c>
      <c r="F484" t="inlineStr">
        <is>
          <t>SÖDERMANLANDS LÄN</t>
        </is>
      </c>
      <c r="G484" t="inlineStr">
        <is>
          <t>ESKILSTUNA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44953</v>
      </c>
      <c r="E485" s="1" t="n">
        <v>46257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9.6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45642</v>
      </c>
      <c r="E486" s="1" t="n">
        <v>46257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44593</v>
      </c>
      <c r="E487" s="1" t="n">
        <v>46257</v>
      </c>
      <c r="F487" t="inlineStr">
        <is>
          <t>SÖDERMANLANDS LÄN</t>
        </is>
      </c>
      <c r="G487" t="inlineStr">
        <is>
          <t>ESKILSTUNA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46257</v>
      </c>
      <c r="F488" t="inlineStr">
        <is>
          <t>SÖDERMANLANDS LÄN</t>
        </is>
      </c>
      <c r="G488" t="inlineStr">
        <is>
          <t>ESKILSTUNA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46257</v>
      </c>
      <c r="F489" t="inlineStr">
        <is>
          <t>SÖDERMANLANDS LÄN</t>
        </is>
      </c>
      <c r="G489" t="inlineStr">
        <is>
          <t>ESKILSTUNA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46257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46257</v>
      </c>
      <c r="F491" t="inlineStr">
        <is>
          <t>SÖDERMANLANDS LÄN</t>
        </is>
      </c>
      <c r="G491" t="inlineStr">
        <is>
          <t>ESKILSTUNA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24534-2025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45798</v>
      </c>
      <c r="E492" s="1" t="n">
        <v>46257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24535-2025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45798</v>
      </c>
      <c r="E493" s="1" t="n">
        <v>46257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24536-2025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45798</v>
      </c>
      <c r="E494" s="1" t="n">
        <v>46257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1333-2020</t>
        </is>
      </c>
      <c r="B495" t="inlineStr">
        <is>
          <t>samrådsanmälan</t>
        </is>
      </c>
      <c r="C495" t="inlineStr">
        <is>
          <t>Åtgärd i nyckelbiotop</t>
        </is>
      </c>
      <c r="D495" s="1" t="n">
        <v>43993</v>
      </c>
      <c r="E495" s="1" t="n">
        <v>46257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Allmännings- och besparingsskogar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383-2023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44959</v>
      </c>
      <c r="E496" s="1" t="n">
        <v>46257</v>
      </c>
      <c r="F496" t="inlineStr">
        <is>
          <t>SÖDERMANLANDS LÄN</t>
        </is>
      </c>
      <c r="G496" t="inlineStr">
        <is>
          <t>ESKILSTUNA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6471-2021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44449</v>
      </c>
      <c r="E497" s="1" t="n">
        <v>46257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3665-2023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45217</v>
      </c>
      <c r="E498" s="1" t="n">
        <v>46257</v>
      </c>
      <c r="F498" t="inlineStr">
        <is>
          <t>SÖDERMANLANDS LÄN</t>
        </is>
      </c>
      <c r="G498" t="inlineStr">
        <is>
          <t>ESKILSTUNA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4583-2023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45282</v>
      </c>
      <c r="E499" s="1" t="n">
        <v>46257</v>
      </c>
      <c r="F499" t="inlineStr">
        <is>
          <t>SÖDERMANLANDS LÄN</t>
        </is>
      </c>
      <c r="G499" t="inlineStr">
        <is>
          <t>ESKILSTUNA</t>
        </is>
      </c>
      <c r="I499" t="n">
        <v>31.4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1601-2025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46257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1602-2025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45798</v>
      </c>
      <c r="E501" s="1" t="n">
        <v>46257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291-2025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45686</v>
      </c>
      <c r="E502" s="1" t="n">
        <v>46257</v>
      </c>
      <c r="F502" t="inlineStr">
        <is>
          <t>SÖDERMANLANDS LÄN</t>
        </is>
      </c>
      <c r="G502" t="inlineStr">
        <is>
          <t>ESKILSTUNA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2917-2024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45504</v>
      </c>
      <c r="E503" s="1" t="n">
        <v>46257</v>
      </c>
      <c r="F503" t="inlineStr">
        <is>
          <t>SÖDERMANLANDS LÄN</t>
        </is>
      </c>
      <c r="G503" t="inlineStr">
        <is>
          <t>ESKILSTUNA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1920-2025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45826</v>
      </c>
      <c r="E504" s="1" t="n">
        <v>46257</v>
      </c>
      <c r="F504" t="inlineStr">
        <is>
          <t>SÖDERMANLANDS LÄN</t>
        </is>
      </c>
      <c r="G504" t="inlineStr">
        <is>
          <t>ESKILSTUNA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1030-2026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46125</v>
      </c>
      <c r="E505" s="1" t="n">
        <v>46257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46257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>
      <c r="A507" t="inlineStr">
        <is>
          <t>S 1871-2026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46199</v>
      </c>
      <c r="E507" s="1" t="n">
        <v>46257</v>
      </c>
      <c r="F507" t="inlineStr">
        <is>
          <t>SÖDERMANLANDS LÄN</t>
        </is>
      </c>
      <c r="G507" t="inlineStr">
        <is>
          <t>ESKILSTUNA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2026-08-23T01:48:38Z</dcterms:created>
  <dcterms:modified xmlns:dcterms="http://purl.org/dc/terms/" xmlns:xsi="http://www.w3.org/2001/XMLSchema-instance" xsi:type="dcterms:W3CDTF">2026-08-23T01:48:39Z</dcterms:modified>
</cp:coreProperties>
</file>