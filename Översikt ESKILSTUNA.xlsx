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45679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45679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45679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45679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45679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45679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45679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45679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45679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45679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42793-2023</t>
        </is>
      </c>
      <c r="B12" s="1" t="n">
        <v>45181</v>
      </c>
      <c r="C12" s="1" t="n">
        <v>45679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Allmännings- och besparingsskogar</t>
        </is>
      </c>
      <c r="G12" t="n">
        <v>14.7</v>
      </c>
      <c r="H12" t="n">
        <v>2</v>
      </c>
      <c r="I12" t="n">
        <v>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Motaggsvamp
Spillkråka
Tallticka
Talltita
Blomkålssvamp
Dropptaggsvamp
Mindre märgborre</t>
        </is>
      </c>
      <c r="S12">
        <f>HYPERLINK("https://klasma.github.io/Logging_0484/artfynd/A 42793-2023 artfynd.xlsx", "A 42793-2023")</f>
        <v/>
      </c>
      <c r="T12">
        <f>HYPERLINK("https://klasma.github.io/Logging_0484/kartor/A 42793-2023 karta.png", "A 42793-2023")</f>
        <v/>
      </c>
      <c r="U12">
        <f>HYPERLINK("https://klasma.github.io/Logging_0484/knärot/A 42793-2023 karta knärot.png", "A 42793-2023")</f>
        <v/>
      </c>
      <c r="V12">
        <f>HYPERLINK("https://klasma.github.io/Logging_0484/klagomål/A 42793-2023 FSC-klagomål.docx", "A 42793-2023")</f>
        <v/>
      </c>
      <c r="W12">
        <f>HYPERLINK("https://klasma.github.io/Logging_0484/klagomålsmail/A 42793-2023 FSC-klagomål mail.docx", "A 42793-2023")</f>
        <v/>
      </c>
      <c r="X12">
        <f>HYPERLINK("https://klasma.github.io/Logging_0484/tillsyn/A 42793-2023 tillsynsbegäran.docx", "A 42793-2023")</f>
        <v/>
      </c>
      <c r="Y12">
        <f>HYPERLINK("https://klasma.github.io/Logging_0484/tillsynsmail/A 42793-2023 tillsynsbegäran mail.docx", "A 42793-2023")</f>
        <v/>
      </c>
      <c r="Z12">
        <f>HYPERLINK("https://klasma.github.io/Logging_0484/fåglar/A 42793-2023 prioriterade fågelarter.docx", "A 42793-2023")</f>
        <v/>
      </c>
    </row>
    <row r="13" ht="15" customHeight="1">
      <c r="A13" t="inlineStr">
        <is>
          <t>A 30651-2024</t>
        </is>
      </c>
      <c r="B13" s="1" t="n">
        <v>45495</v>
      </c>
      <c r="C13" s="1" t="n">
        <v>45679</v>
      </c>
      <c r="D13" t="inlineStr">
        <is>
          <t>SÖDERMANLANDS LÄN</t>
        </is>
      </c>
      <c r="E13" t="inlineStr">
        <is>
          <t>ESKILSTUNA</t>
        </is>
      </c>
      <c r="G13" t="n">
        <v>4.1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7</v>
      </c>
      <c r="R13" s="2" t="inlineStr">
        <is>
          <t>Skogsalm
Ask
Spillkråka
Svart trolldruva
Grönvit nattviol
Nattviol
Blåsippa</t>
        </is>
      </c>
      <c r="S13">
        <f>HYPERLINK("https://klasma.github.io/Logging_0484/artfynd/A 30651-2024 artfynd.xlsx", "A 30651-2024")</f>
        <v/>
      </c>
      <c r="T13">
        <f>HYPERLINK("https://klasma.github.io/Logging_0484/kartor/A 30651-2024 karta.png", "A 30651-2024")</f>
        <v/>
      </c>
      <c r="V13">
        <f>HYPERLINK("https://klasma.github.io/Logging_0484/klagomål/A 30651-2024 FSC-klagomål.docx", "A 30651-2024")</f>
        <v/>
      </c>
      <c r="W13">
        <f>HYPERLINK("https://klasma.github.io/Logging_0484/klagomålsmail/A 30651-2024 FSC-klagomål mail.docx", "A 30651-2024")</f>
        <v/>
      </c>
      <c r="X13">
        <f>HYPERLINK("https://klasma.github.io/Logging_0484/tillsyn/A 30651-2024 tillsynsbegäran.docx", "A 30651-2024")</f>
        <v/>
      </c>
      <c r="Y13">
        <f>HYPERLINK("https://klasma.github.io/Logging_0484/tillsynsmail/A 30651-2024 tillsynsbegäran mail.docx", "A 30651-2024")</f>
        <v/>
      </c>
      <c r="Z13">
        <f>HYPERLINK("https://klasma.github.io/Logging_0484/fåglar/A 30651-2024 prioriterade fågelarter.docx", "A 30651-2024")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45679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45679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22264-2022</t>
        </is>
      </c>
      <c r="B16" s="1" t="n">
        <v>44712</v>
      </c>
      <c r="C16" s="1" t="n">
        <v>45679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4.7</v>
      </c>
      <c r="H16" t="n">
        <v>2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6</v>
      </c>
      <c r="R16" s="2" t="inlineStr">
        <is>
          <t>Motaggsvamp
Grönpyrola
Mindre märgborre
Skarp dropptaggsvamp
Mattlummer
Revlummer</t>
        </is>
      </c>
      <c r="S16">
        <f>HYPERLINK("https://klasma.github.io/Logging_0484/artfynd/A 22264-2022 artfynd.xlsx", "A 22264-2022")</f>
        <v/>
      </c>
      <c r="T16">
        <f>HYPERLINK("https://klasma.github.io/Logging_0484/kartor/A 22264-2022 karta.png", "A 22264-2022")</f>
        <v/>
      </c>
      <c r="V16">
        <f>HYPERLINK("https://klasma.github.io/Logging_0484/klagomål/A 22264-2022 FSC-klagomål.docx", "A 22264-2022")</f>
        <v/>
      </c>
      <c r="W16">
        <f>HYPERLINK("https://klasma.github.io/Logging_0484/klagomålsmail/A 22264-2022 FSC-klagomål mail.docx", "A 22264-2022")</f>
        <v/>
      </c>
      <c r="X16">
        <f>HYPERLINK("https://klasma.github.io/Logging_0484/tillsyn/A 22264-2022 tillsynsbegäran.docx", "A 22264-2022")</f>
        <v/>
      </c>
      <c r="Y16">
        <f>HYPERLINK("https://klasma.github.io/Logging_0484/tillsynsmail/A 22264-2022 tillsynsbegäran mail.docx", "A 22264-2022")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45679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45679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45679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45679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45679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45679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45679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45679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45679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45679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45679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45679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45679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45679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45679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45679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45679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52802-2023</t>
        </is>
      </c>
      <c r="B34" s="1" t="n">
        <v>45226</v>
      </c>
      <c r="C34" s="1" t="n">
        <v>45679</v>
      </c>
      <c r="D34" t="inlineStr">
        <is>
          <t>SÖDERMANLANDS LÄN</t>
        </is>
      </c>
      <c r="E34" t="inlineStr">
        <is>
          <t>ESKILSTUNA</t>
        </is>
      </c>
      <c r="G34" t="n">
        <v>4.8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Klasefibbla
Skogsklocka
Talltita
Bronshjon</t>
        </is>
      </c>
      <c r="S34">
        <f>HYPERLINK("https://klasma.github.io/Logging_0484/artfynd/A 52802-2023 artfynd.xlsx", "A 52802-2023")</f>
        <v/>
      </c>
      <c r="T34">
        <f>HYPERLINK("https://klasma.github.io/Logging_0484/kartor/A 52802-2023 karta.png", "A 52802-2023")</f>
        <v/>
      </c>
      <c r="V34">
        <f>HYPERLINK("https://klasma.github.io/Logging_0484/klagomål/A 52802-2023 FSC-klagomål.docx", "A 52802-2023")</f>
        <v/>
      </c>
      <c r="W34">
        <f>HYPERLINK("https://klasma.github.io/Logging_0484/klagomålsmail/A 52802-2023 FSC-klagomål mail.docx", "A 52802-2023")</f>
        <v/>
      </c>
      <c r="X34">
        <f>HYPERLINK("https://klasma.github.io/Logging_0484/tillsyn/A 52802-2023 tillsynsbegäran.docx", "A 52802-2023")</f>
        <v/>
      </c>
      <c r="Y34">
        <f>HYPERLINK("https://klasma.github.io/Logging_0484/tillsynsmail/A 52802-2023 tillsynsbegäran mail.docx", "A 52802-2023")</f>
        <v/>
      </c>
      <c r="Z34">
        <f>HYPERLINK("https://klasma.github.io/Logging_0484/fåglar/A 52802-2023 prioriterade fågelarter.docx", "A 52802-2023")</f>
        <v/>
      </c>
    </row>
    <row r="35" ht="15" customHeight="1">
      <c r="A35" t="inlineStr">
        <is>
          <t>A 30618-2024</t>
        </is>
      </c>
      <c r="B35" s="1" t="n">
        <v>45495</v>
      </c>
      <c r="C35" s="1" t="n">
        <v>45679</v>
      </c>
      <c r="D35" t="inlineStr">
        <is>
          <t>SÖDERMANLANDS LÄN</t>
        </is>
      </c>
      <c r="E35" t="inlineStr">
        <is>
          <t>ESKILSTUNA</t>
        </is>
      </c>
      <c r="G35" t="n">
        <v>3.2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Svinrot
Brandticka
Svart trolldruva
Blåsippa</t>
        </is>
      </c>
      <c r="S35">
        <f>HYPERLINK("https://klasma.github.io/Logging_0484/artfynd/A 30618-2024 artfynd.xlsx", "A 30618-2024")</f>
        <v/>
      </c>
      <c r="T35">
        <f>HYPERLINK("https://klasma.github.io/Logging_0484/kartor/A 30618-2024 karta.png", "A 30618-2024")</f>
        <v/>
      </c>
      <c r="V35">
        <f>HYPERLINK("https://klasma.github.io/Logging_0484/klagomål/A 30618-2024 FSC-klagomål.docx", "A 30618-2024")</f>
        <v/>
      </c>
      <c r="W35">
        <f>HYPERLINK("https://klasma.github.io/Logging_0484/klagomålsmail/A 30618-2024 FSC-klagomål mail.docx", "A 30618-2024")</f>
        <v/>
      </c>
      <c r="X35">
        <f>HYPERLINK("https://klasma.github.io/Logging_0484/tillsyn/A 30618-2024 tillsynsbegäran.docx", "A 30618-2024")</f>
        <v/>
      </c>
      <c r="Y35">
        <f>HYPERLINK("https://klasma.github.io/Logging_0484/tillsynsmail/A 30618-2024 tillsynsbegäran mail.docx", "A 30618-2024")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45679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45679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45679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45679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  <c r="Z39">
        <f>HYPERLINK("https://klasma.github.io/Logging_0484/fåglar/A 15060-2022 prioriterade fågelarter.docx", "A 15060-2022")</f>
        <v/>
      </c>
    </row>
    <row r="40" ht="15" customHeight="1">
      <c r="A40" t="inlineStr">
        <is>
          <t>A 22265-2022</t>
        </is>
      </c>
      <c r="B40" s="1" t="n">
        <v>44712</v>
      </c>
      <c r="C40" s="1" t="n">
        <v>45679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Sveaskog</t>
        </is>
      </c>
      <c r="G40" t="n">
        <v>4.3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Mattlummer</t>
        </is>
      </c>
      <c r="S40">
        <f>HYPERLINK("https://klasma.github.io/Logging_0484/artfynd/A 22265-2022 artfynd.xlsx", "A 22265-2022")</f>
        <v/>
      </c>
      <c r="T40">
        <f>HYPERLINK("https://klasma.github.io/Logging_0484/kartor/A 22265-2022 karta.png", "A 22265-2022")</f>
        <v/>
      </c>
      <c r="U40">
        <f>HYPERLINK("https://klasma.github.io/Logging_0484/knärot/A 22265-2022 karta knärot.png", "A 22265-2022")</f>
        <v/>
      </c>
      <c r="V40">
        <f>HYPERLINK("https://klasma.github.io/Logging_0484/klagomål/A 22265-2022 FSC-klagomål.docx", "A 22265-2022")</f>
        <v/>
      </c>
      <c r="W40">
        <f>HYPERLINK("https://klasma.github.io/Logging_0484/klagomålsmail/A 22265-2022 FSC-klagomål mail.docx", "A 22265-2022")</f>
        <v/>
      </c>
      <c r="X40">
        <f>HYPERLINK("https://klasma.github.io/Logging_0484/tillsyn/A 22265-2022 tillsynsbegäran.docx", "A 22265-2022")</f>
        <v/>
      </c>
      <c r="Y40">
        <f>HYPERLINK("https://klasma.github.io/Logging_0484/tillsynsmail/A 22265-2022 tillsynsbegäran mail.docx", "A 22265-2022")</f>
        <v/>
      </c>
    </row>
    <row r="41" ht="15" customHeight="1">
      <c r="A41" t="inlineStr">
        <is>
          <t>A 61503-2022</t>
        </is>
      </c>
      <c r="B41" s="1" t="n">
        <v>44916</v>
      </c>
      <c r="C41" s="1" t="n">
        <v>45679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Mindre bastardsvärmare
Skogsklocka
Svinrot</t>
        </is>
      </c>
      <c r="S41">
        <f>HYPERLINK("https://klasma.github.io/Logging_0484/artfynd/A 61503-2022 artfynd.xlsx", "A 61503-2022")</f>
        <v/>
      </c>
      <c r="T41">
        <f>HYPERLINK("https://klasma.github.io/Logging_0484/kartor/A 61503-2022 karta.png", "A 61503-2022")</f>
        <v/>
      </c>
      <c r="V41">
        <f>HYPERLINK("https://klasma.github.io/Logging_0484/klagomål/A 61503-2022 FSC-klagomål.docx", "A 61503-2022")</f>
        <v/>
      </c>
      <c r="W41">
        <f>HYPERLINK("https://klasma.github.io/Logging_0484/klagomålsmail/A 61503-2022 FSC-klagomål mail.docx", "A 61503-2022")</f>
        <v/>
      </c>
      <c r="X41">
        <f>HYPERLINK("https://klasma.github.io/Logging_0484/tillsyn/A 61503-2022 tillsynsbegäran.docx", "A 61503-2022")</f>
        <v/>
      </c>
      <c r="Y41">
        <f>HYPERLINK("https://klasma.github.io/Logging_0484/tillsynsmail/A 61503-2022 tillsynsbegäran mail.docx", "A 61503-2022")</f>
        <v/>
      </c>
    </row>
    <row r="42" ht="15" customHeight="1">
      <c r="A42" t="inlineStr">
        <is>
          <t>A 4212-2023</t>
        </is>
      </c>
      <c r="B42" s="1" t="n">
        <v>44953</v>
      </c>
      <c r="C42" s="1" t="n">
        <v>45679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Kyrkan</t>
        </is>
      </c>
      <c r="G42" t="n">
        <v>0.7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Mindre hackspett
Granbarkgnagare
Blåsippa</t>
        </is>
      </c>
      <c r="S42">
        <f>HYPERLINK("https://klasma.github.io/Logging_0484/artfynd/A 4212-2023 artfynd.xlsx", "A 4212-2023")</f>
        <v/>
      </c>
      <c r="T42">
        <f>HYPERLINK("https://klasma.github.io/Logging_0484/kartor/A 4212-2023 karta.png", "A 4212-2023")</f>
        <v/>
      </c>
      <c r="U42">
        <f>HYPERLINK("https://klasma.github.io/Logging_0484/knärot/A 4212-2023 karta knärot.png", "A 4212-2023")</f>
        <v/>
      </c>
      <c r="V42">
        <f>HYPERLINK("https://klasma.github.io/Logging_0484/klagomål/A 4212-2023 FSC-klagomål.docx", "A 4212-2023")</f>
        <v/>
      </c>
      <c r="W42">
        <f>HYPERLINK("https://klasma.github.io/Logging_0484/klagomålsmail/A 4212-2023 FSC-klagomål mail.docx", "A 4212-2023")</f>
        <v/>
      </c>
      <c r="X42">
        <f>HYPERLINK("https://klasma.github.io/Logging_0484/tillsyn/A 4212-2023 tillsynsbegäran.docx", "A 4212-2023")</f>
        <v/>
      </c>
      <c r="Y42">
        <f>HYPERLINK("https://klasma.github.io/Logging_0484/tillsynsmail/A 4212-2023 tillsynsbegäran mail.docx", "A 4212-2023")</f>
        <v/>
      </c>
      <c r="Z42">
        <f>HYPERLINK("https://klasma.github.io/Logging_0484/fåglar/A 4212-2023 prioriterade fågelarter.docx", "A 4212-2023")</f>
        <v/>
      </c>
    </row>
    <row r="43" ht="15" customHeight="1">
      <c r="A43" t="inlineStr">
        <is>
          <t>A 18968-2023</t>
        </is>
      </c>
      <c r="B43" s="1" t="n">
        <v>45044</v>
      </c>
      <c r="C43" s="1" t="n">
        <v>45679</v>
      </c>
      <c r="D43" t="inlineStr">
        <is>
          <t>SÖDERMANLANDS LÄN</t>
        </is>
      </c>
      <c r="E43" t="inlineStr">
        <is>
          <t>ESKILSTUNA</t>
        </is>
      </c>
      <c r="G43" t="n">
        <v>3.6</v>
      </c>
      <c r="H43" t="n">
        <v>0</v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Ask
Svart trolldruva
Tibast</t>
        </is>
      </c>
      <c r="S43">
        <f>HYPERLINK("https://klasma.github.io/Logging_0484/artfynd/A 18968-2023 artfynd.xlsx", "A 18968-2023")</f>
        <v/>
      </c>
      <c r="T43">
        <f>HYPERLINK("https://klasma.github.io/Logging_0484/kartor/A 18968-2023 karta.png", "A 18968-2023")</f>
        <v/>
      </c>
      <c r="V43">
        <f>HYPERLINK("https://klasma.github.io/Logging_0484/klagomål/A 18968-2023 FSC-klagomål.docx", "A 18968-2023")</f>
        <v/>
      </c>
      <c r="W43">
        <f>HYPERLINK("https://klasma.github.io/Logging_0484/klagomålsmail/A 18968-2023 FSC-klagomål mail.docx", "A 18968-2023")</f>
        <v/>
      </c>
      <c r="X43">
        <f>HYPERLINK("https://klasma.github.io/Logging_0484/tillsyn/A 18968-2023 tillsynsbegäran.docx", "A 18968-2023")</f>
        <v/>
      </c>
      <c r="Y43">
        <f>HYPERLINK("https://klasma.github.io/Logging_0484/tillsynsmail/A 18968-2023 tillsynsbegäran mail.docx", "A 18968-2023")</f>
        <v/>
      </c>
    </row>
    <row r="44" ht="15" customHeight="1">
      <c r="A44" t="inlineStr">
        <is>
          <t>A 18962-2023</t>
        </is>
      </c>
      <c r="B44" s="1" t="n">
        <v>45044</v>
      </c>
      <c r="C44" s="1" t="n">
        <v>45679</v>
      </c>
      <c r="D44" t="inlineStr">
        <is>
          <t>SÖDERMANLANDS LÄN</t>
        </is>
      </c>
      <c r="E44" t="inlineStr">
        <is>
          <t>ESKILSTUNA</t>
        </is>
      </c>
      <c r="G44" t="n">
        <v>7.3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märgborre
Vätteros
Blåsippa</t>
        </is>
      </c>
      <c r="S44">
        <f>HYPERLINK("https://klasma.github.io/Logging_0484/artfynd/A 18962-2023 artfynd.xlsx", "A 18962-2023")</f>
        <v/>
      </c>
      <c r="T44">
        <f>HYPERLINK("https://klasma.github.io/Logging_0484/kartor/A 18962-2023 karta.png", "A 18962-2023")</f>
        <v/>
      </c>
      <c r="U44">
        <f>HYPERLINK("https://klasma.github.io/Logging_0484/knärot/A 18962-2023 karta knärot.png", "A 18962-2023")</f>
        <v/>
      </c>
      <c r="V44">
        <f>HYPERLINK("https://klasma.github.io/Logging_0484/klagomål/A 18962-2023 FSC-klagomål.docx", "A 18962-2023")</f>
        <v/>
      </c>
      <c r="W44">
        <f>HYPERLINK("https://klasma.github.io/Logging_0484/klagomålsmail/A 18962-2023 FSC-klagomål mail.docx", "A 18962-2023")</f>
        <v/>
      </c>
      <c r="X44">
        <f>HYPERLINK("https://klasma.github.io/Logging_0484/tillsyn/A 18962-2023 tillsynsbegäran.docx", "A 18962-2023")</f>
        <v/>
      </c>
      <c r="Y44">
        <f>HYPERLINK("https://klasma.github.io/Logging_0484/tillsynsmail/A 18962-2023 tillsynsbegäran mail.docx", "A 18962-2023")</f>
        <v/>
      </c>
    </row>
    <row r="45" ht="15" customHeight="1">
      <c r="A45" t="inlineStr">
        <is>
          <t>A 49457-2023</t>
        </is>
      </c>
      <c r="B45" s="1" t="n">
        <v>45211</v>
      </c>
      <c r="C45" s="1" t="n">
        <v>45679</v>
      </c>
      <c r="D45" t="inlineStr">
        <is>
          <t>SÖDERMANLANDS LÄN</t>
        </is>
      </c>
      <c r="E45" t="inlineStr">
        <is>
          <t>ESKILSTUNA</t>
        </is>
      </c>
      <c r="G45" t="n">
        <v>0.7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Fläcknycklar
Blåsippa
Revlummer</t>
        </is>
      </c>
      <c r="S45">
        <f>HYPERLINK("https://klasma.github.io/Logging_0484/artfynd/A 49457-2023 artfynd.xlsx", "A 49457-2023")</f>
        <v/>
      </c>
      <c r="T45">
        <f>HYPERLINK("https://klasma.github.io/Logging_0484/kartor/A 49457-2023 karta.png", "A 49457-2023")</f>
        <v/>
      </c>
      <c r="V45">
        <f>HYPERLINK("https://klasma.github.io/Logging_0484/klagomål/A 49457-2023 FSC-klagomål.docx", "A 49457-2023")</f>
        <v/>
      </c>
      <c r="W45">
        <f>HYPERLINK("https://klasma.github.io/Logging_0484/klagomålsmail/A 49457-2023 FSC-klagomål mail.docx", "A 49457-2023")</f>
        <v/>
      </c>
      <c r="X45">
        <f>HYPERLINK("https://klasma.github.io/Logging_0484/tillsyn/A 49457-2023 tillsynsbegäran.docx", "A 49457-2023")</f>
        <v/>
      </c>
      <c r="Y45">
        <f>HYPERLINK("https://klasma.github.io/Logging_0484/tillsynsmail/A 49457-2023 tillsynsbegäran mail.docx", "A 49457-2023")</f>
        <v/>
      </c>
    </row>
    <row r="46" ht="15" customHeight="1">
      <c r="A46" t="inlineStr">
        <is>
          <t>A 12443-2024</t>
        </is>
      </c>
      <c r="B46" s="1" t="n">
        <v>45379</v>
      </c>
      <c r="C46" s="1" t="n">
        <v>45679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8.9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Blåsippa
Mattlummer
Revlummer</t>
        </is>
      </c>
      <c r="S46">
        <f>HYPERLINK("https://klasma.github.io/Logging_0484/artfynd/A 12443-2024 artfynd.xlsx", "A 12443-2024")</f>
        <v/>
      </c>
      <c r="T46">
        <f>HYPERLINK("https://klasma.github.io/Logging_0484/kartor/A 12443-2024 karta.png", "A 12443-2024")</f>
        <v/>
      </c>
      <c r="V46">
        <f>HYPERLINK("https://klasma.github.io/Logging_0484/klagomål/A 12443-2024 FSC-klagomål.docx", "A 12443-2024")</f>
        <v/>
      </c>
      <c r="W46">
        <f>HYPERLINK("https://klasma.github.io/Logging_0484/klagomålsmail/A 12443-2024 FSC-klagomål mail.docx", "A 12443-2024")</f>
        <v/>
      </c>
      <c r="X46">
        <f>HYPERLINK("https://klasma.github.io/Logging_0484/tillsyn/A 12443-2024 tillsynsbegäran.docx", "A 12443-2024")</f>
        <v/>
      </c>
      <c r="Y46">
        <f>HYPERLINK("https://klasma.github.io/Logging_0484/tillsynsmail/A 12443-2024 tillsynsbegäran mail.docx", "A 12443-2024")</f>
        <v/>
      </c>
    </row>
    <row r="47" ht="15" customHeight="1">
      <c r="A47" t="inlineStr">
        <is>
          <t>A 30655-2024</t>
        </is>
      </c>
      <c r="B47" s="1" t="n">
        <v>45495</v>
      </c>
      <c r="C47" s="1" t="n">
        <v>45679</v>
      </c>
      <c r="D47" t="inlineStr">
        <is>
          <t>SÖDERMANLANDS LÄN</t>
        </is>
      </c>
      <c r="E47" t="inlineStr">
        <is>
          <t>ESKILSTUNA</t>
        </is>
      </c>
      <c r="G47" t="n">
        <v>3.7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Knärot
Ullticka
Björksplintborre</t>
        </is>
      </c>
      <c r="S47">
        <f>HYPERLINK("https://klasma.github.io/Logging_0484/artfynd/A 30655-2024 artfynd.xlsx", "A 30655-2024")</f>
        <v/>
      </c>
      <c r="T47">
        <f>HYPERLINK("https://klasma.github.io/Logging_0484/kartor/A 30655-2024 karta.png", "A 30655-2024")</f>
        <v/>
      </c>
      <c r="U47">
        <f>HYPERLINK("https://klasma.github.io/Logging_0484/knärot/A 30655-2024 karta knärot.png", "A 30655-2024")</f>
        <v/>
      </c>
      <c r="V47">
        <f>HYPERLINK("https://klasma.github.io/Logging_0484/klagomål/A 30655-2024 FSC-klagomål.docx", "A 30655-2024")</f>
        <v/>
      </c>
      <c r="W47">
        <f>HYPERLINK("https://klasma.github.io/Logging_0484/klagomålsmail/A 30655-2024 FSC-klagomål mail.docx", "A 30655-2024")</f>
        <v/>
      </c>
      <c r="X47">
        <f>HYPERLINK("https://klasma.github.io/Logging_0484/tillsyn/A 30655-2024 tillsynsbegäran.docx", "A 30655-2024")</f>
        <v/>
      </c>
      <c r="Y47">
        <f>HYPERLINK("https://klasma.github.io/Logging_0484/tillsynsmail/A 30655-2024 tillsynsbegäran mail.docx", "A 30655-2024")</f>
        <v/>
      </c>
    </row>
    <row r="48" ht="15" customHeight="1">
      <c r="A48" t="inlineStr">
        <is>
          <t>A 30652-2024</t>
        </is>
      </c>
      <c r="B48" s="1" t="n">
        <v>45495</v>
      </c>
      <c r="C48" s="1" t="n">
        <v>45679</v>
      </c>
      <c r="D48" t="inlineStr">
        <is>
          <t>SÖDERMANLANDS LÄN</t>
        </is>
      </c>
      <c r="E48" t="inlineStr">
        <is>
          <t>ESKILSTUNA</t>
        </is>
      </c>
      <c r="G48" t="n">
        <v>2.7</v>
      </c>
      <c r="H48" t="n">
        <v>1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Björksplintborre
Mindre märgborre
Fläcknycklar</t>
        </is>
      </c>
      <c r="S48">
        <f>HYPERLINK("https://klasma.github.io/Logging_0484/artfynd/A 30652-2024 artfynd.xlsx", "A 30652-2024")</f>
        <v/>
      </c>
      <c r="T48">
        <f>HYPERLINK("https://klasma.github.io/Logging_0484/kartor/A 30652-2024 karta.png", "A 30652-2024")</f>
        <v/>
      </c>
      <c r="V48">
        <f>HYPERLINK("https://klasma.github.io/Logging_0484/klagomål/A 30652-2024 FSC-klagomål.docx", "A 30652-2024")</f>
        <v/>
      </c>
      <c r="W48">
        <f>HYPERLINK("https://klasma.github.io/Logging_0484/klagomålsmail/A 30652-2024 FSC-klagomål mail.docx", "A 30652-2024")</f>
        <v/>
      </c>
      <c r="X48">
        <f>HYPERLINK("https://klasma.github.io/Logging_0484/tillsyn/A 30652-2024 tillsynsbegäran.docx", "A 30652-2024")</f>
        <v/>
      </c>
      <c r="Y48">
        <f>HYPERLINK("https://klasma.github.io/Logging_0484/tillsynsmail/A 30652-2024 tillsynsbegäran mail.docx", "A 30652-2024")</f>
        <v/>
      </c>
    </row>
    <row r="49" ht="15" customHeight="1">
      <c r="A49" t="inlineStr">
        <is>
          <t>A 43401-2019</t>
        </is>
      </c>
      <c r="B49" s="1" t="n">
        <v>43706</v>
      </c>
      <c r="C49" s="1" t="n">
        <v>45679</v>
      </c>
      <c r="D49" t="inlineStr">
        <is>
          <t>SÖDERMANLANDS LÄN</t>
        </is>
      </c>
      <c r="E49" t="inlineStr">
        <is>
          <t>ESKILSTUNA</t>
        </is>
      </c>
      <c r="G49" t="n">
        <v>22.9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 sköldmossa
Stubbspretmossa</t>
        </is>
      </c>
      <c r="S49">
        <f>HYPERLINK("https://klasma.github.io/Logging_0484/artfynd/A 43401-2019 artfynd.xlsx", "A 43401-2019")</f>
        <v/>
      </c>
      <c r="T49">
        <f>HYPERLINK("https://klasma.github.io/Logging_0484/kartor/A 43401-2019 karta.png", "A 43401-2019")</f>
        <v/>
      </c>
      <c r="V49">
        <f>HYPERLINK("https://klasma.github.io/Logging_0484/klagomål/A 43401-2019 FSC-klagomål.docx", "A 43401-2019")</f>
        <v/>
      </c>
      <c r="W49">
        <f>HYPERLINK("https://klasma.github.io/Logging_0484/klagomålsmail/A 43401-2019 FSC-klagomål mail.docx", "A 43401-2019")</f>
        <v/>
      </c>
      <c r="X49">
        <f>HYPERLINK("https://klasma.github.io/Logging_0484/tillsyn/A 43401-2019 tillsynsbegäran.docx", "A 43401-2019")</f>
        <v/>
      </c>
      <c r="Y49">
        <f>HYPERLINK("https://klasma.github.io/Logging_0484/tillsynsmail/A 43401-2019 tillsynsbegäran mail.docx", "A 43401-2019")</f>
        <v/>
      </c>
    </row>
    <row r="50" ht="15" customHeight="1">
      <c r="A50" t="inlineStr">
        <is>
          <t>A 51654-2019</t>
        </is>
      </c>
      <c r="B50" s="1" t="n">
        <v>43740</v>
      </c>
      <c r="C50" s="1" t="n">
        <v>45679</v>
      </c>
      <c r="D50" t="inlineStr">
        <is>
          <t>SÖDERMANLANDS LÄN</t>
        </is>
      </c>
      <c r="E50" t="inlineStr">
        <is>
          <t>ESKILSTUNA</t>
        </is>
      </c>
      <c r="G50" t="n">
        <v>7.9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Svartvit flugsnappare</t>
        </is>
      </c>
      <c r="S50">
        <f>HYPERLINK("https://klasma.github.io/Logging_0484/artfynd/A 51654-2019 artfynd.xlsx", "A 51654-2019")</f>
        <v/>
      </c>
      <c r="T50">
        <f>HYPERLINK("https://klasma.github.io/Logging_0484/kartor/A 51654-2019 karta.png", "A 51654-2019")</f>
        <v/>
      </c>
      <c r="V50">
        <f>HYPERLINK("https://klasma.github.io/Logging_0484/klagomål/A 51654-2019 FSC-klagomål.docx", "A 51654-2019")</f>
        <v/>
      </c>
      <c r="W50">
        <f>HYPERLINK("https://klasma.github.io/Logging_0484/klagomålsmail/A 51654-2019 FSC-klagomål mail.docx", "A 51654-2019")</f>
        <v/>
      </c>
      <c r="X50">
        <f>HYPERLINK("https://klasma.github.io/Logging_0484/tillsyn/A 51654-2019 tillsynsbegäran.docx", "A 51654-2019")</f>
        <v/>
      </c>
      <c r="Y50">
        <f>HYPERLINK("https://klasma.github.io/Logging_0484/tillsynsmail/A 51654-2019 tillsynsbegäran mail.docx", "A 51654-2019")</f>
        <v/>
      </c>
      <c r="Z50">
        <f>HYPERLINK("https://klasma.github.io/Logging_0484/fåglar/A 51654-2019 prioriterade fågelarter.docx", "A 51654-2019")</f>
        <v/>
      </c>
    </row>
    <row r="51" ht="15" customHeight="1">
      <c r="A51" t="inlineStr">
        <is>
          <t>A 69146-2019</t>
        </is>
      </c>
      <c r="B51" s="1" t="n">
        <v>43815</v>
      </c>
      <c r="C51" s="1" t="n">
        <v>45679</v>
      </c>
      <c r="D51" t="inlineStr">
        <is>
          <t>SÖDERMANLANDS LÄN</t>
        </is>
      </c>
      <c r="E51" t="inlineStr">
        <is>
          <t>ESKILSTUNA</t>
        </is>
      </c>
      <c r="G51" t="n">
        <v>19.3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Kungsörn</t>
        </is>
      </c>
      <c r="S51">
        <f>HYPERLINK("https://klasma.github.io/Logging_0484/artfynd/A 69146-2019 artfynd.xlsx", "A 69146-2019")</f>
        <v/>
      </c>
      <c r="T51">
        <f>HYPERLINK("https://klasma.github.io/Logging_0484/kartor/A 69146-2019 karta.png", "A 69146-2019")</f>
        <v/>
      </c>
      <c r="V51">
        <f>HYPERLINK("https://klasma.github.io/Logging_0484/klagomål/A 69146-2019 FSC-klagomål.docx", "A 69146-2019")</f>
        <v/>
      </c>
      <c r="W51">
        <f>HYPERLINK("https://klasma.github.io/Logging_0484/klagomålsmail/A 69146-2019 FSC-klagomål mail.docx", "A 69146-2019")</f>
        <v/>
      </c>
      <c r="X51">
        <f>HYPERLINK("https://klasma.github.io/Logging_0484/tillsyn/A 69146-2019 tillsynsbegäran.docx", "A 69146-2019")</f>
        <v/>
      </c>
      <c r="Y51">
        <f>HYPERLINK("https://klasma.github.io/Logging_0484/tillsynsmail/A 69146-2019 tillsynsbegäran mail.docx", "A 69146-2019")</f>
        <v/>
      </c>
      <c r="Z51">
        <f>HYPERLINK("https://klasma.github.io/Logging_0484/fåglar/A 69146-2019 prioriterade fågelarter.docx", "A 69146-2019")</f>
        <v/>
      </c>
    </row>
    <row r="52" ht="15" customHeight="1">
      <c r="A52" t="inlineStr">
        <is>
          <t>A 3683-2020</t>
        </is>
      </c>
      <c r="B52" s="1" t="n">
        <v>43845</v>
      </c>
      <c r="C52" s="1" t="n">
        <v>45679</v>
      </c>
      <c r="D52" t="inlineStr">
        <is>
          <t>SÖDERMANLANDS LÄN</t>
        </is>
      </c>
      <c r="E52" t="inlineStr">
        <is>
          <t>ESKILSTUNA</t>
        </is>
      </c>
      <c r="G52" t="n">
        <v>10.3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Blåsippa</t>
        </is>
      </c>
      <c r="S52">
        <f>HYPERLINK("https://klasma.github.io/Logging_0484/artfynd/A 3683-2020 artfynd.xlsx", "A 3683-2020")</f>
        <v/>
      </c>
      <c r="T52">
        <f>HYPERLINK("https://klasma.github.io/Logging_0484/kartor/A 3683-2020 karta.png", "A 3683-2020")</f>
        <v/>
      </c>
      <c r="U52">
        <f>HYPERLINK("https://klasma.github.io/Logging_0484/knärot/A 3683-2020 karta knärot.png", "A 3683-2020")</f>
        <v/>
      </c>
      <c r="V52">
        <f>HYPERLINK("https://klasma.github.io/Logging_0484/klagomål/A 3683-2020 FSC-klagomål.docx", "A 3683-2020")</f>
        <v/>
      </c>
      <c r="W52">
        <f>HYPERLINK("https://klasma.github.io/Logging_0484/klagomålsmail/A 3683-2020 FSC-klagomål mail.docx", "A 3683-2020")</f>
        <v/>
      </c>
      <c r="X52">
        <f>HYPERLINK("https://klasma.github.io/Logging_0484/tillsyn/A 3683-2020 tillsynsbegäran.docx", "A 3683-2020")</f>
        <v/>
      </c>
      <c r="Y52">
        <f>HYPERLINK("https://klasma.github.io/Logging_0484/tillsynsmail/A 3683-2020 tillsynsbegäran mail.docx", "A 3683-2020")</f>
        <v/>
      </c>
    </row>
    <row r="53" ht="15" customHeight="1">
      <c r="A53" t="inlineStr">
        <is>
          <t>A 5581-2020</t>
        </is>
      </c>
      <c r="B53" s="1" t="n">
        <v>43861</v>
      </c>
      <c r="C53" s="1" t="n">
        <v>45679</v>
      </c>
      <c r="D53" t="inlineStr">
        <is>
          <t>SÖDERMANLANDS LÄN</t>
        </is>
      </c>
      <c r="E53" t="inlineStr">
        <is>
          <t>ESKILSTUNA</t>
        </is>
      </c>
      <c r="G53" t="n">
        <v>7.1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Rävticka
Vedticka</t>
        </is>
      </c>
      <c r="S53">
        <f>HYPERLINK("https://klasma.github.io/Logging_0484/artfynd/A 5581-2020 artfynd.xlsx", "A 5581-2020")</f>
        <v/>
      </c>
      <c r="T53">
        <f>HYPERLINK("https://klasma.github.io/Logging_0484/kartor/A 5581-2020 karta.png", "A 5581-2020")</f>
        <v/>
      </c>
      <c r="V53">
        <f>HYPERLINK("https://klasma.github.io/Logging_0484/klagomål/A 5581-2020 FSC-klagomål.docx", "A 5581-2020")</f>
        <v/>
      </c>
      <c r="W53">
        <f>HYPERLINK("https://klasma.github.io/Logging_0484/klagomålsmail/A 5581-2020 FSC-klagomål mail.docx", "A 5581-2020")</f>
        <v/>
      </c>
      <c r="X53">
        <f>HYPERLINK("https://klasma.github.io/Logging_0484/tillsyn/A 5581-2020 tillsynsbegäran.docx", "A 5581-2020")</f>
        <v/>
      </c>
      <c r="Y53">
        <f>HYPERLINK("https://klasma.github.io/Logging_0484/tillsynsmail/A 5581-2020 tillsynsbegäran mail.docx", "A 5581-2020")</f>
        <v/>
      </c>
    </row>
    <row r="54" ht="15" customHeight="1">
      <c r="A54" t="inlineStr">
        <is>
          <t>A 46353-2020</t>
        </is>
      </c>
      <c r="B54" s="1" t="n">
        <v>44092</v>
      </c>
      <c r="C54" s="1" t="n">
        <v>45679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1.5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Sandviol
Revlummer</t>
        </is>
      </c>
      <c r="S54">
        <f>HYPERLINK("https://klasma.github.io/Logging_0484/artfynd/A 46353-2020 artfynd.xlsx", "A 46353-2020")</f>
        <v/>
      </c>
      <c r="T54">
        <f>HYPERLINK("https://klasma.github.io/Logging_0484/kartor/A 46353-2020 karta.png", "A 46353-2020")</f>
        <v/>
      </c>
      <c r="V54">
        <f>HYPERLINK("https://klasma.github.io/Logging_0484/klagomål/A 46353-2020 FSC-klagomål.docx", "A 46353-2020")</f>
        <v/>
      </c>
      <c r="W54">
        <f>HYPERLINK("https://klasma.github.io/Logging_0484/klagomålsmail/A 46353-2020 FSC-klagomål mail.docx", "A 46353-2020")</f>
        <v/>
      </c>
      <c r="X54">
        <f>HYPERLINK("https://klasma.github.io/Logging_0484/tillsyn/A 46353-2020 tillsynsbegäran.docx", "A 46353-2020")</f>
        <v/>
      </c>
      <c r="Y54">
        <f>HYPERLINK("https://klasma.github.io/Logging_0484/tillsynsmail/A 46353-2020 tillsynsbegäran mail.docx", "A 46353-2020")</f>
        <v/>
      </c>
    </row>
    <row r="55" ht="15" customHeight="1">
      <c r="A55" t="inlineStr">
        <is>
          <t>A 56191-2020</t>
        </is>
      </c>
      <c r="B55" s="1" t="n">
        <v>44133</v>
      </c>
      <c r="C55" s="1" t="n">
        <v>45679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Kommuner</t>
        </is>
      </c>
      <c r="G55" t="n">
        <v>4.9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trolldruva
Blåsippa</t>
        </is>
      </c>
      <c r="S55">
        <f>HYPERLINK("https://klasma.github.io/Logging_0484/artfynd/A 56191-2020 artfynd.xlsx", "A 56191-2020")</f>
        <v/>
      </c>
      <c r="T55">
        <f>HYPERLINK("https://klasma.github.io/Logging_0484/kartor/A 56191-2020 karta.png", "A 56191-2020")</f>
        <v/>
      </c>
      <c r="V55">
        <f>HYPERLINK("https://klasma.github.io/Logging_0484/klagomål/A 56191-2020 FSC-klagomål.docx", "A 56191-2020")</f>
        <v/>
      </c>
      <c r="W55">
        <f>HYPERLINK("https://klasma.github.io/Logging_0484/klagomålsmail/A 56191-2020 FSC-klagomål mail.docx", "A 56191-2020")</f>
        <v/>
      </c>
      <c r="X55">
        <f>HYPERLINK("https://klasma.github.io/Logging_0484/tillsyn/A 56191-2020 tillsynsbegäran.docx", "A 56191-2020")</f>
        <v/>
      </c>
      <c r="Y55">
        <f>HYPERLINK("https://klasma.github.io/Logging_0484/tillsynsmail/A 56191-2020 tillsynsbegäran mail.docx", "A 56191-2020")</f>
        <v/>
      </c>
    </row>
    <row r="56" ht="15" customHeight="1">
      <c r="A56" t="inlineStr">
        <is>
          <t>A 69068-2021</t>
        </is>
      </c>
      <c r="B56" s="1" t="n">
        <v>44530</v>
      </c>
      <c r="C56" s="1" t="n">
        <v>45679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Mindre märgborre</t>
        </is>
      </c>
      <c r="S56">
        <f>HYPERLINK("https://klasma.github.io/Logging_0484/artfynd/A 69068-2021 artfynd.xlsx", "A 69068-2021")</f>
        <v/>
      </c>
      <c r="T56">
        <f>HYPERLINK("https://klasma.github.io/Logging_0484/kartor/A 69068-2021 karta.png", "A 69068-2021")</f>
        <v/>
      </c>
      <c r="V56">
        <f>HYPERLINK("https://klasma.github.io/Logging_0484/klagomål/A 69068-2021 FSC-klagomål.docx", "A 69068-2021")</f>
        <v/>
      </c>
      <c r="W56">
        <f>HYPERLINK("https://klasma.github.io/Logging_0484/klagomålsmail/A 69068-2021 FSC-klagomål mail.docx", "A 69068-2021")</f>
        <v/>
      </c>
      <c r="X56">
        <f>HYPERLINK("https://klasma.github.io/Logging_0484/tillsyn/A 69068-2021 tillsynsbegäran.docx", "A 69068-2021")</f>
        <v/>
      </c>
      <c r="Y56">
        <f>HYPERLINK("https://klasma.github.io/Logging_0484/tillsynsmail/A 69068-2021 tillsynsbegäran mail.docx", "A 69068-2021")</f>
        <v/>
      </c>
    </row>
    <row r="57" ht="15" customHeight="1">
      <c r="A57" t="inlineStr">
        <is>
          <t>A 71969-2021</t>
        </is>
      </c>
      <c r="B57" s="1" t="n">
        <v>44544</v>
      </c>
      <c r="C57" s="1" t="n">
        <v>45679</v>
      </c>
      <c r="D57" t="inlineStr">
        <is>
          <t>SÖDERMANLANDS LÄN</t>
        </is>
      </c>
      <c r="E57" t="inlineStr">
        <is>
          <t>ESKILSTUNA</t>
        </is>
      </c>
      <c r="G57" t="n">
        <v>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Fjällig taggsvamp s.str.
Blåsippa</t>
        </is>
      </c>
      <c r="S57">
        <f>HYPERLINK("https://klasma.github.io/Logging_0484/artfynd/A 71969-2021 artfynd.xlsx", "A 71969-2021")</f>
        <v/>
      </c>
      <c r="T57">
        <f>HYPERLINK("https://klasma.github.io/Logging_0484/kartor/A 71969-2021 karta.png", "A 71969-2021")</f>
        <v/>
      </c>
      <c r="V57">
        <f>HYPERLINK("https://klasma.github.io/Logging_0484/klagomål/A 71969-2021 FSC-klagomål.docx", "A 71969-2021")</f>
        <v/>
      </c>
      <c r="W57">
        <f>HYPERLINK("https://klasma.github.io/Logging_0484/klagomålsmail/A 71969-2021 FSC-klagomål mail.docx", "A 71969-2021")</f>
        <v/>
      </c>
      <c r="X57">
        <f>HYPERLINK("https://klasma.github.io/Logging_0484/tillsyn/A 71969-2021 tillsynsbegäran.docx", "A 71969-2021")</f>
        <v/>
      </c>
      <c r="Y57">
        <f>HYPERLINK("https://klasma.github.io/Logging_0484/tillsynsmail/A 71969-2021 tillsynsbegäran mail.docx", "A 71969-2021")</f>
        <v/>
      </c>
    </row>
    <row r="58" ht="15" customHeight="1">
      <c r="A58" t="inlineStr">
        <is>
          <t>A 571-2023</t>
        </is>
      </c>
      <c r="B58" s="1" t="n">
        <v>44930</v>
      </c>
      <c r="C58" s="1" t="n">
        <v>45679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Kyrkan</t>
        </is>
      </c>
      <c r="G58" t="n">
        <v>2.6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Spillkråka
Revlummer</t>
        </is>
      </c>
      <c r="S58">
        <f>HYPERLINK("https://klasma.github.io/Logging_0484/artfynd/A 571-2023 artfynd.xlsx", "A 571-2023")</f>
        <v/>
      </c>
      <c r="T58">
        <f>HYPERLINK("https://klasma.github.io/Logging_0484/kartor/A 571-2023 karta.png", "A 571-2023")</f>
        <v/>
      </c>
      <c r="V58">
        <f>HYPERLINK("https://klasma.github.io/Logging_0484/klagomål/A 571-2023 FSC-klagomål.docx", "A 571-2023")</f>
        <v/>
      </c>
      <c r="W58">
        <f>HYPERLINK("https://klasma.github.io/Logging_0484/klagomålsmail/A 571-2023 FSC-klagomål mail.docx", "A 571-2023")</f>
        <v/>
      </c>
      <c r="X58">
        <f>HYPERLINK("https://klasma.github.io/Logging_0484/tillsyn/A 571-2023 tillsynsbegäran.docx", "A 571-2023")</f>
        <v/>
      </c>
      <c r="Y58">
        <f>HYPERLINK("https://klasma.github.io/Logging_0484/tillsynsmail/A 571-2023 tillsynsbegäran mail.docx", "A 571-2023")</f>
        <v/>
      </c>
      <c r="Z58">
        <f>HYPERLINK("https://klasma.github.io/Logging_0484/fåglar/A 571-2023 prioriterade fågelarter.docx", "A 571-2023")</f>
        <v/>
      </c>
    </row>
    <row r="59" ht="15" customHeight="1">
      <c r="A59" t="inlineStr">
        <is>
          <t>A 25122-2023</t>
        </is>
      </c>
      <c r="B59" s="1" t="n">
        <v>45086</v>
      </c>
      <c r="C59" s="1" t="n">
        <v>45679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7.5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Mattlummer
Revlummer</t>
        </is>
      </c>
      <c r="S59">
        <f>HYPERLINK("https://klasma.github.io/Logging_0484/artfynd/A 25122-2023 artfynd.xlsx", "A 25122-2023")</f>
        <v/>
      </c>
      <c r="T59">
        <f>HYPERLINK("https://klasma.github.io/Logging_0484/kartor/A 25122-2023 karta.png", "A 25122-2023")</f>
        <v/>
      </c>
      <c r="V59">
        <f>HYPERLINK("https://klasma.github.io/Logging_0484/klagomål/A 25122-2023 FSC-klagomål.docx", "A 25122-2023")</f>
        <v/>
      </c>
      <c r="W59">
        <f>HYPERLINK("https://klasma.github.io/Logging_0484/klagomålsmail/A 25122-2023 FSC-klagomål mail.docx", "A 25122-2023")</f>
        <v/>
      </c>
      <c r="X59">
        <f>HYPERLINK("https://klasma.github.io/Logging_0484/tillsyn/A 25122-2023 tillsynsbegäran.docx", "A 25122-2023")</f>
        <v/>
      </c>
      <c r="Y59">
        <f>HYPERLINK("https://klasma.github.io/Logging_0484/tillsynsmail/A 25122-2023 tillsynsbegäran mail.docx", "A 25122-2023")</f>
        <v/>
      </c>
    </row>
    <row r="60" ht="15" customHeight="1">
      <c r="A60" t="inlineStr">
        <is>
          <t>A 43237-2023</t>
        </is>
      </c>
      <c r="B60" s="1" t="n">
        <v>45183</v>
      </c>
      <c r="C60" s="1" t="n">
        <v>45679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4.2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Talltita</t>
        </is>
      </c>
      <c r="S60">
        <f>HYPERLINK("https://klasma.github.io/Logging_0484/artfynd/A 43237-2023 artfynd.xlsx", "A 43237-2023")</f>
        <v/>
      </c>
      <c r="T60">
        <f>HYPERLINK("https://klasma.github.io/Logging_0484/kartor/A 43237-2023 karta.png", "A 43237-2023")</f>
        <v/>
      </c>
      <c r="V60">
        <f>HYPERLINK("https://klasma.github.io/Logging_0484/klagomål/A 43237-2023 FSC-klagomål.docx", "A 43237-2023")</f>
        <v/>
      </c>
      <c r="W60">
        <f>HYPERLINK("https://klasma.github.io/Logging_0484/klagomålsmail/A 43237-2023 FSC-klagomål mail.docx", "A 43237-2023")</f>
        <v/>
      </c>
      <c r="X60">
        <f>HYPERLINK("https://klasma.github.io/Logging_0484/tillsyn/A 43237-2023 tillsynsbegäran.docx", "A 43237-2023")</f>
        <v/>
      </c>
      <c r="Y60">
        <f>HYPERLINK("https://klasma.github.io/Logging_0484/tillsynsmail/A 43237-2023 tillsynsbegäran mail.docx", "A 43237-2023")</f>
        <v/>
      </c>
      <c r="Z60">
        <f>HYPERLINK("https://klasma.github.io/Logging_0484/fåglar/A 43237-2023 prioriterade fågelarter.docx", "A 43237-2023")</f>
        <v/>
      </c>
    </row>
    <row r="61" ht="15" customHeight="1">
      <c r="A61" t="inlineStr">
        <is>
          <t>A 24767-2024</t>
        </is>
      </c>
      <c r="B61" s="1" t="n">
        <v>45460</v>
      </c>
      <c r="C61" s="1" t="n">
        <v>45679</v>
      </c>
      <c r="D61" t="inlineStr">
        <is>
          <t>SÖDERMANLANDS LÄN</t>
        </is>
      </c>
      <c r="E61" t="inlineStr">
        <is>
          <t>ESKILSTUNA</t>
        </is>
      </c>
      <c r="G61" t="n">
        <v>15.2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Mattlummer</t>
        </is>
      </c>
      <c r="S61">
        <f>HYPERLINK("https://klasma.github.io/Logging_0484/artfynd/A 24767-2024 artfynd.xlsx", "A 24767-2024")</f>
        <v/>
      </c>
      <c r="T61">
        <f>HYPERLINK("https://klasma.github.io/Logging_0484/kartor/A 24767-2024 karta.png", "A 24767-2024")</f>
        <v/>
      </c>
      <c r="V61">
        <f>HYPERLINK("https://klasma.github.io/Logging_0484/klagomål/A 24767-2024 FSC-klagomål.docx", "A 24767-2024")</f>
        <v/>
      </c>
      <c r="W61">
        <f>HYPERLINK("https://klasma.github.io/Logging_0484/klagomålsmail/A 24767-2024 FSC-klagomål mail.docx", "A 24767-2024")</f>
        <v/>
      </c>
      <c r="X61">
        <f>HYPERLINK("https://klasma.github.io/Logging_0484/tillsyn/A 24767-2024 tillsynsbegäran.docx", "A 24767-2024")</f>
        <v/>
      </c>
      <c r="Y61">
        <f>HYPERLINK("https://klasma.github.io/Logging_0484/tillsynsmail/A 24767-2024 tillsynsbegäran mail.docx", "A 24767-2024")</f>
        <v/>
      </c>
    </row>
    <row r="62" ht="15" customHeight="1">
      <c r="A62" t="inlineStr">
        <is>
          <t>A 43014-2024</t>
        </is>
      </c>
      <c r="B62" s="1" t="n">
        <v>45566</v>
      </c>
      <c r="C62" s="1" t="n">
        <v>45679</v>
      </c>
      <c r="D62" t="inlineStr">
        <is>
          <t>SÖDERMANLANDS LÄN</t>
        </is>
      </c>
      <c r="E62" t="inlineStr">
        <is>
          <t>ESKILSTUNA</t>
        </is>
      </c>
      <c r="G62" t="n">
        <v>19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Järpe
Kungsörn</t>
        </is>
      </c>
      <c r="S62">
        <f>HYPERLINK("https://klasma.github.io/Logging_0484/artfynd/A 43014-2024 artfynd.xlsx", "A 43014-2024")</f>
        <v/>
      </c>
      <c r="T62">
        <f>HYPERLINK("https://klasma.github.io/Logging_0484/kartor/A 43014-2024 karta.png", "A 43014-2024")</f>
        <v/>
      </c>
      <c r="V62">
        <f>HYPERLINK("https://klasma.github.io/Logging_0484/klagomål/A 43014-2024 FSC-klagomål.docx", "A 43014-2024")</f>
        <v/>
      </c>
      <c r="W62">
        <f>HYPERLINK("https://klasma.github.io/Logging_0484/klagomålsmail/A 43014-2024 FSC-klagomål mail.docx", "A 43014-2024")</f>
        <v/>
      </c>
      <c r="X62">
        <f>HYPERLINK("https://klasma.github.io/Logging_0484/tillsyn/A 43014-2024 tillsynsbegäran.docx", "A 43014-2024")</f>
        <v/>
      </c>
      <c r="Y62">
        <f>HYPERLINK("https://klasma.github.io/Logging_0484/tillsynsmail/A 43014-2024 tillsynsbegäran mail.docx", "A 43014-2024")</f>
        <v/>
      </c>
      <c r="Z62">
        <f>HYPERLINK("https://klasma.github.io/Logging_0484/fåglar/A 43014-2024 prioriterade fågelarter.docx", "A 43014-2024")</f>
        <v/>
      </c>
    </row>
    <row r="63" ht="15" customHeight="1">
      <c r="A63" t="inlineStr">
        <is>
          <t>A 51326-2024</t>
        </is>
      </c>
      <c r="B63" s="1" t="n">
        <v>45603</v>
      </c>
      <c r="C63" s="1" t="n">
        <v>45679</v>
      </c>
      <c r="D63" t="inlineStr">
        <is>
          <t>SÖDERMANLANDS LÄN</t>
        </is>
      </c>
      <c r="E63" t="inlineStr">
        <is>
          <t>ESKILSTUNA</t>
        </is>
      </c>
      <c r="G63" t="n">
        <v>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Myskbock
Blåsippa</t>
        </is>
      </c>
      <c r="S63">
        <f>HYPERLINK("https://klasma.github.io/Logging_0484/artfynd/A 51326-2024 artfynd.xlsx", "A 51326-2024")</f>
        <v/>
      </c>
      <c r="T63">
        <f>HYPERLINK("https://klasma.github.io/Logging_0484/kartor/A 51326-2024 karta.png", "A 51326-2024")</f>
        <v/>
      </c>
      <c r="V63">
        <f>HYPERLINK("https://klasma.github.io/Logging_0484/klagomål/A 51326-2024 FSC-klagomål.docx", "A 51326-2024")</f>
        <v/>
      </c>
      <c r="W63">
        <f>HYPERLINK("https://klasma.github.io/Logging_0484/klagomålsmail/A 51326-2024 FSC-klagomål mail.docx", "A 51326-2024")</f>
        <v/>
      </c>
      <c r="X63">
        <f>HYPERLINK("https://klasma.github.io/Logging_0484/tillsyn/A 51326-2024 tillsynsbegäran.docx", "A 51326-2024")</f>
        <v/>
      </c>
      <c r="Y63">
        <f>HYPERLINK("https://klasma.github.io/Logging_0484/tillsynsmail/A 51326-2024 tillsynsbegäran mail.docx", "A 51326-2024")</f>
        <v/>
      </c>
    </row>
    <row r="64" ht="15" customHeight="1">
      <c r="A64" t="inlineStr">
        <is>
          <t>A 315-2025</t>
        </is>
      </c>
      <c r="B64" s="1" t="n">
        <v>45660</v>
      </c>
      <c r="C64" s="1" t="n">
        <v>45679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Holmen skog AB</t>
        </is>
      </c>
      <c r="G64" t="n">
        <v>10.4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Blåsippa</t>
        </is>
      </c>
      <c r="S64">
        <f>HYPERLINK("https://klasma.github.io/Logging_0484/artfynd/A 315-2025 artfynd.xlsx", "A 315-2025")</f>
        <v/>
      </c>
      <c r="T64">
        <f>HYPERLINK("https://klasma.github.io/Logging_0484/kartor/A 315-2025 karta.png", "A 315-2025")</f>
        <v/>
      </c>
      <c r="V64">
        <f>HYPERLINK("https://klasma.github.io/Logging_0484/klagomål/A 315-2025 FSC-klagomål.docx", "A 315-2025")</f>
        <v/>
      </c>
      <c r="W64">
        <f>HYPERLINK("https://klasma.github.io/Logging_0484/klagomålsmail/A 315-2025 FSC-klagomål mail.docx", "A 315-2025")</f>
        <v/>
      </c>
      <c r="X64">
        <f>HYPERLINK("https://klasma.github.io/Logging_0484/tillsyn/A 315-2025 tillsynsbegäran.docx", "A 315-2025")</f>
        <v/>
      </c>
      <c r="Y64">
        <f>HYPERLINK("https://klasma.github.io/Logging_0484/tillsynsmail/A 315-2025 tillsynsbegäran mail.docx", "A 315-2025")</f>
        <v/>
      </c>
    </row>
    <row r="65" ht="15" customHeight="1">
      <c r="A65" t="inlineStr">
        <is>
          <t>A 23204-2019</t>
        </is>
      </c>
      <c r="B65" s="1" t="n">
        <v>43592</v>
      </c>
      <c r="C65" s="1" t="n">
        <v>45679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Sveaskog</t>
        </is>
      </c>
      <c r="G65" t="n">
        <v>3.6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Ängsskära</t>
        </is>
      </c>
      <c r="S65">
        <f>HYPERLINK("https://klasma.github.io/Logging_0484/artfynd/A 23204-2019 artfynd.xlsx", "A 23204-2019")</f>
        <v/>
      </c>
      <c r="T65">
        <f>HYPERLINK("https://klasma.github.io/Logging_0484/kartor/A 23204-2019 karta.png", "A 23204-2019")</f>
        <v/>
      </c>
      <c r="V65">
        <f>HYPERLINK("https://klasma.github.io/Logging_0484/klagomål/A 23204-2019 FSC-klagomål.docx", "A 23204-2019")</f>
        <v/>
      </c>
      <c r="W65">
        <f>HYPERLINK("https://klasma.github.io/Logging_0484/klagomålsmail/A 23204-2019 FSC-klagomål mail.docx", "A 23204-2019")</f>
        <v/>
      </c>
      <c r="X65">
        <f>HYPERLINK("https://klasma.github.io/Logging_0484/tillsyn/A 23204-2019 tillsynsbegäran.docx", "A 23204-2019")</f>
        <v/>
      </c>
      <c r="Y65">
        <f>HYPERLINK("https://klasma.github.io/Logging_0484/tillsynsmail/A 23204-2019 tillsynsbegäran mail.docx", "A 23204-2019")</f>
        <v/>
      </c>
    </row>
    <row r="66" ht="15" customHeight="1">
      <c r="A66" t="inlineStr">
        <is>
          <t>A 29459-2019</t>
        </is>
      </c>
      <c r="B66" s="1" t="n">
        <v>43629</v>
      </c>
      <c r="C66" s="1" t="n">
        <v>45679</v>
      </c>
      <c r="D66" t="inlineStr">
        <is>
          <t>SÖDERMANLANDS LÄN</t>
        </is>
      </c>
      <c r="E66" t="inlineStr">
        <is>
          <t>ESKILSTUNA</t>
        </is>
      </c>
      <c r="G66" t="n">
        <v>9.199999999999999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HYPERLINK("https://klasma.github.io/Logging_0484/artfynd/A 29459-2019 artfynd.xlsx", "A 29459-2019")</f>
        <v/>
      </c>
      <c r="T66">
        <f>HYPERLINK("https://klasma.github.io/Logging_0484/kartor/A 29459-2019 karta.png", "A 29459-2019")</f>
        <v/>
      </c>
      <c r="U66">
        <f>HYPERLINK("https://klasma.github.io/Logging_0484/knärot/A 29459-2019 karta knärot.png", "A 29459-2019")</f>
        <v/>
      </c>
      <c r="V66">
        <f>HYPERLINK("https://klasma.github.io/Logging_0484/klagomål/A 29459-2019 FSC-klagomål.docx", "A 29459-2019")</f>
        <v/>
      </c>
      <c r="W66">
        <f>HYPERLINK("https://klasma.github.io/Logging_0484/klagomålsmail/A 29459-2019 FSC-klagomål mail.docx", "A 29459-2019")</f>
        <v/>
      </c>
      <c r="X66">
        <f>HYPERLINK("https://klasma.github.io/Logging_0484/tillsyn/A 29459-2019 tillsynsbegäran.docx", "A 29459-2019")</f>
        <v/>
      </c>
      <c r="Y66">
        <f>HYPERLINK("https://klasma.github.io/Logging_0484/tillsynsmail/A 29459-2019 tillsynsbegäran mail.docx", "A 29459-2019")</f>
        <v/>
      </c>
    </row>
    <row r="67" ht="15" customHeight="1">
      <c r="A67" t="inlineStr">
        <is>
          <t>A 50952-2019</t>
        </is>
      </c>
      <c r="B67" s="1" t="n">
        <v>43738</v>
      </c>
      <c r="C67" s="1" t="n">
        <v>45679</v>
      </c>
      <c r="D67" t="inlineStr">
        <is>
          <t>SÖDERMANLANDS LÄN</t>
        </is>
      </c>
      <c r="E67" t="inlineStr">
        <is>
          <t>ESKILSTUNA</t>
        </is>
      </c>
      <c r="G67" t="n">
        <v>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Skogsklocka</t>
        </is>
      </c>
      <c r="S67">
        <f>HYPERLINK("https://klasma.github.io/Logging_0484/artfynd/A 50952-2019 artfynd.xlsx", "A 50952-2019")</f>
        <v/>
      </c>
      <c r="T67">
        <f>HYPERLINK("https://klasma.github.io/Logging_0484/kartor/A 50952-2019 karta.png", "A 50952-2019")</f>
        <v/>
      </c>
      <c r="V67">
        <f>HYPERLINK("https://klasma.github.io/Logging_0484/klagomål/A 50952-2019 FSC-klagomål.docx", "A 50952-2019")</f>
        <v/>
      </c>
      <c r="W67">
        <f>HYPERLINK("https://klasma.github.io/Logging_0484/klagomålsmail/A 50952-2019 FSC-klagomål mail.docx", "A 50952-2019")</f>
        <v/>
      </c>
      <c r="X67">
        <f>HYPERLINK("https://klasma.github.io/Logging_0484/tillsyn/A 50952-2019 tillsynsbegäran.docx", "A 50952-2019")</f>
        <v/>
      </c>
      <c r="Y67">
        <f>HYPERLINK("https://klasma.github.io/Logging_0484/tillsynsmail/A 50952-2019 tillsynsbegäran mail.docx", "A 50952-2019")</f>
        <v/>
      </c>
    </row>
    <row r="68" ht="15" customHeight="1">
      <c r="A68" t="inlineStr">
        <is>
          <t>A 51651-2019</t>
        </is>
      </c>
      <c r="B68" s="1" t="n">
        <v>43740</v>
      </c>
      <c r="C68" s="1" t="n">
        <v>45679</v>
      </c>
      <c r="D68" t="inlineStr">
        <is>
          <t>SÖDERMANLANDS LÄN</t>
        </is>
      </c>
      <c r="E68" t="inlineStr">
        <is>
          <t>ESKILSTUNA</t>
        </is>
      </c>
      <c r="G68" t="n">
        <v>6.5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HYPERLINK("https://klasma.github.io/Logging_0484/artfynd/A 51651-2019 artfynd.xlsx", "A 51651-2019")</f>
        <v/>
      </c>
      <c r="T68">
        <f>HYPERLINK("https://klasma.github.io/Logging_0484/kartor/A 51651-2019 karta.png", "A 51651-2019")</f>
        <v/>
      </c>
      <c r="V68">
        <f>HYPERLINK("https://klasma.github.io/Logging_0484/klagomål/A 51651-2019 FSC-klagomål.docx", "A 51651-2019")</f>
        <v/>
      </c>
      <c r="W68">
        <f>HYPERLINK("https://klasma.github.io/Logging_0484/klagomålsmail/A 51651-2019 FSC-klagomål mail.docx", "A 51651-2019")</f>
        <v/>
      </c>
      <c r="X68">
        <f>HYPERLINK("https://klasma.github.io/Logging_0484/tillsyn/A 51651-2019 tillsynsbegäran.docx", "A 51651-2019")</f>
        <v/>
      </c>
      <c r="Y68">
        <f>HYPERLINK("https://klasma.github.io/Logging_0484/tillsynsmail/A 51651-2019 tillsynsbegäran mail.docx", "A 51651-2019")</f>
        <v/>
      </c>
    </row>
    <row r="69" ht="15" customHeight="1">
      <c r="A69" t="inlineStr">
        <is>
          <t>A 54326-2019</t>
        </is>
      </c>
      <c r="B69" s="1" t="n">
        <v>43745</v>
      </c>
      <c r="C69" s="1" t="n">
        <v>45679</v>
      </c>
      <c r="D69" t="inlineStr">
        <is>
          <t>SÖDERMANLANDS LÄN</t>
        </is>
      </c>
      <c r="E69" t="inlineStr">
        <is>
          <t>ESKILSTUNA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HYPERLINK("https://klasma.github.io/Logging_0484/artfynd/A 54326-2019 artfynd.xlsx", "A 54326-2019")</f>
        <v/>
      </c>
      <c r="T69">
        <f>HYPERLINK("https://klasma.github.io/Logging_0484/kartor/A 54326-2019 karta.png", "A 54326-2019")</f>
        <v/>
      </c>
      <c r="V69">
        <f>HYPERLINK("https://klasma.github.io/Logging_0484/klagomål/A 54326-2019 FSC-klagomål.docx", "A 54326-2019")</f>
        <v/>
      </c>
      <c r="W69">
        <f>HYPERLINK("https://klasma.github.io/Logging_0484/klagomålsmail/A 54326-2019 FSC-klagomål mail.docx", "A 54326-2019")</f>
        <v/>
      </c>
      <c r="X69">
        <f>HYPERLINK("https://klasma.github.io/Logging_0484/tillsyn/A 54326-2019 tillsynsbegäran.docx", "A 54326-2019")</f>
        <v/>
      </c>
      <c r="Y69">
        <f>HYPERLINK("https://klasma.github.io/Logging_0484/tillsynsmail/A 54326-2019 tillsynsbegäran mail.docx", "A 54326-2019")</f>
        <v/>
      </c>
    </row>
    <row r="70" ht="15" customHeight="1">
      <c r="A70" t="inlineStr">
        <is>
          <t>A 16877-2020</t>
        </is>
      </c>
      <c r="B70" s="1" t="n">
        <v>43921</v>
      </c>
      <c r="C70" s="1" t="n">
        <v>45679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Kyrkan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HYPERLINK("https://klasma.github.io/Logging_0484/artfynd/A 16877-2020 artfynd.xlsx", "A 16877-2020")</f>
        <v/>
      </c>
      <c r="T70">
        <f>HYPERLINK("https://klasma.github.io/Logging_0484/kartor/A 16877-2020 karta.png", "A 16877-2020")</f>
        <v/>
      </c>
      <c r="V70">
        <f>HYPERLINK("https://klasma.github.io/Logging_0484/klagomål/A 16877-2020 FSC-klagomål.docx", "A 16877-2020")</f>
        <v/>
      </c>
      <c r="W70">
        <f>HYPERLINK("https://klasma.github.io/Logging_0484/klagomålsmail/A 16877-2020 FSC-klagomål mail.docx", "A 16877-2020")</f>
        <v/>
      </c>
      <c r="X70">
        <f>HYPERLINK("https://klasma.github.io/Logging_0484/tillsyn/A 16877-2020 tillsynsbegäran.docx", "A 16877-2020")</f>
        <v/>
      </c>
      <c r="Y70">
        <f>HYPERLINK("https://klasma.github.io/Logging_0484/tillsynsmail/A 16877-2020 tillsynsbegäran mail.docx", "A 16877-2020")</f>
        <v/>
      </c>
    </row>
    <row r="71" ht="15" customHeight="1">
      <c r="A71" t="inlineStr">
        <is>
          <t>A 23201-2020</t>
        </is>
      </c>
      <c r="B71" s="1" t="n">
        <v>43964</v>
      </c>
      <c r="C71" s="1" t="n">
        <v>45679</v>
      </c>
      <c r="D71" t="inlineStr">
        <is>
          <t>SÖDERMANLANDS LÄN</t>
        </is>
      </c>
      <c r="E71" t="inlineStr">
        <is>
          <t>ESKILSTUNA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Krusfrö</t>
        </is>
      </c>
      <c r="S71">
        <f>HYPERLINK("https://klasma.github.io/Logging_0484/artfynd/A 23201-2020 artfynd.xlsx", "A 23201-2020")</f>
        <v/>
      </c>
      <c r="T71">
        <f>HYPERLINK("https://klasma.github.io/Logging_0484/kartor/A 23201-2020 karta.png", "A 23201-2020")</f>
        <v/>
      </c>
      <c r="V71">
        <f>HYPERLINK("https://klasma.github.io/Logging_0484/klagomål/A 23201-2020 FSC-klagomål.docx", "A 23201-2020")</f>
        <v/>
      </c>
      <c r="W71">
        <f>HYPERLINK("https://klasma.github.io/Logging_0484/klagomålsmail/A 23201-2020 FSC-klagomål mail.docx", "A 23201-2020")</f>
        <v/>
      </c>
      <c r="X71">
        <f>HYPERLINK("https://klasma.github.io/Logging_0484/tillsyn/A 23201-2020 tillsynsbegäran.docx", "A 23201-2020")</f>
        <v/>
      </c>
      <c r="Y71">
        <f>HYPERLINK("https://klasma.github.io/Logging_0484/tillsynsmail/A 23201-2020 tillsynsbegäran mail.docx", "A 23201-2020")</f>
        <v/>
      </c>
    </row>
    <row r="72" ht="15" customHeight="1">
      <c r="A72" t="inlineStr">
        <is>
          <t>A 23468-2020</t>
        </is>
      </c>
      <c r="B72" s="1" t="n">
        <v>43966</v>
      </c>
      <c r="C72" s="1" t="n">
        <v>45679</v>
      </c>
      <c r="D72" t="inlineStr">
        <is>
          <t>SÖDERMANLANDS LÄN</t>
        </is>
      </c>
      <c r="E72" t="inlineStr">
        <is>
          <t>ESKILSTUNA</t>
        </is>
      </c>
      <c r="G72" t="n">
        <v>6.2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HYPERLINK("https://klasma.github.io/Logging_0484/artfynd/A 23468-2020 artfynd.xlsx", "A 23468-2020")</f>
        <v/>
      </c>
      <c r="T72">
        <f>HYPERLINK("https://klasma.github.io/Logging_0484/kartor/A 23468-2020 karta.png", "A 23468-2020")</f>
        <v/>
      </c>
      <c r="V72">
        <f>HYPERLINK("https://klasma.github.io/Logging_0484/klagomål/A 23468-2020 FSC-klagomål.docx", "A 23468-2020")</f>
        <v/>
      </c>
      <c r="W72">
        <f>HYPERLINK("https://klasma.github.io/Logging_0484/klagomålsmail/A 23468-2020 FSC-klagomål mail.docx", "A 23468-2020")</f>
        <v/>
      </c>
      <c r="X72">
        <f>HYPERLINK("https://klasma.github.io/Logging_0484/tillsyn/A 23468-2020 tillsynsbegäran.docx", "A 23468-2020")</f>
        <v/>
      </c>
      <c r="Y72">
        <f>HYPERLINK("https://klasma.github.io/Logging_0484/tillsynsmail/A 23468-2020 tillsynsbegäran mail.docx", "A 23468-2020")</f>
        <v/>
      </c>
      <c r="Z72">
        <f>HYPERLINK("https://klasma.github.io/Logging_0484/fåglar/A 23468-2020 prioriterade fågelarter.docx", "A 23468-2020")</f>
        <v/>
      </c>
    </row>
    <row r="73" ht="15" customHeight="1">
      <c r="A73" t="inlineStr">
        <is>
          <t>A 38423-2020</t>
        </is>
      </c>
      <c r="B73" s="1" t="n">
        <v>44060</v>
      </c>
      <c r="C73" s="1" t="n">
        <v>45679</v>
      </c>
      <c r="D73" t="inlineStr">
        <is>
          <t>SÖDERMANLANDS LÄN</t>
        </is>
      </c>
      <c r="E73" t="inlineStr">
        <is>
          <t>ESKILSTUNA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38423-2020 artfynd.xlsx", "A 38423-2020")</f>
        <v/>
      </c>
      <c r="T73">
        <f>HYPERLINK("https://klasma.github.io/Logging_0484/kartor/A 38423-2020 karta.png", "A 38423-2020")</f>
        <v/>
      </c>
      <c r="V73">
        <f>HYPERLINK("https://klasma.github.io/Logging_0484/klagomål/A 38423-2020 FSC-klagomål.docx", "A 38423-2020")</f>
        <v/>
      </c>
      <c r="W73">
        <f>HYPERLINK("https://klasma.github.io/Logging_0484/klagomålsmail/A 38423-2020 FSC-klagomål mail.docx", "A 38423-2020")</f>
        <v/>
      </c>
      <c r="X73">
        <f>HYPERLINK("https://klasma.github.io/Logging_0484/tillsyn/A 38423-2020 tillsynsbegäran.docx", "A 38423-2020")</f>
        <v/>
      </c>
      <c r="Y73">
        <f>HYPERLINK("https://klasma.github.io/Logging_0484/tillsynsmail/A 38423-2020 tillsynsbegäran mail.docx", "A 38423-2020")</f>
        <v/>
      </c>
    </row>
    <row r="74" ht="15" customHeight="1">
      <c r="A74" t="inlineStr">
        <is>
          <t>A 56228-2020</t>
        </is>
      </c>
      <c r="B74" s="1" t="n">
        <v>44134</v>
      </c>
      <c r="C74" s="1" t="n">
        <v>45679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HYPERLINK("https://klasma.github.io/Logging_0484/artfynd/A 56228-2020 artfynd.xlsx", "A 56228-2020")</f>
        <v/>
      </c>
      <c r="T74">
        <f>HYPERLINK("https://klasma.github.io/Logging_0484/kartor/A 56228-2020 karta.png", "A 56228-2020")</f>
        <v/>
      </c>
      <c r="V74">
        <f>HYPERLINK("https://klasma.github.io/Logging_0484/klagomål/A 56228-2020 FSC-klagomål.docx", "A 56228-2020")</f>
        <v/>
      </c>
      <c r="W74">
        <f>HYPERLINK("https://klasma.github.io/Logging_0484/klagomålsmail/A 56228-2020 FSC-klagomål mail.docx", "A 56228-2020")</f>
        <v/>
      </c>
      <c r="X74">
        <f>HYPERLINK("https://klasma.github.io/Logging_0484/tillsyn/A 56228-2020 tillsynsbegäran.docx", "A 56228-2020")</f>
        <v/>
      </c>
      <c r="Y74">
        <f>HYPERLINK("https://klasma.github.io/Logging_0484/tillsynsmail/A 56228-2020 tillsynsbegäran mail.docx", "A 56228-2020")</f>
        <v/>
      </c>
    </row>
    <row r="75" ht="15" customHeight="1">
      <c r="A75" t="inlineStr">
        <is>
          <t>A 33759-2021</t>
        </is>
      </c>
      <c r="B75" s="1" t="n">
        <v>44378</v>
      </c>
      <c r="C75" s="1" t="n">
        <v>45679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20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HYPERLINK("https://klasma.github.io/Logging_0484/artfynd/A 33759-2021 artfynd.xlsx", "A 33759-2021")</f>
        <v/>
      </c>
      <c r="T75">
        <f>HYPERLINK("https://klasma.github.io/Logging_0484/kartor/A 33759-2021 karta.png", "A 33759-2021")</f>
        <v/>
      </c>
      <c r="V75">
        <f>HYPERLINK("https://klasma.github.io/Logging_0484/klagomål/A 33759-2021 FSC-klagomål.docx", "A 33759-2021")</f>
        <v/>
      </c>
      <c r="W75">
        <f>HYPERLINK("https://klasma.github.io/Logging_0484/klagomålsmail/A 33759-2021 FSC-klagomål mail.docx", "A 33759-2021")</f>
        <v/>
      </c>
      <c r="X75">
        <f>HYPERLINK("https://klasma.github.io/Logging_0484/tillsyn/A 33759-2021 tillsynsbegäran.docx", "A 33759-2021")</f>
        <v/>
      </c>
      <c r="Y75">
        <f>HYPERLINK("https://klasma.github.io/Logging_0484/tillsynsmail/A 33759-2021 tillsynsbegäran mail.docx", "A 33759-2021")</f>
        <v/>
      </c>
    </row>
    <row r="76" ht="15" customHeight="1">
      <c r="A76" t="inlineStr">
        <is>
          <t>A 53206-2021</t>
        </is>
      </c>
      <c r="B76" s="1" t="n">
        <v>44468</v>
      </c>
      <c r="C76" s="1" t="n">
        <v>45679</v>
      </c>
      <c r="D76" t="inlineStr">
        <is>
          <t>SÖDERMANLANDS LÄN</t>
        </is>
      </c>
      <c r="E76" t="inlineStr">
        <is>
          <t>ESKILSTUNA</t>
        </is>
      </c>
      <c r="G76" t="n">
        <v>12.8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Zontaggsvamp</t>
        </is>
      </c>
      <c r="S76">
        <f>HYPERLINK("https://klasma.github.io/Logging_0484/artfynd/A 53206-2021 artfynd.xlsx", "A 53206-2021")</f>
        <v/>
      </c>
      <c r="T76">
        <f>HYPERLINK("https://klasma.github.io/Logging_0484/kartor/A 53206-2021 karta.png", "A 53206-2021")</f>
        <v/>
      </c>
      <c r="V76">
        <f>HYPERLINK("https://klasma.github.io/Logging_0484/klagomål/A 53206-2021 FSC-klagomål.docx", "A 53206-2021")</f>
        <v/>
      </c>
      <c r="W76">
        <f>HYPERLINK("https://klasma.github.io/Logging_0484/klagomålsmail/A 53206-2021 FSC-klagomål mail.docx", "A 53206-2021")</f>
        <v/>
      </c>
      <c r="X76">
        <f>HYPERLINK("https://klasma.github.io/Logging_0484/tillsyn/A 53206-2021 tillsynsbegäran.docx", "A 53206-2021")</f>
        <v/>
      </c>
      <c r="Y76">
        <f>HYPERLINK("https://klasma.github.io/Logging_0484/tillsynsmail/A 53206-2021 tillsynsbegäran mail.docx", "A 53206-2021")</f>
        <v/>
      </c>
    </row>
    <row r="77" ht="15" customHeight="1">
      <c r="A77" t="inlineStr">
        <is>
          <t>A 62141-2021</t>
        </is>
      </c>
      <c r="B77" s="1" t="n">
        <v>44502</v>
      </c>
      <c r="C77" s="1" t="n">
        <v>45679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Kyrkan</t>
        </is>
      </c>
      <c r="G77" t="n">
        <v>13.7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HYPERLINK("https://klasma.github.io/Logging_0484/artfynd/A 62141-2021 artfynd.xlsx", "A 62141-2021")</f>
        <v/>
      </c>
      <c r="T77">
        <f>HYPERLINK("https://klasma.github.io/Logging_0484/kartor/A 62141-2021 karta.png", "A 62141-2021")</f>
        <v/>
      </c>
      <c r="V77">
        <f>HYPERLINK("https://klasma.github.io/Logging_0484/klagomål/A 62141-2021 FSC-klagomål.docx", "A 62141-2021")</f>
        <v/>
      </c>
      <c r="W77">
        <f>HYPERLINK("https://klasma.github.io/Logging_0484/klagomålsmail/A 62141-2021 FSC-klagomål mail.docx", "A 62141-2021")</f>
        <v/>
      </c>
      <c r="X77">
        <f>HYPERLINK("https://klasma.github.io/Logging_0484/tillsyn/A 62141-2021 tillsynsbegäran.docx", "A 62141-2021")</f>
        <v/>
      </c>
      <c r="Y77">
        <f>HYPERLINK("https://klasma.github.io/Logging_0484/tillsynsmail/A 62141-2021 tillsynsbegäran mail.docx", "A 62141-2021")</f>
        <v/>
      </c>
    </row>
    <row r="78" ht="15" customHeight="1">
      <c r="A78" t="inlineStr">
        <is>
          <t>A 65380-2021</t>
        </is>
      </c>
      <c r="B78" s="1" t="n">
        <v>44515</v>
      </c>
      <c r="C78" s="1" t="n">
        <v>45679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5.4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HYPERLINK("https://klasma.github.io/Logging_0484/artfynd/A 65380-2021 artfynd.xlsx", "A 65380-2021")</f>
        <v/>
      </c>
      <c r="T78">
        <f>HYPERLINK("https://klasma.github.io/Logging_0484/kartor/A 65380-2021 karta.png", "A 65380-2021")</f>
        <v/>
      </c>
      <c r="V78">
        <f>HYPERLINK("https://klasma.github.io/Logging_0484/klagomål/A 65380-2021 FSC-klagomål.docx", "A 65380-2021")</f>
        <v/>
      </c>
      <c r="W78">
        <f>HYPERLINK("https://klasma.github.io/Logging_0484/klagomålsmail/A 65380-2021 FSC-klagomål mail.docx", "A 65380-2021")</f>
        <v/>
      </c>
      <c r="X78">
        <f>HYPERLINK("https://klasma.github.io/Logging_0484/tillsyn/A 65380-2021 tillsynsbegäran.docx", "A 65380-2021")</f>
        <v/>
      </c>
      <c r="Y78">
        <f>HYPERLINK("https://klasma.github.io/Logging_0484/tillsynsmail/A 65380-2021 tillsynsbegäran mail.docx", "A 65380-2021")</f>
        <v/>
      </c>
    </row>
    <row r="79" ht="15" customHeight="1">
      <c r="A79" t="inlineStr">
        <is>
          <t>A 3162-2022</t>
        </is>
      </c>
      <c r="B79" s="1" t="n">
        <v>44582</v>
      </c>
      <c r="C79" s="1" t="n">
        <v>45679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HYPERLINK("https://klasma.github.io/Logging_0484/artfynd/A 3162-2022 artfynd.xlsx", "A 3162-2022")</f>
        <v/>
      </c>
      <c r="T79">
        <f>HYPERLINK("https://klasma.github.io/Logging_0484/kartor/A 3162-2022 karta.png", "A 3162-2022")</f>
        <v/>
      </c>
      <c r="V79">
        <f>HYPERLINK("https://klasma.github.io/Logging_0484/klagomål/A 3162-2022 FSC-klagomål.docx", "A 3162-2022")</f>
        <v/>
      </c>
      <c r="W79">
        <f>HYPERLINK("https://klasma.github.io/Logging_0484/klagomålsmail/A 3162-2022 FSC-klagomål mail.docx", "A 3162-2022")</f>
        <v/>
      </c>
      <c r="X79">
        <f>HYPERLINK("https://klasma.github.io/Logging_0484/tillsyn/A 3162-2022 tillsynsbegäran.docx", "A 3162-2022")</f>
        <v/>
      </c>
      <c r="Y79">
        <f>HYPERLINK("https://klasma.github.io/Logging_0484/tillsynsmail/A 3162-2022 tillsynsbegäran mail.docx", "A 3162-2022")</f>
        <v/>
      </c>
    </row>
    <row r="80" ht="15" customHeight="1">
      <c r="A80" t="inlineStr">
        <is>
          <t>A 15960-2022</t>
        </is>
      </c>
      <c r="B80" s="1" t="n">
        <v>44664</v>
      </c>
      <c r="C80" s="1" t="n">
        <v>45679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11.9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Scharlakansvårskål agg.</t>
        </is>
      </c>
      <c r="S80">
        <f>HYPERLINK("https://klasma.github.io/Logging_0484/artfynd/A 15960-2022 artfynd.xlsx", "A 15960-2022")</f>
        <v/>
      </c>
      <c r="T80">
        <f>HYPERLINK("https://klasma.github.io/Logging_0484/kartor/A 15960-2022 karta.png", "A 15960-2022")</f>
        <v/>
      </c>
      <c r="V80">
        <f>HYPERLINK("https://klasma.github.io/Logging_0484/klagomål/A 15960-2022 FSC-klagomål.docx", "A 15960-2022")</f>
        <v/>
      </c>
      <c r="W80">
        <f>HYPERLINK("https://klasma.github.io/Logging_0484/klagomålsmail/A 15960-2022 FSC-klagomål mail.docx", "A 15960-2022")</f>
        <v/>
      </c>
      <c r="X80">
        <f>HYPERLINK("https://klasma.github.io/Logging_0484/tillsyn/A 15960-2022 tillsynsbegäran.docx", "A 15960-2022")</f>
        <v/>
      </c>
      <c r="Y80">
        <f>HYPERLINK("https://klasma.github.io/Logging_0484/tillsynsmail/A 15960-2022 tillsynsbegäran mail.docx", "A 15960-2022")</f>
        <v/>
      </c>
    </row>
    <row r="81" ht="15" customHeight="1">
      <c r="A81" t="inlineStr">
        <is>
          <t>A 22267-2022</t>
        </is>
      </c>
      <c r="B81" s="1" t="n">
        <v>44712</v>
      </c>
      <c r="C81" s="1" t="n">
        <v>45679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Sveaskog</t>
        </is>
      </c>
      <c r="G81" t="n">
        <v>6.4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HYPERLINK("https://klasma.github.io/Logging_0484/artfynd/A 22267-2022 artfynd.xlsx", "A 22267-2022")</f>
        <v/>
      </c>
      <c r="T81">
        <f>HYPERLINK("https://klasma.github.io/Logging_0484/kartor/A 22267-2022 karta.png", "A 22267-2022")</f>
        <v/>
      </c>
      <c r="V81">
        <f>HYPERLINK("https://klasma.github.io/Logging_0484/klagomål/A 22267-2022 FSC-klagomål.docx", "A 22267-2022")</f>
        <v/>
      </c>
      <c r="W81">
        <f>HYPERLINK("https://klasma.github.io/Logging_0484/klagomålsmail/A 22267-2022 FSC-klagomål mail.docx", "A 22267-2022")</f>
        <v/>
      </c>
      <c r="X81">
        <f>HYPERLINK("https://klasma.github.io/Logging_0484/tillsyn/A 22267-2022 tillsynsbegäran.docx", "A 22267-2022")</f>
        <v/>
      </c>
      <c r="Y81">
        <f>HYPERLINK("https://klasma.github.io/Logging_0484/tillsynsmail/A 22267-2022 tillsynsbegäran mail.docx", "A 22267-2022")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45679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45679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45679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45679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45679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45679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45679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45679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45679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45679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45679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45679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45679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45679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45679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45679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45679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45679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45679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45679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45679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45679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45679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45679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45679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45679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45679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45679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45679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45679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45679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45679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45679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45679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45679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45679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45679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45679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45679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45679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45679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45679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45679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45679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45679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45679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45679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45679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45679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45679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45679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45679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45679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45679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45679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45679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45679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45679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45679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45679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45679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45679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45679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45679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45679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45679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45679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45679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45679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45679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45679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45679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45679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45679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45679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45679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45679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45679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45679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45679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45679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45679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45679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45679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45679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45679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45679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45679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45679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45679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45679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45679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45679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45679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45679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45679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45679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45679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45679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45679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45679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45679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45679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45679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45679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45679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45679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45679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45679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45679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45679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45679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45679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45679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45679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45679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45679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45679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45679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45679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45679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45679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45679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45679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45679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45679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45679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45679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45679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45679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45679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45679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45679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45679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45679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45679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45679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45679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45679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45679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45679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45679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45679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45679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45679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45679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45679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45679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45679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45679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45679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45679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45679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45679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45679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45679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45679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45679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45679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45679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45679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45679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45679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45679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45679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45679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45679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45679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45679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45679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45679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45679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45679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45679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45679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45679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45679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45679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45679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45679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45679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45679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45679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45679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45679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45679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45679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45679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45679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45679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45679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45679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45679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45679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45679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45679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45679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45679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45679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45679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45679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45679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45679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45679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45679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45679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45679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45679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45679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45679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45679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45679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45679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45679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45679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45679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45679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45679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45679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45679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45679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45679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45679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45679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45679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45679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45679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45679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45679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45679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45679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45679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45679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45679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45679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45679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45679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45679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45679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45679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45679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45679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45679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45679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45679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45679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45679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45679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45679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45679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45679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45679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45679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45679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45679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45679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45679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45679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45679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45679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45679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45679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45679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45679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45679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45679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45679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45679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45679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45679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45679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45679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45679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45679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45679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45679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45679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45679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45679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45679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45679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45679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45679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45679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45679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45679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45679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45679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45679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45679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45679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45679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45679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45679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45679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45679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45679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45679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45679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45679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45679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45679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45679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45679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45679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45679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45679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45679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45679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45679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45679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45679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45679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45679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45679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45679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45679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45679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45679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45679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45679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45679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45679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45679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45679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45679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45679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45679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45679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45679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45679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45679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45679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45679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45679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45679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45679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45679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45679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45679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45679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45679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45679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45679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45679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45679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45679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45679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45679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45679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45679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45679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45679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45679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45679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45679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45679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45679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45679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45679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45679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45679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45679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45679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45679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45679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45679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45679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45679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45679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45679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45679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45679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45679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45679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45679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45679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45679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45679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45679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45679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45679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45679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45679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45679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45679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45679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45679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45679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45679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45679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45679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45679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45679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45679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45679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45679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45679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45679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45679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45679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45679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45679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45679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45679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45679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45679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45679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45679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45679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45679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45679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45679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45679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45679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45679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45679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45679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45679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45679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45679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45679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45679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45679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45679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45679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45679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45679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45679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45679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45679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45679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45679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45679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45679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45679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45679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45679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45679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45679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45679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45679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45679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45679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45679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45679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45679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45679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45679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45679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45679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45679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45679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45679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45679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45679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45679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45679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45679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45679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45679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45679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45679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45679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45679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45679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45679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45679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45679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45679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45679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45679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45679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45679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45679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45679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45679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45679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45679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45679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45679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45679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45679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45679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45679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45679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45679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45679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45679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45679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45679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45679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45679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45679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45679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45679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45679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45679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45679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45679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45679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45679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45679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45679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45679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45679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45679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45679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45679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45679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45679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45679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45679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45679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45679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45679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45679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45679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45679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45679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45679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45679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45679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45679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45679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45679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45679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45679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45679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45679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45679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45679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45679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45679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45679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45679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45679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45679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45679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45679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45679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45679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45679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45679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45679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45679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45679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45679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45679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45679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45679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45679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45679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45679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45679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45679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45679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45679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45679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45679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45679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45679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45679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45679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45679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45679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45679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45679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45679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45679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45679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45679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45679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45679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45679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45679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45679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45679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45679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45679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45679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45679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45679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45679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45679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45679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45679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45679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45679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45679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45679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45679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45679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45679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45679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45679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45679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45679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45679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45679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45679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45679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45679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45679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45679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45679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45679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45679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45679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45679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45679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45679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45679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45679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45679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45679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45679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45679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45679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45679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45679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45679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45679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45679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45679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45679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45679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45679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45679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45679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45679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45679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45679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45679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45679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45679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45679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45679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45679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45679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45679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45679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45679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45679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45679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45679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45679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45679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45679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45679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45679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45679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45679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45679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45679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45679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45679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45679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45679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45679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45679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45679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45679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45679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45679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45679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45679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45679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45679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45679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45679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45679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45679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45679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45679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45679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45679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45679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45679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45679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45679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45679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45679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45679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45679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45679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45679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45679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45679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45679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45679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45679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45679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45679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45679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45679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45679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45679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45679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45679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45679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45679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45679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45679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45679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45679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45679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45679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45679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45679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45679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45679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45679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45679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45679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45679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45679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45679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45679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45679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45679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45679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45679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45679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45679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45679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45679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45679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45679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45679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45679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45679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45679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45679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45679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45679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45679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45679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45679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45679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45679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45679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45679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45679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45679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45679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45679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45679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45679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45679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45679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45679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45679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45679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45679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45679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45679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45679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45679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45679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45679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45679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45679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45679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45679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45679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45679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45679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45679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45679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45679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45679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45679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45679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45679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45679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45679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45679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45679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45679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45679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45679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45679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45679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45679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45679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45679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45679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45679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45679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45679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45679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45679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45679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45679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45679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45679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45679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45679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45679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45679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45679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45679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45679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45679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45679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45679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45679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45679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45679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45679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45679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45679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45679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45679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45679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45679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45679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45679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45679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45679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45679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45679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45679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45679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45679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45679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45679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45679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45679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45679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45679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45679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45679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45679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45679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45679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45679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45679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45679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45679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45679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45679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45679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45679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45679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45679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45679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45679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45679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45679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45679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45679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45679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45679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45679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45679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45679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45679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45679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45679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45679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45679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45679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45679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45679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45679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45679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45679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45679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45679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45679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45679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45679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45679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45679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45679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45679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45679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45679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45679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45679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45679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45679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45679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45679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45679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45679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45679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45679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45679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45679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45679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45679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45679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45679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45679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45679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45679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45679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45679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45679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45679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45679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45679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45679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45679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45679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45679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45679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45679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45679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45679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45679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45679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45679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45679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45679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45679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45679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45679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45679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45679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45679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45679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45679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45679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45679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45679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45679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45679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45679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45679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45679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45679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45679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45679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45679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45679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45679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45679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45679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45679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45679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45679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45679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45679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45679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45679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45679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45679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45679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45679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45679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45679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45679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45679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45679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45679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45679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45679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45679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45679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45679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45679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45679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45679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45679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45679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45679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45679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45679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45679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45679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45679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45679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45679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45679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45679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45679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45679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45679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45679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45679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45679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45679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45679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45679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45679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45679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45679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45679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45679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45679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45679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45679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45679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45679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45679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45679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45679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45679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45679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60246-2024</t>
        </is>
      </c>
      <c r="B1085" s="1" t="n">
        <v>45642</v>
      </c>
      <c r="C1085" s="1" t="n">
        <v>45679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45679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60244-2024</t>
        </is>
      </c>
      <c r="B1087" s="1" t="n">
        <v>45642</v>
      </c>
      <c r="C1087" s="1" t="n">
        <v>45679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45679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45679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45679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45679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545-2025</t>
        </is>
      </c>
      <c r="B1092" s="1" t="n">
        <v>45664</v>
      </c>
      <c r="C1092" s="1" t="n">
        <v>45679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1194-2025</t>
        </is>
      </c>
      <c r="B1093" s="1" t="n">
        <v>45667</v>
      </c>
      <c r="C1093" s="1" t="n">
        <v>45679</v>
      </c>
      <c r="D1093" t="inlineStr">
        <is>
          <t>SÖDERMANLANDS LÄN</t>
        </is>
      </c>
      <c r="E1093" t="inlineStr">
        <is>
          <t>ESKILSTUNA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1458-2025</t>
        </is>
      </c>
      <c r="B1094" s="1" t="n">
        <v>45670</v>
      </c>
      <c r="C1094" s="1" t="n">
        <v>45679</v>
      </c>
      <c r="D1094" t="inlineStr">
        <is>
          <t>SÖDERMANLANDS LÄN</t>
        </is>
      </c>
      <c r="E1094" t="inlineStr">
        <is>
          <t>ESKILSTUNA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1506-2025</t>
        </is>
      </c>
      <c r="B1095" s="1" t="n">
        <v>45670</v>
      </c>
      <c r="C1095" s="1" t="n">
        <v>45679</v>
      </c>
      <c r="D1095" t="inlineStr">
        <is>
          <t>SÖDERMANLANDS LÄN</t>
        </is>
      </c>
      <c r="E1095" t="inlineStr">
        <is>
          <t>ESKILSTUNA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1538-2025</t>
        </is>
      </c>
      <c r="B1096" s="1" t="n">
        <v>45670</v>
      </c>
      <c r="C1096" s="1" t="n">
        <v>45679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Sveaskog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1700-2025</t>
        </is>
      </c>
      <c r="B1097" s="1" t="n">
        <v>45670</v>
      </c>
      <c r="C1097" s="1" t="n">
        <v>45679</v>
      </c>
      <c r="D1097" t="inlineStr">
        <is>
          <t>SÖDERMANLANDS LÄN</t>
        </is>
      </c>
      <c r="E1097" t="inlineStr">
        <is>
          <t>ESKILSTUNA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1701-2025</t>
        </is>
      </c>
      <c r="B1098" s="1" t="n">
        <v>45670</v>
      </c>
      <c r="C1098" s="1" t="n">
        <v>45679</v>
      </c>
      <c r="D1098" t="inlineStr">
        <is>
          <t>SÖDERMANLANDS LÄN</t>
        </is>
      </c>
      <c r="E1098" t="inlineStr">
        <is>
          <t>ESKILSTUNA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1732-2025</t>
        </is>
      </c>
      <c r="B1099" s="1" t="n">
        <v>45671</v>
      </c>
      <c r="C1099" s="1" t="n">
        <v>45679</v>
      </c>
      <c r="D1099" t="inlineStr">
        <is>
          <t>SÖDERMANLANDS LÄN</t>
        </is>
      </c>
      <c r="E1099" t="inlineStr">
        <is>
          <t>ESKILSTUNA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1990-2025</t>
        </is>
      </c>
      <c r="B1100" s="1" t="n">
        <v>45672</v>
      </c>
      <c r="C1100" s="1" t="n">
        <v>45679</v>
      </c>
      <c r="D1100" t="inlineStr">
        <is>
          <t>SÖDERMANLANDS LÄN</t>
        </is>
      </c>
      <c r="E1100" t="inlineStr">
        <is>
          <t>ESKILSTUNA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2261-2025</t>
        </is>
      </c>
      <c r="B1101" s="1" t="n">
        <v>45673</v>
      </c>
      <c r="C1101" s="1" t="n">
        <v>45679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Kyrkan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2512-2025</t>
        </is>
      </c>
      <c r="B1102" s="1" t="n">
        <v>45674</v>
      </c>
      <c r="C1102" s="1" t="n">
        <v>45679</v>
      </c>
      <c r="D1102" t="inlineStr">
        <is>
          <t>SÖDERMANLANDS LÄN</t>
        </is>
      </c>
      <c r="E1102" t="inlineStr">
        <is>
          <t>ESKILSTUNA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2517-2025</t>
        </is>
      </c>
      <c r="B1103" s="1" t="n">
        <v>45674</v>
      </c>
      <c r="C1103" s="1" t="n">
        <v>45679</v>
      </c>
      <c r="D1103" t="inlineStr">
        <is>
          <t>SÖDERMANLANDS LÄN</t>
        </is>
      </c>
      <c r="E1103" t="inlineStr">
        <is>
          <t>ESKILSTUNA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2515-2025</t>
        </is>
      </c>
      <c r="B1104" s="1" t="n">
        <v>45674</v>
      </c>
      <c r="C1104" s="1" t="n">
        <v>45679</v>
      </c>
      <c r="D1104" t="inlineStr">
        <is>
          <t>SÖDERMANLANDS LÄN</t>
        </is>
      </c>
      <c r="E1104" t="inlineStr">
        <is>
          <t>ESKILSTUNA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>
      <c r="A1105" t="inlineStr">
        <is>
          <t>A 2514-2025</t>
        </is>
      </c>
      <c r="B1105" s="1" t="n">
        <v>45674</v>
      </c>
      <c r="C1105" s="1" t="n">
        <v>45679</v>
      </c>
      <c r="D1105" t="inlineStr">
        <is>
          <t>SÖDERMANLANDS LÄN</t>
        </is>
      </c>
      <c r="E1105" t="inlineStr">
        <is>
          <t>ESKILSTUNA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2025-01-22T16:16:12Z</dcterms:created>
  <dcterms:modified xmlns:dcterms="http://purl.org/dc/terms/" xmlns:xsi="http://www.w3.org/2001/XMLSchema-instance" xsi:type="dcterms:W3CDTF">2025-01-22T16:16:14Z</dcterms:modified>
</cp:coreProperties>
</file>