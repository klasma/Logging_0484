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46281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46281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46281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46281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46281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46281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46281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46281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46281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46281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46281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46281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46281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46281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46281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46281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46281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46281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46281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46281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46281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12443-2024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45379</v>
      </c>
      <c r="E27" s="1" t="n">
        <v>46281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8.9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1</v>
      </c>
      <c r="V27" s="2" t="inlineStr">
        <is>
          <t>Blåsippa
Mattlummer
Revlummer</t>
        </is>
      </c>
      <c r="W27">
        <f>HYPERLINK("https://klasma.github.io/Logging_0484/artfynd/A 12443-2024 artfynd.xlsx", "A 12443-2024")</f>
        <v/>
      </c>
      <c r="X27">
        <f>HYPERLINK("https://klasma.github.io/Logging_0484/kartor/A 12443-2024 karta.png", "A 12443-2024")</f>
        <v/>
      </c>
      <c r="Y27">
        <f>HYPERLINK("https://klasma.github.io/Logging_0484/kartor_geotiff/A 12443-2024 georefererad karta.tif", "A 12443-2024")</f>
        <v/>
      </c>
      <c r="AA27">
        <f>HYPERLINK("https://klasma.github.io/Logging_0484/klagomål/A 12443-2024 FSC-klagomål.docx", "A 12443-2024")</f>
        <v/>
      </c>
      <c r="AB27">
        <f>HYPERLINK("https://klasma.github.io/Logging_0484/klagomålsmail/A 12443-2024 FSC-klagomål mail.docx", "A 12443-2024")</f>
        <v/>
      </c>
      <c r="AC27">
        <f>HYPERLINK("https://klasma.github.io/Logging_0484/tillsyn/A 12443-2024 tillsynsbegäran.docx", "A 12443-2024")</f>
        <v/>
      </c>
      <c r="AD27">
        <f>HYPERLINK("https://klasma.github.io/Logging_0484/tillsynsmail/A 12443-2024 tillsynsbegäran mail.docx", "A 12443-2024")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46281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46281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46281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46281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46281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46281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44664-2022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46281</v>
      </c>
      <c r="F35" t="inlineStr">
        <is>
          <t>SÖDERMANLANDS LÄN</t>
        </is>
      </c>
      <c r="G35" t="inlineStr">
        <is>
          <t>ESKILSTUNA</t>
        </is>
      </c>
      <c r="I35" t="n">
        <v>20.8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1</v>
      </c>
      <c r="V35" s="2" t="inlineStr">
        <is>
          <t>Knärot
Blåmossa</t>
        </is>
      </c>
      <c r="W35">
        <f>HYPERLINK("https://klasma.github.io/Logging_0484/artfynd/A 44664-2022 artfynd.xlsx", "A 44664-2022")</f>
        <v/>
      </c>
      <c r="X35">
        <f>HYPERLINK("https://klasma.github.io/Logging_0484/kartor/A 44664-2022 karta.png", "A 44664-2022")</f>
        <v/>
      </c>
      <c r="Y35">
        <f>HYPERLINK("https://klasma.github.io/Logging_0484/kartor_geotiff/A 44664-2022 georefererad karta.tif", "A 44664-2022")</f>
        <v/>
      </c>
      <c r="Z35">
        <f>HYPERLINK("https://klasma.github.io/Logging_0484/knärot/A 44664-2022 karta knärot.png", "A 44664-2022")</f>
        <v/>
      </c>
      <c r="AA35">
        <f>HYPERLINK("https://klasma.github.io/Logging_0484/klagomål/A 44664-2022 FSC-klagomål.docx", "A 44664-2022")</f>
        <v/>
      </c>
      <c r="AB35">
        <f>HYPERLINK("https://klasma.github.io/Logging_0484/klagomålsmail/A 44664-2022 FSC-klagomål mail.docx", "A 44664-2022")</f>
        <v/>
      </c>
      <c r="AC35">
        <f>HYPERLINK("https://klasma.github.io/Logging_0484/tillsyn/A 44664-2022 tillsynsbegäran.docx", "A 44664-2022")</f>
        <v/>
      </c>
      <c r="AD35">
        <f>HYPERLINK("https://klasma.github.io/Logging_0484/tillsynsmail/A 44664-2022 tillsynsbegäran mail.docx", "A 44664-2022")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46281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46281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 dropplav
Sotlav</t>
        </is>
      </c>
      <c r="W37">
        <f>HYPERLINK("https://klasma.github.io/Logging_0484/artfynd/A 17362-2024 artfynd.xlsx", "A 17362-2024")</f>
        <v/>
      </c>
      <c r="X37">
        <f>HYPERLINK("https://klasma.github.io/Logging_0484/kartor/A 17362-2024 karta.png", "A 17362-2024")</f>
        <v/>
      </c>
      <c r="Y37">
        <f>HYPERLINK("https://klasma.github.io/Logging_0484/kartor_geotiff/A 17362-2024 georefererad karta.tif", "A 17362-2024")</f>
        <v/>
      </c>
      <c r="AA37">
        <f>HYPERLINK("https://klasma.github.io/Logging_0484/klagomål/A 17362-2024 FSC-klagomål.docx", "A 17362-2024")</f>
        <v/>
      </c>
      <c r="AB37">
        <f>HYPERLINK("https://klasma.github.io/Logging_0484/klagomålsmail/A 17362-2024 FSC-klagomål mail.docx", "A 17362-2024")</f>
        <v/>
      </c>
      <c r="AC37">
        <f>HYPERLINK("https://klasma.github.io/Logging_0484/tillsyn/A 17362-2024 tillsynsbegäran.docx", "A 17362-2024")</f>
        <v/>
      </c>
      <c r="AD37">
        <f>HYPERLINK("https://klasma.github.io/Logging_0484/tillsynsmail/A 17362-2024 tillsynsbegäran mail.docx", "A 17362-2024")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46281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46281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46281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26095-2026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46281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Svinrot
Spillkråka</t>
        </is>
      </c>
      <c r="W41">
        <f>HYPERLINK("https://klasma.github.io/Logging_0484/artfynd/A 26095-2026 artfynd.xlsx", "A 26095-2026")</f>
        <v/>
      </c>
      <c r="X41">
        <f>HYPERLINK("https://klasma.github.io/Logging_0484/kartor/A 26095-2026 karta.png", "A 26095-2026")</f>
        <v/>
      </c>
      <c r="Y41">
        <f>HYPERLINK("https://klasma.github.io/Logging_0484/kartor_geotiff/A 26095-2026 georefererad karta.tif", "A 26095-2026")</f>
        <v/>
      </c>
      <c r="AA41">
        <f>HYPERLINK("https://klasma.github.io/Logging_0484/klagomål/A 26095-2026 FSC-klagomål.docx", "A 26095-2026")</f>
        <v/>
      </c>
      <c r="AB41">
        <f>HYPERLINK("https://klasma.github.io/Logging_0484/klagomålsmail/A 26095-2026 FSC-klagomål mail.docx", "A 26095-2026")</f>
        <v/>
      </c>
      <c r="AC41">
        <f>HYPERLINK("https://klasma.github.io/Logging_0484/tillsyn/A 26095-2026 tillsynsbegäran.docx", "A 26095-2026")</f>
        <v/>
      </c>
      <c r="AD41">
        <f>HYPERLINK("https://klasma.github.io/Logging_0484/tillsynsmail/A 26095-2026 tillsynsbegäran mail.docx", "A 26095-2026")</f>
        <v/>
      </c>
      <c r="AE41">
        <f>HYPERLINK("https://klasma.github.io/Logging_0484/fåglar/A 26095-2026 prioriterade fågelarter.docx", "A 26095-2026")</f>
        <v/>
      </c>
    </row>
    <row r="42" ht="15" customHeight="1">
      <c r="A42" t="inlineStr">
        <is>
          <t>A 26105-2026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Backsippa
Backtimjan</t>
        </is>
      </c>
      <c r="W42">
        <f>HYPERLINK("https://klasma.github.io/Logging_0484/artfynd/A 26105-2026 artfynd.xlsx", "A 26105-2026")</f>
        <v/>
      </c>
      <c r="X42">
        <f>HYPERLINK("https://klasma.github.io/Logging_0484/kartor/A 26105-2026 karta.png", "A 26105-2026")</f>
        <v/>
      </c>
      <c r="Y42">
        <f>HYPERLINK("https://klasma.github.io/Logging_0484/kartor_geotiff/A 26105-2026 georefererad karta.tif", "A 26105-2026")</f>
        <v/>
      </c>
      <c r="AA42">
        <f>HYPERLINK("https://klasma.github.io/Logging_0484/klagomål/A 26105-2026 FSC-klagomål.docx", "A 26105-2026")</f>
        <v/>
      </c>
      <c r="AB42">
        <f>HYPERLINK("https://klasma.github.io/Logging_0484/klagomålsmail/A 26105-2026 FSC-klagomål mail.docx", "A 26105-2026")</f>
        <v/>
      </c>
      <c r="AC42">
        <f>HYPERLINK("https://klasma.github.io/Logging_0484/tillsyn/A 26105-2026 tillsynsbegäran.docx", "A 26105-2026")</f>
        <v/>
      </c>
      <c r="AD42">
        <f>HYPERLINK("https://klasma.github.io/Logging_0484/tillsynsmail/A 26105-2026 tillsynsbegäran mail.docx", "A 26105-2026")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46281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46281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65380-2021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46281</v>
      </c>
      <c r="F45" t="inlineStr">
        <is>
          <t>SÖDERMANLANDS LÄN</t>
        </is>
      </c>
      <c r="G45" t="inlineStr">
        <is>
          <t>ESKILSTUNA</t>
        </is>
      </c>
      <c r="H45" t="inlineStr">
        <is>
          <t>Kyrkan</t>
        </is>
      </c>
      <c r="I45" t="n">
        <v>5.4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Älg
Blåsippa</t>
        </is>
      </c>
      <c r="W45">
        <f>HYPERLINK("https://klasma.github.io/Logging_0484/artfynd/A 65380-2021 artfynd.xlsx", "A 65380-2021")</f>
        <v/>
      </c>
      <c r="X45">
        <f>HYPERLINK("https://klasma.github.io/Logging_0484/kartor/A 65380-2021 karta.png", "A 65380-2021")</f>
        <v/>
      </c>
      <c r="Y45">
        <f>HYPERLINK("https://klasma.github.io/Logging_0484/kartor_geotiff/A 65380-2021 georefererad karta.tif", "A 65380-2021")</f>
        <v/>
      </c>
      <c r="AA45">
        <f>HYPERLINK("https://klasma.github.io/Logging_0484/klagomål/A 65380-2021 FSC-klagomål.docx", "A 65380-2021")</f>
        <v/>
      </c>
      <c r="AB45">
        <f>HYPERLINK("https://klasma.github.io/Logging_0484/klagomålsmail/A 65380-2021 FSC-klagomål mail.docx", "A 65380-2021")</f>
        <v/>
      </c>
      <c r="AC45">
        <f>HYPERLINK("https://klasma.github.io/Logging_0484/tillsyn/A 65380-2021 tillsynsbegäran.docx", "A 65380-2021")</f>
        <v/>
      </c>
      <c r="AD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46281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4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Grovticka
Svavelriska</t>
        </is>
      </c>
      <c r="W46">
        <f>HYPERLINK("https://klasma.github.io/Logging_0484/artfynd/A 32314-2023 artfynd.xlsx", "A 32314-2023")</f>
        <v/>
      </c>
      <c r="X46">
        <f>HYPERLINK("https://klasma.github.io/Logging_0484/kartor/A 32314-2023 karta.png", "A 32314-2023")</f>
        <v/>
      </c>
      <c r="Y46">
        <f>HYPERLINK("https://klasma.github.io/Logging_0484/kartor_geotiff/A 32314-2023 georefererad karta.tif", "A 32314-2023")</f>
        <v/>
      </c>
      <c r="AA46">
        <f>HYPERLINK("https://klasma.github.io/Logging_0484/klagomål/A 32314-2023 FSC-klagomål.docx", "A 32314-2023")</f>
        <v/>
      </c>
      <c r="AB46">
        <f>HYPERLINK("https://klasma.github.io/Logging_0484/klagomålsmail/A 32314-2023 FSC-klagomål mail.docx", "A 32314-2023")</f>
        <v/>
      </c>
      <c r="AC46">
        <f>HYPERLINK("https://klasma.github.io/Logging_0484/tillsyn/A 32314-2023 tillsynsbegäran.docx", "A 32314-2023")</f>
        <v/>
      </c>
      <c r="AD46">
        <f>HYPERLINK("https://klasma.github.io/Logging_0484/tillsynsmail/A 32314-2023 tillsynsbegäran mail.docx", "A 32314-2023")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46281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19494-2024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45429</v>
      </c>
      <c r="E48" s="1" t="n">
        <v>46281</v>
      </c>
      <c r="F48" t="inlineStr">
        <is>
          <t>SÖDERMANLANDS LÄN</t>
        </is>
      </c>
      <c r="G48" t="inlineStr">
        <is>
          <t>ESKILSTUNA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Svart trolldruva
Blåsippa</t>
        </is>
      </c>
      <c r="W48">
        <f>HYPERLINK("https://klasma.github.io/Logging_0484/artfynd/A 19494-2024 artfynd.xlsx", "A 19494-2024")</f>
        <v/>
      </c>
      <c r="X48">
        <f>HYPERLINK("https://klasma.github.io/Logging_0484/kartor/A 19494-2024 karta.png", "A 19494-2024")</f>
        <v/>
      </c>
      <c r="Y48">
        <f>HYPERLINK("https://klasma.github.io/Logging_0484/kartor_geotiff/A 19494-2024 georefererad karta.tif", "A 19494-2024")</f>
        <v/>
      </c>
      <c r="AA48">
        <f>HYPERLINK("https://klasma.github.io/Logging_0484/klagomål/A 19494-2024 FSC-klagomål.docx", "A 19494-2024")</f>
        <v/>
      </c>
      <c r="AB48">
        <f>HYPERLINK("https://klasma.github.io/Logging_0484/klagomålsmail/A 19494-2024 FSC-klagomål mail.docx", "A 19494-2024")</f>
        <v/>
      </c>
      <c r="AC48">
        <f>HYPERLINK("https://klasma.github.io/Logging_0484/tillsyn/A 19494-2024 tillsynsbegäran.docx", "A 19494-2024")</f>
        <v/>
      </c>
      <c r="AD48">
        <f>HYPERLINK("https://klasma.github.io/Logging_0484/tillsynsmail/A 19494-2024 tillsynsbegäran mail.docx", "A 19494-2024")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46281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46281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46281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46281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46281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46281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46281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46281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46281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30975-2023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45103</v>
      </c>
      <c r="E58" s="1" t="n">
        <v>46281</v>
      </c>
      <c r="F58" t="inlineStr">
        <is>
          <t>SÖDERMANLANDS LÄN</t>
        </is>
      </c>
      <c r="G58" t="inlineStr">
        <is>
          <t>ESKILSTUNA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Bombmurkla</t>
        </is>
      </c>
      <c r="W58">
        <f>HYPERLINK("https://klasma.github.io/Logging_0484/artfynd/A 30975-2023 artfynd.xlsx", "A 30975-2023")</f>
        <v/>
      </c>
      <c r="X58">
        <f>HYPERLINK("https://klasma.github.io/Logging_0484/kartor/A 30975-2023 karta.png", "A 30975-2023")</f>
        <v/>
      </c>
      <c r="Y58">
        <f>HYPERLINK("https://klasma.github.io/Logging_0484/kartor_geotiff/A 30975-2023 georefererad karta.tif", "A 30975-2023")</f>
        <v/>
      </c>
      <c r="AA58">
        <f>HYPERLINK("https://klasma.github.io/Logging_0484/klagomål/A 30975-2023 FSC-klagomål.docx", "A 30975-2023")</f>
        <v/>
      </c>
      <c r="AB58">
        <f>HYPERLINK("https://klasma.github.io/Logging_0484/klagomålsmail/A 30975-2023 FSC-klagomål mail.docx", "A 30975-2023")</f>
        <v/>
      </c>
      <c r="AC58">
        <f>HYPERLINK("https://klasma.github.io/Logging_0484/tillsyn/A 30975-2023 tillsynsbegäran.docx", "A 30975-2023")</f>
        <v/>
      </c>
      <c r="AD58">
        <f>HYPERLINK("https://klasma.github.io/Logging_0484/tillsynsmail/A 30975-2023 tillsynsbegäran mail.docx", "A 30975-2023")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46281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46281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50760-2023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46281</v>
      </c>
      <c r="F61" t="inlineStr">
        <is>
          <t>SÖDERMANLANDS LÄN</t>
        </is>
      </c>
      <c r="G61" t="inlineStr">
        <is>
          <t>ESKILSTUNA</t>
        </is>
      </c>
      <c r="I61" t="n">
        <v>4.1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Pärluggla</t>
        </is>
      </c>
      <c r="W61">
        <f>HYPERLINK("https://klasma.github.io/Logging_0484/artfynd/A 50760-2023 artfynd.xlsx", "A 50760-2023")</f>
        <v/>
      </c>
      <c r="X61">
        <f>HYPERLINK("https://klasma.github.io/Logging_0484/kartor/A 50760-2023 karta.png", "A 50760-2023")</f>
        <v/>
      </c>
      <c r="Y61">
        <f>HYPERLINK("https://klasma.github.io/Logging_0484/kartor_geotiff/A 50760-2023 georefererad karta.tif", "A 50760-2023")</f>
        <v/>
      </c>
      <c r="AA61">
        <f>HYPERLINK("https://klasma.github.io/Logging_0484/klagomål/A 50760-2023 FSC-klagomål.docx", "A 50760-2023")</f>
        <v/>
      </c>
      <c r="AB61">
        <f>HYPERLINK("https://klasma.github.io/Logging_0484/klagomålsmail/A 50760-2023 FSC-klagomål mail.docx", "A 50760-2023")</f>
        <v/>
      </c>
      <c r="AC61">
        <f>HYPERLINK("https://klasma.github.io/Logging_0484/tillsyn/A 50760-2023 tillsynsbegäran.docx", "A 50760-2023")</f>
        <v/>
      </c>
      <c r="AD61">
        <f>HYPERLINK("https://klasma.github.io/Logging_0484/tillsynsmail/A 50760-2023 tillsynsbegäran mail.docx", "A 50760-2023")</f>
        <v/>
      </c>
      <c r="AE61">
        <f>HYPERLINK("https://klasma.github.io/Logging_0484/fåglar/A 50760-2023 prioriterade fågelarter.docx", "A 50760-2023")</f>
        <v/>
      </c>
    </row>
    <row r="62" ht="15" customHeight="1">
      <c r="A62" t="inlineStr">
        <is>
          <t>A 55087-2022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46281</v>
      </c>
      <c r="F62" t="inlineStr">
        <is>
          <t>SÖDERMANLANDS LÄN</t>
        </is>
      </c>
      <c r="G62" t="inlineStr">
        <is>
          <t>ESKILSTUNA</t>
        </is>
      </c>
      <c r="I62" t="n">
        <v>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Gulsparv</t>
        </is>
      </c>
      <c r="W62">
        <f>HYPERLINK("https://klasma.github.io/Logging_0484/artfynd/A 55087-2022 artfynd.xlsx", "A 55087-2022")</f>
        <v/>
      </c>
      <c r="X62">
        <f>HYPERLINK("https://klasma.github.io/Logging_0484/kartor/A 55087-2022 karta.png", "A 55087-2022")</f>
        <v/>
      </c>
      <c r="Y62">
        <f>HYPERLINK("https://klasma.github.io/Logging_0484/kartor_geotiff/A 55087-2022 georefererad karta.tif", "A 55087-2022")</f>
        <v/>
      </c>
      <c r="AA62">
        <f>HYPERLINK("https://klasma.github.io/Logging_0484/klagomål/A 55087-2022 FSC-klagomål.docx", "A 55087-2022")</f>
        <v/>
      </c>
      <c r="AB62">
        <f>HYPERLINK("https://klasma.github.io/Logging_0484/klagomålsmail/A 55087-2022 FSC-klagomål mail.docx", "A 55087-2022")</f>
        <v/>
      </c>
      <c r="AC62">
        <f>HYPERLINK("https://klasma.github.io/Logging_0484/tillsyn/A 55087-2022 tillsynsbegäran.docx", "A 55087-2022")</f>
        <v/>
      </c>
      <c r="AD62">
        <f>HYPERLINK("https://klasma.github.io/Logging_0484/tillsynsmail/A 55087-2022 tillsynsbegäran mail.docx", "A 55087-2022")</f>
        <v/>
      </c>
      <c r="AE62">
        <f>HYPERLINK("https://klasma.github.io/Logging_0484/fåglar/A 55087-2022 prioriterade fågelarter.docx", "A 55087-2022")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46281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46281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Grönsångare</t>
        </is>
      </c>
      <c r="W64">
        <f>HYPERLINK("https://klasma.github.io/Logging_0484/artfynd/A 47648-2022 artfynd.xlsx", "A 47648-2022")</f>
        <v/>
      </c>
      <c r="X64">
        <f>HYPERLINK("https://klasma.github.io/Logging_0484/kartor/A 47648-2022 karta.png", "A 47648-2022")</f>
        <v/>
      </c>
      <c r="Y64">
        <f>HYPERLINK("https://klasma.github.io/Logging_0484/kartor_geotiff/A 47648-2022 georefererad karta.tif", "A 47648-2022")</f>
        <v/>
      </c>
      <c r="AA64">
        <f>HYPERLINK("https://klasma.github.io/Logging_0484/klagomål/A 47648-2022 FSC-klagomål.docx", "A 47648-2022")</f>
        <v/>
      </c>
      <c r="AB64">
        <f>HYPERLINK("https://klasma.github.io/Logging_0484/klagomålsmail/A 47648-2022 FSC-klagomål mail.docx", "A 47648-2022")</f>
        <v/>
      </c>
      <c r="AC64">
        <f>HYPERLINK("https://klasma.github.io/Logging_0484/tillsyn/A 47648-2022 tillsynsbegäran.docx", "A 47648-2022")</f>
        <v/>
      </c>
      <c r="AD64">
        <f>HYPERLINK("https://klasma.github.io/Logging_0484/tillsynsmail/A 47648-2022 tillsynsbegäran mail.docx", "A 47648-2022")</f>
        <v/>
      </c>
      <c r="AE64">
        <f>HYPERLINK("https://klasma.github.io/Logging_0484/fåglar/A 47648-2022 prioriterade fågelarter.docx", "A 47648-2022")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46281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46281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15608-2026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46281</v>
      </c>
      <c r="F67" t="inlineStr">
        <is>
          <t>SÖDERMANLANDS LÄN</t>
        </is>
      </c>
      <c r="G67" t="inlineStr">
        <is>
          <t>ESKILSTUNA</t>
        </is>
      </c>
      <c r="I67" t="n">
        <v>9.6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Igelkott</t>
        </is>
      </c>
      <c r="W67">
        <f>HYPERLINK("https://klasma.github.io/Logging_0484/artfynd/A 15608-2026 artfynd.xlsx", "A 15608-2026")</f>
        <v/>
      </c>
      <c r="X67">
        <f>HYPERLINK("https://klasma.github.io/Logging_0484/kartor/A 15608-2026 karta.png", "A 15608-2026")</f>
        <v/>
      </c>
      <c r="Y67">
        <f>HYPERLINK("https://klasma.github.io/Logging_0484/kartor_geotiff/A 15608-2026 georefererad karta.tif", "A 15608-2026")</f>
        <v/>
      </c>
      <c r="AA67">
        <f>HYPERLINK("https://klasma.github.io/Logging_0484/klagomål/A 15608-2026 FSC-klagomål.docx", "A 15608-2026")</f>
        <v/>
      </c>
      <c r="AB67">
        <f>HYPERLINK("https://klasma.github.io/Logging_0484/klagomålsmail/A 15608-2026 FSC-klagomål mail.docx", "A 15608-2026")</f>
        <v/>
      </c>
      <c r="AC67">
        <f>HYPERLINK("https://klasma.github.io/Logging_0484/tillsyn/A 15608-2026 tillsynsbegäran.docx", "A 15608-2026")</f>
        <v/>
      </c>
      <c r="AD67">
        <f>HYPERLINK("https://klasma.github.io/Logging_0484/tillsynsmail/A 15608-2026 tillsynsbegäran mail.docx", "A 15608-2026")</f>
        <v/>
      </c>
    </row>
    <row r="68" ht="15" customHeight="1">
      <c r="A68" t="inlineStr">
        <is>
          <t>A 67047-2021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44522</v>
      </c>
      <c r="E68" s="1" t="n">
        <v>46281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Kyrkan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HYPERLINK("https://klasma.github.io/Logging_0484/artfynd/A 67047-2021 artfynd.xlsx", "A 67047-2021")</f>
        <v/>
      </c>
      <c r="X68">
        <f>HYPERLINK("https://klasma.github.io/Logging_0484/kartor/A 67047-2021 karta.png", "A 67047-2021")</f>
        <v/>
      </c>
      <c r="Y68">
        <f>HYPERLINK("https://klasma.github.io/Logging_0484/kartor_geotiff/A 67047-2021 georefererad karta.tif", "A 67047-2021")</f>
        <v/>
      </c>
      <c r="AA68">
        <f>HYPERLINK("https://klasma.github.io/Logging_0484/klagomål/A 67047-2021 FSC-klagomål.docx", "A 67047-2021")</f>
        <v/>
      </c>
      <c r="AB68">
        <f>HYPERLINK("https://klasma.github.io/Logging_0484/klagomålsmail/A 67047-2021 FSC-klagomål mail.docx", "A 67047-2021")</f>
        <v/>
      </c>
      <c r="AC68">
        <f>HYPERLINK("https://klasma.github.io/Logging_0484/tillsyn/A 67047-2021 tillsynsbegäran.docx", "A 67047-2021")</f>
        <v/>
      </c>
      <c r="AD68">
        <f>HYPERLINK("https://klasma.github.io/Logging_0484/tillsynsmail/A 67047-2021 tillsynsbegäran mail.docx", "A 67047-2021")</f>
        <v/>
      </c>
    </row>
    <row r="69" ht="15" customHeight="1">
      <c r="A69" t="inlineStr">
        <is>
          <t>A 38361-2024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45545</v>
      </c>
      <c r="E69" s="1" t="n">
        <v>46281</v>
      </c>
      <c r="F69" t="inlineStr">
        <is>
          <t>SÖDERMANLANDS LÄN</t>
        </is>
      </c>
      <c r="G69" t="inlineStr">
        <is>
          <t>ESKILSTUNA</t>
        </is>
      </c>
      <c r="I69" t="n">
        <v>0.4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Spillkråka</t>
        </is>
      </c>
      <c r="W69">
        <f>HYPERLINK("https://klasma.github.io/Logging_0484/artfynd/A 38361-2024 artfynd.xlsx", "A 38361-2024")</f>
        <v/>
      </c>
      <c r="X69">
        <f>HYPERLINK("https://klasma.github.io/Logging_0484/kartor/A 38361-2024 karta.png", "A 38361-2024")</f>
        <v/>
      </c>
      <c r="Y69">
        <f>HYPERLINK("https://klasma.github.io/Logging_0484/kartor_geotiff/A 38361-2024 georefererad karta.tif", "A 38361-2024")</f>
        <v/>
      </c>
      <c r="AA69">
        <f>HYPERLINK("https://klasma.github.io/Logging_0484/klagomål/A 38361-2024 FSC-klagomål.docx", "A 38361-2024")</f>
        <v/>
      </c>
      <c r="AB69">
        <f>HYPERLINK("https://klasma.github.io/Logging_0484/klagomålsmail/A 38361-2024 FSC-klagomål mail.docx", "A 38361-2024")</f>
        <v/>
      </c>
      <c r="AC69">
        <f>HYPERLINK("https://klasma.github.io/Logging_0484/tillsyn/A 38361-2024 tillsynsbegäran.docx", "A 38361-2024")</f>
        <v/>
      </c>
      <c r="AD69">
        <f>HYPERLINK("https://klasma.github.io/Logging_0484/tillsynsmail/A 38361-2024 tillsynsbegäran mail.docx", "A 38361-2024")</f>
        <v/>
      </c>
      <c r="AE69">
        <f>HYPERLINK("https://klasma.github.io/Logging_0484/fåglar/A 38361-2024 prioriterade fågelarter.docx", "A 38361-2024")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46281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46281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46281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26097-2026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46281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Svinrot</t>
        </is>
      </c>
      <c r="W73">
        <f>HYPERLINK("https://klasma.github.io/Logging_0484/artfynd/A 26097-2026 artfynd.xlsx", "A 26097-2026")</f>
        <v/>
      </c>
      <c r="X73">
        <f>HYPERLINK("https://klasma.github.io/Logging_0484/kartor/A 26097-2026 karta.png", "A 26097-2026")</f>
        <v/>
      </c>
      <c r="Y73">
        <f>HYPERLINK("https://klasma.github.io/Logging_0484/kartor_geotiff/A 26097-2026 georefererad karta.tif", "A 26097-2026")</f>
        <v/>
      </c>
      <c r="AA73">
        <f>HYPERLINK("https://klasma.github.io/Logging_0484/klagomål/A 26097-2026 FSC-klagomål.docx", "A 26097-2026")</f>
        <v/>
      </c>
      <c r="AB73">
        <f>HYPERLINK("https://klasma.github.io/Logging_0484/klagomålsmail/A 26097-2026 FSC-klagomål mail.docx", "A 26097-2026")</f>
        <v/>
      </c>
      <c r="AC73">
        <f>HYPERLINK("https://klasma.github.io/Logging_0484/tillsyn/A 26097-2026 tillsynsbegäran.docx", "A 26097-2026")</f>
        <v/>
      </c>
      <c r="AD73">
        <f>HYPERLINK("https://klasma.github.io/Logging_0484/tillsynsmail/A 26097-2026 tillsynsbegäran mail.docx", "A 26097-2026")</f>
        <v/>
      </c>
    </row>
    <row r="74" ht="15" customHeight="1">
      <c r="A74" t="inlineStr">
        <is>
          <t>A 26008-2026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46281</v>
      </c>
      <c r="F74" t="inlineStr">
        <is>
          <t>SÖDERMANLANDS LÄN</t>
        </is>
      </c>
      <c r="G74" t="inlineStr">
        <is>
          <t>ESKILSTUNA</t>
        </is>
      </c>
      <c r="I74" t="n">
        <v>2.8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8</v>
      </c>
      <c r="U74" t="n">
        <v>0</v>
      </c>
      <c r="V74" s="2" t="inlineStr">
        <is>
          <t>Svart trolldruva</t>
        </is>
      </c>
      <c r="W74">
        <f>HYPERLINK("https://klasma.github.io/Logging_0484/artfynd/A 26008-2026 artfynd.xlsx", "A 26008-2026")</f>
        <v/>
      </c>
      <c r="X74">
        <f>HYPERLINK("https://klasma.github.io/Logging_0484/kartor/A 26008-2026 karta.png", "A 26008-2026")</f>
        <v/>
      </c>
      <c r="Y74">
        <f>HYPERLINK("https://klasma.github.io/Logging_0484/kartor_geotiff/A 26008-2026 georefererad karta.tif", "A 26008-2026")</f>
        <v/>
      </c>
      <c r="AA74">
        <f>HYPERLINK("https://klasma.github.io/Logging_0484/klagomål/A 26008-2026 FSC-klagomål.docx", "A 26008-2026")</f>
        <v/>
      </c>
      <c r="AB74">
        <f>HYPERLINK("https://klasma.github.io/Logging_0484/klagomålsmail/A 26008-2026 FSC-klagomål mail.docx", "A 26008-2026")</f>
        <v/>
      </c>
      <c r="AC74">
        <f>HYPERLINK("https://klasma.github.io/Logging_0484/tillsyn/A 26008-2026 tillsynsbegäran.docx", "A 26008-2026")</f>
        <v/>
      </c>
      <c r="AD74">
        <f>HYPERLINK("https://klasma.github.io/Logging_0484/tillsynsmail/A 26008-2026 tillsynsbegäran mail.docx", "A 26008-2026")</f>
        <v/>
      </c>
    </row>
    <row r="75" ht="15" customHeight="1">
      <c r="A75" t="inlineStr">
        <is>
          <t>A 26094-2026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46281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3.4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HYPERLINK("https://klasma.github.io/Logging_0484/artfynd/A 26094-2026 artfynd.xlsx", "A 26094-2026")</f>
        <v/>
      </c>
      <c r="X75">
        <f>HYPERLINK("https://klasma.github.io/Logging_0484/kartor/A 26094-2026 karta.png", "A 26094-2026")</f>
        <v/>
      </c>
      <c r="Y75">
        <f>HYPERLINK("https://klasma.github.io/Logging_0484/kartor_geotiff/A 26094-2026 georefererad karta.tif", "A 26094-2026")</f>
        <v/>
      </c>
      <c r="AA75">
        <f>HYPERLINK("https://klasma.github.io/Logging_0484/klagomål/A 26094-2026 FSC-klagomål.docx", "A 26094-2026")</f>
        <v/>
      </c>
      <c r="AB75">
        <f>HYPERLINK("https://klasma.github.io/Logging_0484/klagomålsmail/A 26094-2026 FSC-klagomål mail.docx", "A 26094-2026")</f>
        <v/>
      </c>
      <c r="AC75">
        <f>HYPERLINK("https://klasma.github.io/Logging_0484/tillsyn/A 26094-2026 tillsynsbegäran.docx", "A 26094-2026")</f>
        <v/>
      </c>
      <c r="AD75">
        <f>HYPERLINK("https://klasma.github.io/Logging_0484/tillsynsmail/A 26094-2026 tillsynsbegäran mail.docx", "A 26094-2026")</f>
        <v/>
      </c>
      <c r="AE75">
        <f>HYPERLINK("https://klasma.github.io/Logging_0484/fåglar/A 26094-2026 prioriterade fågelarter.docx", "A 26094-2026")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46281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57349-2021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44483</v>
      </c>
      <c r="E77" s="1" t="n">
        <v>46281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1.9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Gullviva</t>
        </is>
      </c>
      <c r="W77">
        <f>HYPERLINK("https://klasma.github.io/Logging_0484/artfynd/A 57349-2021 artfynd.xlsx", "A 57349-2021")</f>
        <v/>
      </c>
      <c r="X77">
        <f>HYPERLINK("https://klasma.github.io/Logging_0484/kartor/A 57349-2021 karta.png", "A 57349-2021")</f>
        <v/>
      </c>
      <c r="Y77">
        <f>HYPERLINK("https://klasma.github.io/Logging_0484/kartor_geotiff/A 57349-2021 georefererad karta.tif", "A 57349-2021")</f>
        <v/>
      </c>
      <c r="AA77">
        <f>HYPERLINK("https://klasma.github.io/Logging_0484/klagomål/A 57349-2021 FSC-klagomål.docx", "A 57349-2021")</f>
        <v/>
      </c>
      <c r="AB77">
        <f>HYPERLINK("https://klasma.github.io/Logging_0484/klagomålsmail/A 57349-2021 FSC-klagomål mail.docx", "A 57349-2021")</f>
        <v/>
      </c>
      <c r="AC77">
        <f>HYPERLINK("https://klasma.github.io/Logging_0484/tillsyn/A 57349-2021 tillsynsbegäran.docx", "A 57349-2021")</f>
        <v/>
      </c>
      <c r="AD77">
        <f>HYPERLINK("https://klasma.github.io/Logging_0484/tillsynsmail/A 57349-2021 tillsynsbegäran mail.docx", "A 57349-2021")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46281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23637-2023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45077</v>
      </c>
      <c r="E79" s="1" t="n">
        <v>46281</v>
      </c>
      <c r="F79" t="inlineStr">
        <is>
          <t>SÖDERMANLANDS LÄN</t>
        </is>
      </c>
      <c r="G79" t="inlineStr">
        <is>
          <t>ESKILSTUNA</t>
        </is>
      </c>
      <c r="I79" t="n">
        <v>15.8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Violett fingersvamp</t>
        </is>
      </c>
      <c r="W79">
        <f>HYPERLINK("https://klasma.github.io/Logging_0484/artfynd/A 23637-2023 artfynd.xlsx", "A 23637-2023")</f>
        <v/>
      </c>
      <c r="X79">
        <f>HYPERLINK("https://klasma.github.io/Logging_0484/kartor/A 23637-2023 karta.png", "A 23637-2023")</f>
        <v/>
      </c>
      <c r="Y79">
        <f>HYPERLINK("https://klasma.github.io/Logging_0484/kartor_geotiff/A 23637-2023 georefererad karta.tif", "A 23637-2023")</f>
        <v/>
      </c>
      <c r="AA79">
        <f>HYPERLINK("https://klasma.github.io/Logging_0484/klagomål/A 23637-2023 FSC-klagomål.docx", "A 23637-2023")</f>
        <v/>
      </c>
      <c r="AB79">
        <f>HYPERLINK("https://klasma.github.io/Logging_0484/klagomålsmail/A 23637-2023 FSC-klagomål mail.docx", "A 23637-2023")</f>
        <v/>
      </c>
      <c r="AC79">
        <f>HYPERLINK("https://klasma.github.io/Logging_0484/tillsyn/A 23637-2023 tillsynsbegäran.docx", "A 23637-2023")</f>
        <v/>
      </c>
      <c r="AD79">
        <f>HYPERLINK("https://klasma.github.io/Logging_0484/tillsynsmail/A 23637-2023 tillsynsbegäran mail.docx", "A 23637-2023")</f>
        <v/>
      </c>
    </row>
    <row r="80" ht="15" customHeight="1">
      <c r="A80" t="inlineStr">
        <is>
          <t>A 9645-2023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46281</v>
      </c>
      <c r="F80" t="inlineStr">
        <is>
          <t>SÖDERMANLANDS LÄN</t>
        </is>
      </c>
      <c r="G80" t="inlineStr">
        <is>
          <t>ESKILSTUNA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Skogsduva</t>
        </is>
      </c>
      <c r="W80">
        <f>HYPERLINK("https://klasma.github.io/Logging_0484/artfynd/A 9645-2023 artfynd.xlsx", "A 9645-2023")</f>
        <v/>
      </c>
      <c r="X80">
        <f>HYPERLINK("https://klasma.github.io/Logging_0484/kartor/A 9645-2023 karta.png", "A 9645-2023")</f>
        <v/>
      </c>
      <c r="Y80">
        <f>HYPERLINK("https://klasma.github.io/Logging_0484/kartor_geotiff/A 9645-2023 georefererad karta.tif", "A 9645-2023")</f>
        <v/>
      </c>
      <c r="AA80">
        <f>HYPERLINK("https://klasma.github.io/Logging_0484/klagomål/A 9645-2023 FSC-klagomål.docx", "A 9645-2023")</f>
        <v/>
      </c>
      <c r="AB80">
        <f>HYPERLINK("https://klasma.github.io/Logging_0484/klagomålsmail/A 9645-2023 FSC-klagomål mail.docx", "A 9645-2023")</f>
        <v/>
      </c>
      <c r="AC80">
        <f>HYPERLINK("https://klasma.github.io/Logging_0484/tillsyn/A 9645-2023 tillsynsbegäran.docx", "A 9645-2023")</f>
        <v/>
      </c>
      <c r="AD80">
        <f>HYPERLINK("https://klasma.github.io/Logging_0484/tillsynsmail/A 9645-2023 tillsynsbegäran mail.docx", "A 9645-2023")</f>
        <v/>
      </c>
    </row>
    <row r="81" ht="15" customHeight="1">
      <c r="A81" t="inlineStr">
        <is>
          <t>A 33004-2026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46244</v>
      </c>
      <c r="E81" s="1" t="n">
        <v>46281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Kommuner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33004-2026 artfynd.xlsx", "A 33004-2026")</f>
        <v/>
      </c>
      <c r="X81">
        <f>HYPERLINK("https://klasma.github.io/Logging_0484/kartor/A 33004-2026 karta.png", "A 33004-2026")</f>
        <v/>
      </c>
      <c r="Y81">
        <f>HYPERLINK("https://klasma.github.io/Logging_0484/kartor_geotiff/A 33004-2026 georefererad karta.tif", "A 33004-2026")</f>
        <v/>
      </c>
      <c r="AA81">
        <f>HYPERLINK("https://klasma.github.io/Logging_0484/klagomål/A 33004-2026 FSC-klagomål.docx", "A 33004-2026")</f>
        <v/>
      </c>
      <c r="AB81">
        <f>HYPERLINK("https://klasma.github.io/Logging_0484/klagomålsmail/A 33004-2026 FSC-klagomål mail.docx", "A 33004-2026")</f>
        <v/>
      </c>
      <c r="AC81">
        <f>HYPERLINK("https://klasma.github.io/Logging_0484/tillsyn/A 33004-2026 tillsynsbegäran.docx", "A 33004-2026")</f>
        <v/>
      </c>
      <c r="AD81">
        <f>HYPERLINK("https://klasma.github.io/Logging_0484/tillsynsmail/A 33004-2026 tillsynsbegäran mail.docx", "A 33004-2026")</f>
        <v/>
      </c>
    </row>
    <row r="82" ht="15" customHeight="1">
      <c r="A82" t="inlineStr">
        <is>
          <t>A 68018-2021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46281</v>
      </c>
      <c r="F82" t="inlineStr">
        <is>
          <t>SÖDERMANLANDS LÄN</t>
        </is>
      </c>
      <c r="G82" t="inlineStr">
        <is>
          <t>ESKILSTUNA</t>
        </is>
      </c>
      <c r="I82" t="n">
        <v>0.8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Motaggsvamp</t>
        </is>
      </c>
      <c r="W82">
        <f>HYPERLINK("https://klasma.github.io/Logging_0484/artfynd/A 68018-2021 artfynd.xlsx", "A 68018-2021")</f>
        <v/>
      </c>
      <c r="X82">
        <f>HYPERLINK("https://klasma.github.io/Logging_0484/kartor/A 68018-2021 karta.png", "A 68018-2021")</f>
        <v/>
      </c>
      <c r="Y82">
        <f>HYPERLINK("https://klasma.github.io/Logging_0484/kartor_geotiff/A 68018-2021 georefererad karta.tif", "A 68018-2021")</f>
        <v/>
      </c>
      <c r="AA82">
        <f>HYPERLINK("https://klasma.github.io/Logging_0484/klagomål/A 68018-2021 FSC-klagomål.docx", "A 68018-2021")</f>
        <v/>
      </c>
      <c r="AB82">
        <f>HYPERLINK("https://klasma.github.io/Logging_0484/klagomålsmail/A 68018-2021 FSC-klagomål mail.docx", "A 68018-2021")</f>
        <v/>
      </c>
      <c r="AC82">
        <f>HYPERLINK("https://klasma.github.io/Logging_0484/tillsyn/A 68018-2021 tillsynsbegäran.docx", "A 68018-2021")</f>
        <v/>
      </c>
      <c r="AD82">
        <f>HYPERLINK("https://klasma.github.io/Logging_0484/tillsynsmail/A 68018-2021 tillsynsbegäran mail.docx", "A 68018-2021")</f>
        <v/>
      </c>
    </row>
    <row r="83" ht="15" customHeight="1">
      <c r="A83" t="inlineStr">
        <is>
          <t>A 51345-2024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46281</v>
      </c>
      <c r="F83" t="inlineStr">
        <is>
          <t>SÖDERMANLANDS LÄN</t>
        </is>
      </c>
      <c r="G83" t="inlineStr">
        <is>
          <t>ESKILSTUNA</t>
        </is>
      </c>
      <c r="I83" t="n">
        <v>4.9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HYPERLINK("https://klasma.github.io/Logging_0484/artfynd/A 51345-2024 artfynd.xlsx", "A 51345-2024")</f>
        <v/>
      </c>
      <c r="X83">
        <f>HYPERLINK("https://klasma.github.io/Logging_0484/kartor/A 51345-2024 karta.png", "A 51345-2024")</f>
        <v/>
      </c>
      <c r="Y83">
        <f>HYPERLINK("https://klasma.github.io/Logging_0484/kartor_geotiff/A 51345-2024 georefererad karta.tif", "A 51345-2024")</f>
        <v/>
      </c>
      <c r="AA83">
        <f>HYPERLINK("https://klasma.github.io/Logging_0484/klagomål/A 51345-2024 FSC-klagomål.docx", "A 51345-2024")</f>
        <v/>
      </c>
      <c r="AB83">
        <f>HYPERLINK("https://klasma.github.io/Logging_0484/klagomålsmail/A 51345-2024 FSC-klagomål mail.docx", "A 51345-2024")</f>
        <v/>
      </c>
      <c r="AC83">
        <f>HYPERLINK("https://klasma.github.io/Logging_0484/tillsyn/A 51345-2024 tillsynsbegäran.docx", "A 51345-2024")</f>
        <v/>
      </c>
      <c r="AD83">
        <f>HYPERLINK("https://klasma.github.io/Logging_0484/tillsynsmail/A 51345-2024 tillsynsbegäran mail.docx", "A 51345-2024")</f>
        <v/>
      </c>
    </row>
    <row r="84" ht="15" customHeight="1">
      <c r="A84" t="inlineStr">
        <is>
          <t>A 14327-2023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45012</v>
      </c>
      <c r="E84" s="1" t="n">
        <v>46281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Kommuner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HYPERLINK("https://klasma.github.io/Logging_0484/artfynd/A 14327-2023 artfynd.xlsx", "A 14327-2023")</f>
        <v/>
      </c>
      <c r="X84">
        <f>HYPERLINK("https://klasma.github.io/Logging_0484/kartor/A 14327-2023 karta.png", "A 14327-2023")</f>
        <v/>
      </c>
      <c r="Y84">
        <f>HYPERLINK("https://klasma.github.io/Logging_0484/kartor_geotiff/A 14327-2023 georefererad karta.tif", "A 14327-2023")</f>
        <v/>
      </c>
      <c r="AA84">
        <f>HYPERLINK("https://klasma.github.io/Logging_0484/klagomål/A 14327-2023 FSC-klagomål.docx", "A 14327-2023")</f>
        <v/>
      </c>
      <c r="AB84">
        <f>HYPERLINK("https://klasma.github.io/Logging_0484/klagomålsmail/A 14327-2023 FSC-klagomål mail.docx", "A 14327-2023")</f>
        <v/>
      </c>
      <c r="AC84">
        <f>HYPERLINK("https://klasma.github.io/Logging_0484/tillsyn/A 14327-2023 tillsynsbegäran.docx", "A 14327-2023")</f>
        <v/>
      </c>
      <c r="AD84">
        <f>HYPERLINK("https://klasma.github.io/Logging_0484/tillsynsmail/A 14327-2023 tillsynsbegäran mail.docx", "A 14327-2023")</f>
        <v/>
      </c>
    </row>
    <row r="85" ht="15" customHeight="1">
      <c r="A85" t="inlineStr">
        <is>
          <t>A 29647-2023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46281</v>
      </c>
      <c r="F85" t="inlineStr">
        <is>
          <t>SÖDERMANLANDS LÄN</t>
        </is>
      </c>
      <c r="G85" t="inlineStr">
        <is>
          <t>ESKILSTUNA</t>
        </is>
      </c>
      <c r="H85" t="inlineStr">
        <is>
          <t>Allmännings- och besparingsskogar</t>
        </is>
      </c>
      <c r="I85" t="n">
        <v>0.9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Rödvingetrast</t>
        </is>
      </c>
      <c r="W85">
        <f>HYPERLINK("https://klasma.github.io/Logging_0484/artfynd/A 29647-2023 artfynd.xlsx", "A 29647-2023")</f>
        <v/>
      </c>
      <c r="X85">
        <f>HYPERLINK("https://klasma.github.io/Logging_0484/kartor/A 29647-2023 karta.png", "A 29647-2023")</f>
        <v/>
      </c>
      <c r="Y85">
        <f>HYPERLINK("https://klasma.github.io/Logging_0484/kartor_geotiff/A 29647-2023 georefererad karta.tif", "A 29647-2023")</f>
        <v/>
      </c>
      <c r="AA85">
        <f>HYPERLINK("https://klasma.github.io/Logging_0484/klagomål/A 29647-2023 FSC-klagomål.docx", "A 29647-2023")</f>
        <v/>
      </c>
      <c r="AB85">
        <f>HYPERLINK("https://klasma.github.io/Logging_0484/klagomålsmail/A 29647-2023 FSC-klagomål mail.docx", "A 29647-2023")</f>
        <v/>
      </c>
      <c r="AC85">
        <f>HYPERLINK("https://klasma.github.io/Logging_0484/tillsyn/A 29647-2023 tillsynsbegäran.docx", "A 29647-2023")</f>
        <v/>
      </c>
      <c r="AD85">
        <f>HYPERLINK("https://klasma.github.io/Logging_0484/tillsynsmail/A 29647-2023 tillsynsbegäran mail.docx", "A 29647-2023")</f>
        <v/>
      </c>
      <c r="AE85">
        <f>HYPERLINK("https://klasma.github.io/Logging_0484/fåglar/A 29647-2023 prioriterade fågelarter.docx", "A 29647-2023")</f>
        <v/>
      </c>
    </row>
    <row r="86" ht="15" customHeight="1">
      <c r="A86" t="inlineStr">
        <is>
          <t>A 29047-2026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46199</v>
      </c>
      <c r="E86" s="1" t="n">
        <v>46281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Kandelabersvamp</t>
        </is>
      </c>
      <c r="W86">
        <f>HYPERLINK("https://klasma.github.io/Logging_0484/artfynd/A 29047-2026 artfynd.xlsx", "A 29047-2026")</f>
        <v/>
      </c>
      <c r="X86">
        <f>HYPERLINK("https://klasma.github.io/Logging_0484/kartor/A 29047-2026 karta.png", "A 29047-2026")</f>
        <v/>
      </c>
      <c r="Y86">
        <f>HYPERLINK("https://klasma.github.io/Logging_0484/kartor_geotiff/A 29047-2026 georefererad karta.tif", "A 29047-2026")</f>
        <v/>
      </c>
      <c r="AA86">
        <f>HYPERLINK("https://klasma.github.io/Logging_0484/klagomål/A 29047-2026 FSC-klagomål.docx", "A 29047-2026")</f>
        <v/>
      </c>
      <c r="AB86">
        <f>HYPERLINK("https://klasma.github.io/Logging_0484/klagomålsmail/A 29047-2026 FSC-klagomål mail.docx", "A 29047-2026")</f>
        <v/>
      </c>
      <c r="AC86">
        <f>HYPERLINK("https://klasma.github.io/Logging_0484/tillsyn/A 29047-2026 tillsynsbegäran.docx", "A 29047-2026")</f>
        <v/>
      </c>
      <c r="AD86">
        <f>HYPERLINK("https://klasma.github.io/Logging_0484/tillsynsmail/A 29047-2026 tillsynsbegäran mail.docx", "A 29047-2026")</f>
        <v/>
      </c>
    </row>
    <row r="87" ht="15" customHeight="1">
      <c r="A87" t="inlineStr">
        <is>
          <t>A 2512-2025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45674</v>
      </c>
      <c r="E87" s="1" t="n">
        <v>46281</v>
      </c>
      <c r="F87" t="inlineStr">
        <is>
          <t>SÖDERMANLANDS LÄN</t>
        </is>
      </c>
      <c r="G87" t="inlineStr">
        <is>
          <t>ESKILSTUNA</t>
        </is>
      </c>
      <c r="I87" t="n">
        <v>3.9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HYPERLINK("https://klasma.github.io/Logging_0484/artfynd/A 2512-2025 artfynd.xlsx", "A 2512-2025")</f>
        <v/>
      </c>
      <c r="X87">
        <f>HYPERLINK("https://klasma.github.io/Logging_0484/kartor/A 2512-2025 karta.png", "A 2512-2025")</f>
        <v/>
      </c>
      <c r="Y87">
        <f>HYPERLINK("https://klasma.github.io/Logging_0484/kartor_geotiff/A 2512-2025 georefererad karta.tif", "A 2512-2025")</f>
        <v/>
      </c>
      <c r="AA87">
        <f>HYPERLINK("https://klasma.github.io/Logging_0484/klagomål/A 2512-2025 FSC-klagomål.docx", "A 2512-2025")</f>
        <v/>
      </c>
      <c r="AB87">
        <f>HYPERLINK("https://klasma.github.io/Logging_0484/klagomålsmail/A 2512-2025 FSC-klagomål mail.docx", "A 2512-2025")</f>
        <v/>
      </c>
      <c r="AC87">
        <f>HYPERLINK("https://klasma.github.io/Logging_0484/tillsyn/A 2512-2025 tillsynsbegäran.docx", "A 2512-2025")</f>
        <v/>
      </c>
      <c r="AD87">
        <f>HYPERLINK("https://klasma.github.io/Logging_0484/tillsynsmail/A 2512-2025 tillsynsbegäran mail.docx", "A 2512-2025")</f>
        <v/>
      </c>
    </row>
    <row r="88" ht="15" customHeight="1">
      <c r="A88" t="inlineStr">
        <is>
          <t>A 31056-2025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46281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HYPERLINK("https://klasma.github.io/Logging_0484/artfynd/A 31056-2025 artfynd.xlsx", "A 31056-2025")</f>
        <v/>
      </c>
      <c r="X88">
        <f>HYPERLINK("https://klasma.github.io/Logging_0484/kartor/A 31056-2025 karta.png", "A 31056-2025")</f>
        <v/>
      </c>
      <c r="Y88">
        <f>HYPERLINK("https://klasma.github.io/Logging_0484/kartor_geotiff/A 31056-2025 georefererad karta.tif", "A 31056-2025")</f>
        <v/>
      </c>
      <c r="AA88">
        <f>HYPERLINK("https://klasma.github.io/Logging_0484/klagomål/A 31056-2025 FSC-klagomål.docx", "A 31056-2025")</f>
        <v/>
      </c>
      <c r="AB88">
        <f>HYPERLINK("https://klasma.github.io/Logging_0484/klagomålsmail/A 31056-2025 FSC-klagomål mail.docx", "A 31056-2025")</f>
        <v/>
      </c>
      <c r="AC88">
        <f>HYPERLINK("https://klasma.github.io/Logging_0484/tillsyn/A 31056-2025 tillsynsbegäran.docx", "A 31056-2025")</f>
        <v/>
      </c>
      <c r="AD88">
        <f>HYPERLINK("https://klasma.github.io/Logging_0484/tillsynsmail/A 31056-2025 tillsynsbegäran mail.docx", "A 31056-2025")</f>
        <v/>
      </c>
    </row>
    <row r="89" ht="15" customHeight="1">
      <c r="A89" t="inlineStr">
        <is>
          <t>A 36216-2025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45867</v>
      </c>
      <c r="E89" s="1" t="n">
        <v>46281</v>
      </c>
      <c r="F89" t="inlineStr">
        <is>
          <t>SÖDERMANLANDS LÄN</t>
        </is>
      </c>
      <c r="G89" t="inlineStr">
        <is>
          <t>ESKILSTUNA</t>
        </is>
      </c>
      <c r="I89" t="n">
        <v>18.7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Blomkålssvamp</t>
        </is>
      </c>
      <c r="W89">
        <f>HYPERLINK("https://klasma.github.io/Logging_0484/artfynd/A 36216-2025 artfynd.xlsx", "A 36216-2025")</f>
        <v/>
      </c>
      <c r="X89">
        <f>HYPERLINK("https://klasma.github.io/Logging_0484/kartor/A 36216-2025 karta.png", "A 36216-2025")</f>
        <v/>
      </c>
      <c r="Y89">
        <f>HYPERLINK("https://klasma.github.io/Logging_0484/kartor_geotiff/A 36216-2025 georefererad karta.tif", "A 36216-2025")</f>
        <v/>
      </c>
      <c r="AA89">
        <f>HYPERLINK("https://klasma.github.io/Logging_0484/klagomål/A 36216-2025 FSC-klagomål.docx", "A 36216-2025")</f>
        <v/>
      </c>
      <c r="AB89">
        <f>HYPERLINK("https://klasma.github.io/Logging_0484/klagomålsmail/A 36216-2025 FSC-klagomål mail.docx", "A 36216-2025")</f>
        <v/>
      </c>
      <c r="AC89">
        <f>HYPERLINK("https://klasma.github.io/Logging_0484/tillsyn/A 36216-2025 tillsynsbegäran.docx", "A 36216-2025")</f>
        <v/>
      </c>
      <c r="AD89">
        <f>HYPERLINK("https://klasma.github.io/Logging_0484/tillsynsmail/A 36216-2025 tillsynsbegäran mail.docx", "A 36216-2025")</f>
        <v/>
      </c>
    </row>
    <row r="90" ht="15" customHeight="1">
      <c r="A90" t="inlineStr">
        <is>
          <t>A 35096-2022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46281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46281</v>
      </c>
      <c r="F91" t="inlineStr">
        <is>
          <t>SÖDERMANLANDS LÄN</t>
        </is>
      </c>
      <c r="G91" t="inlineStr">
        <is>
          <t>ESKILSTUNA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44490</v>
      </c>
      <c r="E92" s="1" t="n">
        <v>46281</v>
      </c>
      <c r="F92" t="inlineStr">
        <is>
          <t>SÖDERMANLANDS LÄN</t>
        </is>
      </c>
      <c r="G92" t="inlineStr">
        <is>
          <t>ESKILSTUNA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46281</v>
      </c>
      <c r="F93" t="inlineStr">
        <is>
          <t>SÖDERMANLANDS LÄN</t>
        </is>
      </c>
      <c r="G93" t="inlineStr">
        <is>
          <t>ESKILSTUNA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46281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46281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46281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46281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46281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44671</v>
      </c>
      <c r="E99" s="1" t="n">
        <v>46281</v>
      </c>
      <c r="F99" t="inlineStr">
        <is>
          <t>SÖDERMANLANDS LÄN</t>
        </is>
      </c>
      <c r="G99" t="inlineStr">
        <is>
          <t>ESKILSTUNA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46281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46281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46281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46281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46281</v>
      </c>
      <c r="F104" t="inlineStr">
        <is>
          <t>SÖDERMANLANDS LÄN</t>
        </is>
      </c>
      <c r="G104" t="inlineStr">
        <is>
          <t>ESKILSTUNA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46281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46281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46281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46281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46281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46281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46281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46281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46281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46281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46281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46281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46281</v>
      </c>
      <c r="F117" t="inlineStr">
        <is>
          <t>SÖDERMANLANDS LÄN</t>
        </is>
      </c>
      <c r="G117" t="inlineStr">
        <is>
          <t>ESKILSTUNA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46281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46281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46281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46281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46281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46281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46281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46281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46281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46281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46281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46281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51486-2021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44461</v>
      </c>
      <c r="E130" s="1" t="n">
        <v>46281</v>
      </c>
      <c r="F130" t="inlineStr">
        <is>
          <t>SÖDERMANLANDS LÄN</t>
        </is>
      </c>
      <c r="G130" t="inlineStr">
        <is>
          <t>ESKILSTUNA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46281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46281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46281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46281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46281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46281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46281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46281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46281</v>
      </c>
      <c r="F139" t="inlineStr">
        <is>
          <t>SÖDERMANLANDS LÄN</t>
        </is>
      </c>
      <c r="G139" t="inlineStr">
        <is>
          <t>ESKILSTUNA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46281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60721-2021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44490</v>
      </c>
      <c r="E141" s="1" t="n">
        <v>46281</v>
      </c>
      <c r="F141" t="inlineStr">
        <is>
          <t>SÖDERMANLANDS LÄN</t>
        </is>
      </c>
      <c r="G141" t="inlineStr">
        <is>
          <t>ESKILSTUNA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46281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44643</v>
      </c>
      <c r="E143" s="1" t="n">
        <v>46281</v>
      </c>
      <c r="F143" t="inlineStr">
        <is>
          <t>SÖDERMANLANDS LÄN</t>
        </is>
      </c>
      <c r="G143" t="inlineStr">
        <is>
          <t>ESKILSTUNA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46281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4200-2025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45685</v>
      </c>
      <c r="E145" s="1" t="n">
        <v>46281</v>
      </c>
      <c r="F145" t="inlineStr">
        <is>
          <t>SÖDERMANLANDS LÄN</t>
        </is>
      </c>
      <c r="G145" t="inlineStr">
        <is>
          <t>ESKILSTUNA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46281</v>
      </c>
      <c r="F146" t="inlineStr">
        <is>
          <t>SÖDERMANLANDS LÄN</t>
        </is>
      </c>
      <c r="G146" t="inlineStr">
        <is>
          <t>ESKILSTUNA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46281</v>
      </c>
      <c r="F147" t="inlineStr">
        <is>
          <t>SÖDERMANLANDS LÄN</t>
        </is>
      </c>
      <c r="G147" t="inlineStr">
        <is>
          <t>ESKILSTUNA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46281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46281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46281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44664</v>
      </c>
      <c r="E151" s="1" t="n">
        <v>46281</v>
      </c>
      <c r="F151" t="inlineStr">
        <is>
          <t>SÖDERMANLANDS LÄN</t>
        </is>
      </c>
      <c r="G151" t="inlineStr">
        <is>
          <t>ESKILSTUNA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45723</v>
      </c>
      <c r="E152" s="1" t="n">
        <v>46281</v>
      </c>
      <c r="F152" t="inlineStr">
        <is>
          <t>SÖDERMANLANDS LÄN</t>
        </is>
      </c>
      <c r="G152" t="inlineStr">
        <is>
          <t>ESKILSTUNA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44865</v>
      </c>
      <c r="E153" s="1" t="n">
        <v>46281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70191-2021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44533</v>
      </c>
      <c r="E154" s="1" t="n">
        <v>46281</v>
      </c>
      <c r="F154" t="inlineStr">
        <is>
          <t>SÖDERMANLANDS LÄN</t>
        </is>
      </c>
      <c r="G154" t="inlineStr">
        <is>
          <t>ESKILSTUNA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44748</v>
      </c>
      <c r="E155" s="1" t="n">
        <v>46281</v>
      </c>
      <c r="F155" t="inlineStr">
        <is>
          <t>SÖDERMANLANDS LÄN</t>
        </is>
      </c>
      <c r="G155" t="inlineStr">
        <is>
          <t>ESKILSTUNA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46281</v>
      </c>
      <c r="F156" t="inlineStr">
        <is>
          <t>SÖDERMANLANDS LÄN</t>
        </is>
      </c>
      <c r="G156" t="inlineStr">
        <is>
          <t>ESKILSTUNA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25229-2022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44729</v>
      </c>
      <c r="E157" s="1" t="n">
        <v>46281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59275-2021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44490</v>
      </c>
      <c r="E158" s="1" t="n">
        <v>46281</v>
      </c>
      <c r="F158" t="inlineStr">
        <is>
          <t>SÖDERMANLANDS LÄN</t>
        </is>
      </c>
      <c r="G158" t="inlineStr">
        <is>
          <t>ESKILSTUNA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46281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46281</v>
      </c>
      <c r="F160" t="inlineStr">
        <is>
          <t>SÖDERMANLANDS LÄN</t>
        </is>
      </c>
      <c r="G160" t="inlineStr">
        <is>
          <t>ESKILSTUNA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44616</v>
      </c>
      <c r="E161" s="1" t="n">
        <v>46281</v>
      </c>
      <c r="F161" t="inlineStr">
        <is>
          <t>SÖDERMANLANDS LÄN</t>
        </is>
      </c>
      <c r="G161" t="inlineStr">
        <is>
          <t>ESKILSTUNA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44658</v>
      </c>
      <c r="E162" s="1" t="n">
        <v>46281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46281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61831-2023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45266</v>
      </c>
      <c r="E164" s="1" t="n">
        <v>46281</v>
      </c>
      <c r="F164" t="inlineStr">
        <is>
          <t>SÖDERMANLANDS LÄN</t>
        </is>
      </c>
      <c r="G164" t="inlineStr">
        <is>
          <t>ESKILSTUNA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46281</v>
      </c>
      <c r="F165" t="inlineStr">
        <is>
          <t>SÖDERMANLANDS LÄN</t>
        </is>
      </c>
      <c r="G165" t="inlineStr">
        <is>
          <t>ESKILSTUNA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46281</v>
      </c>
      <c r="F166" t="inlineStr">
        <is>
          <t>SÖDERMANLANDS LÄN</t>
        </is>
      </c>
      <c r="G166" t="inlineStr">
        <is>
          <t>ESKILSTUNA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57304-2023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45245</v>
      </c>
      <c r="E167" s="1" t="n">
        <v>46281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Sveaskog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46281</v>
      </c>
      <c r="F168" t="inlineStr">
        <is>
          <t>SÖDERMANLANDS LÄN</t>
        </is>
      </c>
      <c r="G168" t="inlineStr">
        <is>
          <t>ESKILSTUNA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45875</v>
      </c>
      <c r="E169" s="1" t="n">
        <v>46281</v>
      </c>
      <c r="F169" t="inlineStr">
        <is>
          <t>SÖDERMANLANDS LÄN</t>
        </is>
      </c>
      <c r="G169" t="inlineStr">
        <is>
          <t>ESKILSTUNA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46281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44799</v>
      </c>
      <c r="E171" s="1" t="n">
        <v>46281</v>
      </c>
      <c r="F171" t="inlineStr">
        <is>
          <t>SÖDERMANLANDS LÄN</t>
        </is>
      </c>
      <c r="G171" t="inlineStr">
        <is>
          <t>ESKILSTUNA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46281</v>
      </c>
      <c r="F172" t="inlineStr">
        <is>
          <t>SÖDERMANLANDS LÄN</t>
        </is>
      </c>
      <c r="G172" t="inlineStr">
        <is>
          <t>ESKILSTUNA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1330-2024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45303</v>
      </c>
      <c r="E173" s="1" t="n">
        <v>46281</v>
      </c>
      <c r="F173" t="inlineStr">
        <is>
          <t>SÖDERMANLANDS LÄN</t>
        </is>
      </c>
      <c r="G173" t="inlineStr">
        <is>
          <t>ESKILSTUNA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1334-2024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45303</v>
      </c>
      <c r="E174" s="1" t="n">
        <v>46281</v>
      </c>
      <c r="F174" t="inlineStr">
        <is>
          <t>SÖDERMANLANDS LÄN</t>
        </is>
      </c>
      <c r="G174" t="inlineStr">
        <is>
          <t>ESKILSTUNA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46281</v>
      </c>
      <c r="F175" t="inlineStr">
        <is>
          <t>SÖDERMANLANDS LÄN</t>
        </is>
      </c>
      <c r="G175" t="inlineStr">
        <is>
          <t>ESKILSTUNA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46281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Kommuner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46281</v>
      </c>
      <c r="F177" t="inlineStr">
        <is>
          <t>SÖDERMANLANDS LÄN</t>
        </is>
      </c>
      <c r="G177" t="inlineStr">
        <is>
          <t>ESKILSTUNA</t>
        </is>
      </c>
      <c r="I177" t="n">
        <v>20.1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46281</v>
      </c>
      <c r="F178" t="inlineStr">
        <is>
          <t>SÖDERMANLANDS LÄN</t>
        </is>
      </c>
      <c r="G178" t="inlineStr">
        <is>
          <t>ESKILSTUNA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46281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30968-2022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44768</v>
      </c>
      <c r="E180" s="1" t="n">
        <v>46281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Sveaskog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46281</v>
      </c>
      <c r="F181" t="inlineStr">
        <is>
          <t>SÖDERMANLANDS LÄN</t>
        </is>
      </c>
      <c r="G181" t="inlineStr">
        <is>
          <t>ESKILSTUNA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46281</v>
      </c>
      <c r="F182" t="inlineStr">
        <is>
          <t>SÖDERMANLANDS LÄN</t>
        </is>
      </c>
      <c r="G182" t="inlineStr">
        <is>
          <t>ESKILSTUNA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45363</v>
      </c>
      <c r="E183" s="1" t="n">
        <v>46281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Allmännings- och besparingsskogar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46281</v>
      </c>
      <c r="F184" t="inlineStr">
        <is>
          <t>SÖDERMANLANDS LÄN</t>
        </is>
      </c>
      <c r="G184" t="inlineStr">
        <is>
          <t>ESKILSTUNA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46281</v>
      </c>
      <c r="F185" t="inlineStr">
        <is>
          <t>SÖDERMANLANDS LÄN</t>
        </is>
      </c>
      <c r="G185" t="inlineStr">
        <is>
          <t>ESKILSTUNA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46281</v>
      </c>
      <c r="F186" t="inlineStr">
        <is>
          <t>SÖDERMANLANDS LÄN</t>
        </is>
      </c>
      <c r="G186" t="inlineStr">
        <is>
          <t>ESKILSTUNA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45464</v>
      </c>
      <c r="E187" s="1" t="n">
        <v>46281</v>
      </c>
      <c r="F187" t="inlineStr">
        <is>
          <t>SÖDERMANLANDS LÄN</t>
        </is>
      </c>
      <c r="G187" t="inlineStr">
        <is>
          <t>ESKILSTUNA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46281</v>
      </c>
      <c r="F188" t="inlineStr">
        <is>
          <t>SÖDERMANLANDS LÄN</t>
        </is>
      </c>
      <c r="G188" t="inlineStr">
        <is>
          <t>ESKILSTUNA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46281</v>
      </c>
      <c r="F189" t="inlineStr">
        <is>
          <t>SÖDERMANLANDS LÄN</t>
        </is>
      </c>
      <c r="G189" t="inlineStr">
        <is>
          <t>ESKILSTUNA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45464</v>
      </c>
      <c r="E190" s="1" t="n">
        <v>46281</v>
      </c>
      <c r="F190" t="inlineStr">
        <is>
          <t>SÖDERMANLANDS LÄN</t>
        </is>
      </c>
      <c r="G190" t="inlineStr">
        <is>
          <t>ESKILSTUNA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46281</v>
      </c>
      <c r="F191" t="inlineStr">
        <is>
          <t>SÖDERMANLANDS LÄN</t>
        </is>
      </c>
      <c r="G191" t="inlineStr">
        <is>
          <t>ESKILSTUNA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44626</v>
      </c>
      <c r="E192" s="1" t="n">
        <v>46281</v>
      </c>
      <c r="F192" t="inlineStr">
        <is>
          <t>SÖDERMANLANDS LÄN</t>
        </is>
      </c>
      <c r="G192" t="inlineStr">
        <is>
          <t>ESKILSTUNA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46281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Kommuner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44499</v>
      </c>
      <c r="E194" s="1" t="n">
        <v>46281</v>
      </c>
      <c r="F194" t="inlineStr">
        <is>
          <t>SÖDERMANLANDS LÄN</t>
        </is>
      </c>
      <c r="G194" t="inlineStr">
        <is>
          <t>ESKILSTUNA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46281</v>
      </c>
      <c r="F195" t="inlineStr">
        <is>
          <t>SÖDERMANLANDS LÄN</t>
        </is>
      </c>
      <c r="G195" t="inlineStr">
        <is>
          <t>ESKILSTUNA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61830-2023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45266</v>
      </c>
      <c r="E196" s="1" t="n">
        <v>46281</v>
      </c>
      <c r="F196" t="inlineStr">
        <is>
          <t>SÖDERMANLANDS LÄN</t>
        </is>
      </c>
      <c r="G196" t="inlineStr">
        <is>
          <t>ESKILSTUNA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46281</v>
      </c>
      <c r="F197" t="inlineStr">
        <is>
          <t>SÖDERMANLANDS LÄN</t>
        </is>
      </c>
      <c r="G197" t="inlineStr">
        <is>
          <t>ESKILSTUNA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44883</v>
      </c>
      <c r="E198" s="1" t="n">
        <v>46281</v>
      </c>
      <c r="F198" t="inlineStr">
        <is>
          <t>SÖDERMANLANDS LÄN</t>
        </is>
      </c>
      <c r="G198" t="inlineStr">
        <is>
          <t>ESKILSTUNA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46281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Kyrkan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46281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4434-2026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46044</v>
      </c>
      <c r="E201" s="1" t="n">
        <v>46281</v>
      </c>
      <c r="F201" t="inlineStr">
        <is>
          <t>SÖDERMANLANDS LÄN</t>
        </is>
      </c>
      <c r="G201" t="inlineStr">
        <is>
          <t>ESKILSTUNA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45604</v>
      </c>
      <c r="E202" s="1" t="n">
        <v>46281</v>
      </c>
      <c r="F202" t="inlineStr">
        <is>
          <t>SÖDERMANLANDS LÄN</t>
        </is>
      </c>
      <c r="G202" t="inlineStr">
        <is>
          <t>ESKILSTUNA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46281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Kommuner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46044</v>
      </c>
      <c r="E204" s="1" t="n">
        <v>46281</v>
      </c>
      <c r="F204" t="inlineStr">
        <is>
          <t>SÖDERMANLANDS LÄN</t>
        </is>
      </c>
      <c r="G204" t="inlineStr">
        <is>
          <t>ESKILSTUNA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65349-2021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44515</v>
      </c>
      <c r="E205" s="1" t="n">
        <v>46281</v>
      </c>
      <c r="F205" t="inlineStr">
        <is>
          <t>SÖDERMANLANDS LÄN</t>
        </is>
      </c>
      <c r="G205" t="inlineStr">
        <is>
          <t>ESKILSTUNA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46281</v>
      </c>
      <c r="F206" t="inlineStr">
        <is>
          <t>SÖDERMANLANDS LÄN</t>
        </is>
      </c>
      <c r="G206" t="inlineStr">
        <is>
          <t>ESKILSTUNA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44886</v>
      </c>
      <c r="E207" s="1" t="n">
        <v>46281</v>
      </c>
      <c r="F207" t="inlineStr">
        <is>
          <t>SÖDERMANLANDS LÄN</t>
        </is>
      </c>
      <c r="G207" t="inlineStr">
        <is>
          <t>ESKILSTUNA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55785-2022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44886</v>
      </c>
      <c r="E208" s="1" t="n">
        <v>46281</v>
      </c>
      <c r="F208" t="inlineStr">
        <is>
          <t>SÖDERMANLANDS LÄN</t>
        </is>
      </c>
      <c r="G208" t="inlineStr">
        <is>
          <t>ESKILSTUNA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46281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Kyrkan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46281</v>
      </c>
      <c r="F210" t="inlineStr">
        <is>
          <t>SÖDERMANLANDS LÄN</t>
        </is>
      </c>
      <c r="G210" t="inlineStr">
        <is>
          <t>ESKILSTUNA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46281</v>
      </c>
      <c r="F211" t="inlineStr">
        <is>
          <t>SÖDERMANLANDS LÄN</t>
        </is>
      </c>
      <c r="G211" t="inlineStr">
        <is>
          <t>ESKILSTUNA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44571</v>
      </c>
      <c r="E212" s="1" t="n">
        <v>46281</v>
      </c>
      <c r="F212" t="inlineStr">
        <is>
          <t>SÖDERMANLANDS LÄN</t>
        </is>
      </c>
      <c r="G212" t="inlineStr">
        <is>
          <t>ESKILSTUNA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44837</v>
      </c>
      <c r="E213" s="1" t="n">
        <v>46281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46281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46281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46281</v>
      </c>
      <c r="F216" t="inlineStr">
        <is>
          <t>SÖDERMANLANDS LÄN</t>
        </is>
      </c>
      <c r="G216" t="inlineStr">
        <is>
          <t>ESKILSTUNA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44634</v>
      </c>
      <c r="E217" s="1" t="n">
        <v>46281</v>
      </c>
      <c r="F217" t="inlineStr">
        <is>
          <t>SÖDERMANLANDS LÄN</t>
        </is>
      </c>
      <c r="G217" t="inlineStr">
        <is>
          <t>ESKILSTUNA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44915</v>
      </c>
      <c r="E218" s="1" t="n">
        <v>46281</v>
      </c>
      <c r="F218" t="inlineStr">
        <is>
          <t>SÖDERMANLANDS LÄN</t>
        </is>
      </c>
      <c r="G218" t="inlineStr">
        <is>
          <t>ESKILSTUNA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44915</v>
      </c>
      <c r="E219" s="1" t="n">
        <v>46281</v>
      </c>
      <c r="F219" t="inlineStr">
        <is>
          <t>SÖDERMANLANDS LÄN</t>
        </is>
      </c>
      <c r="G219" t="inlineStr">
        <is>
          <t>ESKILSTUNA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46281</v>
      </c>
      <c r="F220" t="inlineStr">
        <is>
          <t>SÖDERMANLANDS LÄN</t>
        </is>
      </c>
      <c r="G220" t="inlineStr">
        <is>
          <t>ESKILSTUNA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44918</v>
      </c>
      <c r="E221" s="1" t="n">
        <v>46281</v>
      </c>
      <c r="F221" t="inlineStr">
        <is>
          <t>SÖDERMANLANDS LÄN</t>
        </is>
      </c>
      <c r="G221" t="inlineStr">
        <is>
          <t>ESKILSTUNA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44588</v>
      </c>
      <c r="E222" s="1" t="n">
        <v>46281</v>
      </c>
      <c r="F222" t="inlineStr">
        <is>
          <t>SÖDERMANLANDS LÄN</t>
        </is>
      </c>
      <c r="G222" t="inlineStr">
        <is>
          <t>ESKILSTUNA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57524-2022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44889</v>
      </c>
      <c r="E223" s="1" t="n">
        <v>46281</v>
      </c>
      <c r="F223" t="inlineStr">
        <is>
          <t>SÖDERMANLANDS LÄN</t>
        </is>
      </c>
      <c r="G223" t="inlineStr">
        <is>
          <t>ESKILSTUNA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46281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45544</v>
      </c>
      <c r="E225" s="1" t="n">
        <v>46281</v>
      </c>
      <c r="F225" t="inlineStr">
        <is>
          <t>SÖDERMANLANDS LÄN</t>
        </is>
      </c>
      <c r="G225" t="inlineStr">
        <is>
          <t>ESKILSTUNA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46281</v>
      </c>
      <c r="F226" t="inlineStr">
        <is>
          <t>SÖDERMANLANDS LÄN</t>
        </is>
      </c>
      <c r="G226" t="inlineStr">
        <is>
          <t>ESKILSTUNA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46281</v>
      </c>
      <c r="F227" t="inlineStr">
        <is>
          <t>SÖDERMANLANDS LÄN</t>
        </is>
      </c>
      <c r="G227" t="inlineStr">
        <is>
          <t>ESKILSTUNA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46281</v>
      </c>
      <c r="F228" t="inlineStr">
        <is>
          <t>SÖDERMANLANDS LÄN</t>
        </is>
      </c>
      <c r="G228" t="inlineStr">
        <is>
          <t>ESKILSTUNA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46281</v>
      </c>
      <c r="F229" t="inlineStr">
        <is>
          <t>SÖDERMANLANDS LÄN</t>
        </is>
      </c>
      <c r="G229" t="inlineStr">
        <is>
          <t>ESKILSTUNA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46281</v>
      </c>
      <c r="F230" t="inlineStr">
        <is>
          <t>SÖDERMANLANDS LÄN</t>
        </is>
      </c>
      <c r="G230" t="inlineStr">
        <is>
          <t>ESKILSTUNA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44803</v>
      </c>
      <c r="E231" s="1" t="n">
        <v>46281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36153-2022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44803</v>
      </c>
      <c r="E232" s="1" t="n">
        <v>46281</v>
      </c>
      <c r="F232" t="inlineStr">
        <is>
          <t>SÖDERMANLANDS LÄN</t>
        </is>
      </c>
      <c r="G232" t="inlineStr">
        <is>
          <t>ESKILSTUNA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70613-2021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44537</v>
      </c>
      <c r="E233" s="1" t="n">
        <v>46281</v>
      </c>
      <c r="F233" t="inlineStr">
        <is>
          <t>SÖDERMANLANDS LÄN</t>
        </is>
      </c>
      <c r="G233" t="inlineStr">
        <is>
          <t>ESKILSTUNA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46281</v>
      </c>
      <c r="F234" t="inlineStr">
        <is>
          <t>SÖDERMANLANDS LÄN</t>
        </is>
      </c>
      <c r="G234" t="inlineStr">
        <is>
          <t>ESKILSTUNA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45750</v>
      </c>
      <c r="E235" s="1" t="n">
        <v>46281</v>
      </c>
      <c r="F235" t="inlineStr">
        <is>
          <t>SÖDERMANLANDS LÄN</t>
        </is>
      </c>
      <c r="G235" t="inlineStr">
        <is>
          <t>ESKILSTUNA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9455-2022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44616</v>
      </c>
      <c r="E236" s="1" t="n">
        <v>46281</v>
      </c>
      <c r="F236" t="inlineStr">
        <is>
          <t>SÖDERMANLANDS LÄN</t>
        </is>
      </c>
      <c r="G236" t="inlineStr">
        <is>
          <t>ESKILSTUNA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44889</v>
      </c>
      <c r="E237" s="1" t="n">
        <v>46281</v>
      </c>
      <c r="F237" t="inlineStr">
        <is>
          <t>SÖDERMANLANDS LÄN</t>
        </is>
      </c>
      <c r="G237" t="inlineStr">
        <is>
          <t>ESKILSTUNA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18105-2026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46125</v>
      </c>
      <c r="E238" s="1" t="n">
        <v>46281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44839</v>
      </c>
      <c r="E239" s="1" t="n">
        <v>46281</v>
      </c>
      <c r="F239" t="inlineStr">
        <is>
          <t>SÖDERMANLANDS LÄN</t>
        </is>
      </c>
      <c r="G239" t="inlineStr">
        <is>
          <t>ESKILSTUNA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9646-2022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44617</v>
      </c>
      <c r="E240" s="1" t="n">
        <v>46281</v>
      </c>
      <c r="F240" t="inlineStr">
        <is>
          <t>SÖDERMANLANDS LÄN</t>
        </is>
      </c>
      <c r="G240" t="inlineStr">
        <is>
          <t>ESKILSTUNA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12547-2022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44638</v>
      </c>
      <c r="E241" s="1" t="n">
        <v>46281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46281</v>
      </c>
      <c r="F242" t="inlineStr">
        <is>
          <t>SÖDERMANLANDS LÄN</t>
        </is>
      </c>
      <c r="G242" t="inlineStr">
        <is>
          <t>ESKILSTUNA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46281</v>
      </c>
      <c r="F243" t="inlineStr">
        <is>
          <t>SÖDERMANLANDS LÄN</t>
        </is>
      </c>
      <c r="G243" t="inlineStr">
        <is>
          <t>ESKILSTUNA</t>
        </is>
      </c>
      <c r="I243" t="n">
        <v>15.6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45036</v>
      </c>
      <c r="E244" s="1" t="n">
        <v>46281</v>
      </c>
      <c r="F244" t="inlineStr">
        <is>
          <t>SÖDERMANLANDS LÄN</t>
        </is>
      </c>
      <c r="G244" t="inlineStr">
        <is>
          <t>ESKILSTUNA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45209</v>
      </c>
      <c r="E245" s="1" t="n">
        <v>46281</v>
      </c>
      <c r="F245" t="inlineStr">
        <is>
          <t>SÖDERMANLANDS LÄN</t>
        </is>
      </c>
      <c r="G245" t="inlineStr">
        <is>
          <t>ESKILSTUNA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56384-2025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46281</v>
      </c>
      <c r="F246" t="inlineStr">
        <is>
          <t>SÖDERMANLANDS LÄN</t>
        </is>
      </c>
      <c r="G246" t="inlineStr">
        <is>
          <t>ESKILSTUNA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10010-2024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45363</v>
      </c>
      <c r="E247" s="1" t="n">
        <v>46281</v>
      </c>
      <c r="F247" t="inlineStr">
        <is>
          <t>SÖDERMANLANDS LÄN</t>
        </is>
      </c>
      <c r="G247" t="inlineStr">
        <is>
          <t>ESKILSTUNA</t>
        </is>
      </c>
      <c r="H247" t="inlineStr">
        <is>
          <t>Allmännings- och besparingsskogar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46281</v>
      </c>
      <c r="F248" t="inlineStr">
        <is>
          <t>SÖDERMANLANDS LÄN</t>
        </is>
      </c>
      <c r="G248" t="inlineStr">
        <is>
          <t>ESKILSTUNA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46281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44928</v>
      </c>
      <c r="E250" s="1" t="n">
        <v>46281</v>
      </c>
      <c r="F250" t="inlineStr">
        <is>
          <t>SÖDERMANLANDS LÄN</t>
        </is>
      </c>
      <c r="G250" t="inlineStr">
        <is>
          <t>ESKILSTUNA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46281</v>
      </c>
      <c r="F251" t="inlineStr">
        <is>
          <t>SÖDERMANLANDS LÄN</t>
        </is>
      </c>
      <c r="G251" t="inlineStr">
        <is>
          <t>ESKILSTUNA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61829-2023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45266</v>
      </c>
      <c r="E252" s="1" t="n">
        <v>46281</v>
      </c>
      <c r="F252" t="inlineStr">
        <is>
          <t>SÖDERMANLANDS LÄN</t>
        </is>
      </c>
      <c r="G252" t="inlineStr">
        <is>
          <t>ESKILSTUNA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46281</v>
      </c>
      <c r="F253" t="inlineStr">
        <is>
          <t>SÖDERMANLANDS LÄN</t>
        </is>
      </c>
      <c r="G253" t="inlineStr">
        <is>
          <t>ESKILSTUNA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44739</v>
      </c>
      <c r="E254" s="1" t="n">
        <v>46281</v>
      </c>
      <c r="F254" t="inlineStr">
        <is>
          <t>SÖDERMANLANDS LÄN</t>
        </is>
      </c>
      <c r="G254" t="inlineStr">
        <is>
          <t>ESKILSTUNA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46281</v>
      </c>
      <c r="F255" t="inlineStr">
        <is>
          <t>SÖDERMANLANDS LÄN</t>
        </is>
      </c>
      <c r="G255" t="inlineStr">
        <is>
          <t>ESKILSTUNA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46281</v>
      </c>
      <c r="F256" t="inlineStr">
        <is>
          <t>SÖDERMANLANDS LÄN</t>
        </is>
      </c>
      <c r="G256" t="inlineStr">
        <is>
          <t>ESKILSTUNA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36565-2022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44804</v>
      </c>
      <c r="E257" s="1" t="n">
        <v>46281</v>
      </c>
      <c r="F257" t="inlineStr">
        <is>
          <t>SÖDERMANLANDS LÄN</t>
        </is>
      </c>
      <c r="G257" t="inlineStr">
        <is>
          <t>ESKILSTUNA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46281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20180-2022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44698</v>
      </c>
      <c r="E259" s="1" t="n">
        <v>46281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Kyrkan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44998</v>
      </c>
      <c r="E260" s="1" t="n">
        <v>46281</v>
      </c>
      <c r="F260" t="inlineStr">
        <is>
          <t>SÖDERMANLANDS LÄN</t>
        </is>
      </c>
      <c r="G260" t="inlineStr">
        <is>
          <t>ESKILSTUNA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44946</v>
      </c>
      <c r="E261" s="1" t="n">
        <v>46281</v>
      </c>
      <c r="F261" t="inlineStr">
        <is>
          <t>SÖDERMANLANDS LÄN</t>
        </is>
      </c>
      <c r="G261" t="inlineStr">
        <is>
          <t>ESKILSTUNA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44946</v>
      </c>
      <c r="E262" s="1" t="n">
        <v>46281</v>
      </c>
      <c r="F262" t="inlineStr">
        <is>
          <t>SÖDERMANLANDS LÄN</t>
        </is>
      </c>
      <c r="G262" t="inlineStr">
        <is>
          <t>ESKILSTUNA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44874</v>
      </c>
      <c r="E263" s="1" t="n">
        <v>46281</v>
      </c>
      <c r="F263" t="inlineStr">
        <is>
          <t>SÖDERMANLANDS LÄN</t>
        </is>
      </c>
      <c r="G263" t="inlineStr">
        <is>
          <t>ESKILSTUNA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28011-2022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44746</v>
      </c>
      <c r="E264" s="1" t="n">
        <v>46281</v>
      </c>
      <c r="F264" t="inlineStr">
        <is>
          <t>SÖDERMANLANDS LÄN</t>
        </is>
      </c>
      <c r="G264" t="inlineStr">
        <is>
          <t>ESKILSTUNA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45365</v>
      </c>
      <c r="E265" s="1" t="n">
        <v>46281</v>
      </c>
      <c r="F265" t="inlineStr">
        <is>
          <t>SÖDERMANLANDS LÄN</t>
        </is>
      </c>
      <c r="G265" t="inlineStr">
        <is>
          <t>ESKILSTUNA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46281</v>
      </c>
      <c r="F266" t="inlineStr">
        <is>
          <t>SÖDERMANLANDS LÄN</t>
        </is>
      </c>
      <c r="G266" t="inlineStr">
        <is>
          <t>ESKILSTUNA</t>
        </is>
      </c>
      <c r="I266" t="n">
        <v>16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46281</v>
      </c>
      <c r="F267" t="inlineStr">
        <is>
          <t>SÖDERMANLANDS LÄN</t>
        </is>
      </c>
      <c r="G267" t="inlineStr">
        <is>
          <t>ESKILSTUNA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46281</v>
      </c>
      <c r="F268" t="inlineStr">
        <is>
          <t>SÖDERMANLANDS LÄN</t>
        </is>
      </c>
      <c r="G268" t="inlineStr">
        <is>
          <t>ESKILSTUNA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44946</v>
      </c>
      <c r="E269" s="1" t="n">
        <v>46281</v>
      </c>
      <c r="F269" t="inlineStr">
        <is>
          <t>SÖDERMANLANDS LÄN</t>
        </is>
      </c>
      <c r="G269" t="inlineStr">
        <is>
          <t>ESKILSTUNA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50484-2025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45945</v>
      </c>
      <c r="E270" s="1" t="n">
        <v>46281</v>
      </c>
      <c r="F270" t="inlineStr">
        <is>
          <t>SÖDERMANLANDS LÄN</t>
        </is>
      </c>
      <c r="G270" t="inlineStr">
        <is>
          <t>ESKILSTUNA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44983</v>
      </c>
      <c r="E271" s="1" t="n">
        <v>46281</v>
      </c>
      <c r="F271" t="inlineStr">
        <is>
          <t>SÖDERMANLANDS LÄN</t>
        </is>
      </c>
      <c r="G271" t="inlineStr">
        <is>
          <t>ESKILSTUNA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61866-2022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46281</v>
      </c>
      <c r="F272" t="inlineStr">
        <is>
          <t>SÖDERMANLANDS LÄN</t>
        </is>
      </c>
      <c r="G272" t="inlineStr">
        <is>
          <t>ESKILSTUNA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31983-2023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46281</v>
      </c>
      <c r="F273" t="inlineStr">
        <is>
          <t>SÖDERMANLANDS LÄN</t>
        </is>
      </c>
      <c r="G273" t="inlineStr">
        <is>
          <t>ESKILSTUNA</t>
        </is>
      </c>
      <c r="H273" t="inlineStr">
        <is>
          <t>Sveaskog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46281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44938</v>
      </c>
      <c r="E275" s="1" t="n">
        <v>46281</v>
      </c>
      <c r="F275" t="inlineStr">
        <is>
          <t>SÖDERMANLANDS LÄN</t>
        </is>
      </c>
      <c r="G275" t="inlineStr">
        <is>
          <t>ESKILSTUNA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45005</v>
      </c>
      <c r="E276" s="1" t="n">
        <v>46281</v>
      </c>
      <c r="F276" t="inlineStr">
        <is>
          <t>SÖDERMANLANDS LÄN</t>
        </is>
      </c>
      <c r="G276" t="inlineStr">
        <is>
          <t>ESKILSTUNA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46281</v>
      </c>
      <c r="F277" t="inlineStr">
        <is>
          <t>SÖDERMANLANDS LÄN</t>
        </is>
      </c>
      <c r="G277" t="inlineStr">
        <is>
          <t>ESKILSTUNA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46281</v>
      </c>
      <c r="F278" t="inlineStr">
        <is>
          <t>SÖDERMANLANDS LÄN</t>
        </is>
      </c>
      <c r="G278" t="inlineStr">
        <is>
          <t>ESKILSTUNA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46281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46281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46281</v>
      </c>
      <c r="F281" t="inlineStr">
        <is>
          <t>SÖDERMANLANDS LÄN</t>
        </is>
      </c>
      <c r="G281" t="inlineStr">
        <is>
          <t>ESKILSTUNA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46140</v>
      </c>
      <c r="E282" s="1" t="n">
        <v>46281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46281</v>
      </c>
      <c r="F283" t="inlineStr">
        <is>
          <t>SÖDERMANLANDS LÄN</t>
        </is>
      </c>
      <c r="G283" t="inlineStr">
        <is>
          <t>ESKILSTUNA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20823-2022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44701</v>
      </c>
      <c r="E284" s="1" t="n">
        <v>46281</v>
      </c>
      <c r="F284" t="inlineStr">
        <is>
          <t>SÖDERMANLANDS LÄN</t>
        </is>
      </c>
      <c r="G284" t="inlineStr">
        <is>
          <t>ESKILSTUNA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44741</v>
      </c>
      <c r="E285" s="1" t="n">
        <v>46281</v>
      </c>
      <c r="F285" t="inlineStr">
        <is>
          <t>SÖDERMANLANDS LÄN</t>
        </is>
      </c>
      <c r="G285" t="inlineStr">
        <is>
          <t>ESKILSTUNA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44942</v>
      </c>
      <c r="E286" s="1" t="n">
        <v>46281</v>
      </c>
      <c r="F286" t="inlineStr">
        <is>
          <t>SÖDERMANLANDS LÄN</t>
        </is>
      </c>
      <c r="G286" t="inlineStr">
        <is>
          <t>ESKILSTUNA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61367-2021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44499</v>
      </c>
      <c r="E287" s="1" t="n">
        <v>46281</v>
      </c>
      <c r="F287" t="inlineStr">
        <is>
          <t>SÖDERMANLANDS LÄN</t>
        </is>
      </c>
      <c r="G287" t="inlineStr">
        <is>
          <t>ESKILSTUNA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65595-2021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44516</v>
      </c>
      <c r="E288" s="1" t="n">
        <v>46281</v>
      </c>
      <c r="F288" t="inlineStr">
        <is>
          <t>SÖDERMANLANDS LÄN</t>
        </is>
      </c>
      <c r="G288" t="inlineStr">
        <is>
          <t>ESKILSTUNA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45182</v>
      </c>
      <c r="E289" s="1" t="n">
        <v>46281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40386-2022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44819</v>
      </c>
      <c r="E290" s="1" t="n">
        <v>46281</v>
      </c>
      <c r="F290" t="inlineStr">
        <is>
          <t>SÖDERMANLANDS LÄN</t>
        </is>
      </c>
      <c r="G290" t="inlineStr">
        <is>
          <t>ESKILSTUNA</t>
        </is>
      </c>
      <c r="I290" t="n">
        <v>11.6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45670</v>
      </c>
      <c r="E291" s="1" t="n">
        <v>46281</v>
      </c>
      <c r="F291" t="inlineStr">
        <is>
          <t>SÖDERMANLANDS LÄN</t>
        </is>
      </c>
      <c r="G291" t="inlineStr">
        <is>
          <t>ESKILSTUNA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38895-2023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45163</v>
      </c>
      <c r="E292" s="1" t="n">
        <v>46281</v>
      </c>
      <c r="F292" t="inlineStr">
        <is>
          <t>SÖDERMANLANDS LÄN</t>
        </is>
      </c>
      <c r="G292" t="inlineStr">
        <is>
          <t>ESKILSTUNA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44468</v>
      </c>
      <c r="E293" s="1" t="n">
        <v>46281</v>
      </c>
      <c r="F293" t="inlineStr">
        <is>
          <t>SÖDERMANLANDS LÄN</t>
        </is>
      </c>
      <c r="G293" t="inlineStr">
        <is>
          <t>ESKILSTUNA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46281</v>
      </c>
      <c r="F294" t="inlineStr">
        <is>
          <t>SÖDERMANLANDS LÄN</t>
        </is>
      </c>
      <c r="G294" t="inlineStr">
        <is>
          <t>ESKILSTUNA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46281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Övriga Aktiebolag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45713</v>
      </c>
      <c r="E296" s="1" t="n">
        <v>46281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46281</v>
      </c>
      <c r="F297" t="inlineStr">
        <is>
          <t>SÖDERMANLANDS LÄN</t>
        </is>
      </c>
      <c r="G297" t="inlineStr">
        <is>
          <t>ESKILSTUNA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42801-2022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44832</v>
      </c>
      <c r="E298" s="1" t="n">
        <v>46281</v>
      </c>
      <c r="F298" t="inlineStr">
        <is>
          <t>SÖDERMANLANDS LÄN</t>
        </is>
      </c>
      <c r="G298" t="inlineStr">
        <is>
          <t>ESKILSTUNA</t>
        </is>
      </c>
      <c r="I298" t="n">
        <v>19.9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46281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45062</v>
      </c>
      <c r="E300" s="1" t="n">
        <v>46281</v>
      </c>
      <c r="F300" t="inlineStr">
        <is>
          <t>SÖDERMANLANDS LÄN</t>
        </is>
      </c>
      <c r="G300" t="inlineStr">
        <is>
          <t>ESKILSTUNA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46281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44482</v>
      </c>
      <c r="E302" s="1" t="n">
        <v>46281</v>
      </c>
      <c r="F302" t="inlineStr">
        <is>
          <t>SÖDERMANLANDS LÄN</t>
        </is>
      </c>
      <c r="G302" t="inlineStr">
        <is>
          <t>ESKILSTUNA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45006</v>
      </c>
      <c r="E303" s="1" t="n">
        <v>46281</v>
      </c>
      <c r="F303" t="inlineStr">
        <is>
          <t>SÖDERMANLANDS LÄN</t>
        </is>
      </c>
      <c r="G303" t="inlineStr">
        <is>
          <t>ESKILSTUNA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55812-2022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44886</v>
      </c>
      <c r="E304" s="1" t="n">
        <v>46281</v>
      </c>
      <c r="F304" t="inlineStr">
        <is>
          <t>SÖDERMANLANDS LÄN</t>
        </is>
      </c>
      <c r="G304" t="inlineStr">
        <is>
          <t>ESKILSTUNA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68022-2021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44525</v>
      </c>
      <c r="E305" s="1" t="n">
        <v>46281</v>
      </c>
      <c r="F305" t="inlineStr">
        <is>
          <t>SÖDERMANLANDS LÄN</t>
        </is>
      </c>
      <c r="G305" t="inlineStr">
        <is>
          <t>ESKILSTUNA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46281</v>
      </c>
      <c r="F306" t="inlineStr">
        <is>
          <t>SÖDERMANLANDS LÄN</t>
        </is>
      </c>
      <c r="G306" t="inlineStr">
        <is>
          <t>ESKILSTUNA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46157</v>
      </c>
      <c r="E307" s="1" t="n">
        <v>46281</v>
      </c>
      <c r="F307" t="inlineStr">
        <is>
          <t>SÖDERMANLANDS LÄN</t>
        </is>
      </c>
      <c r="G307" t="inlineStr">
        <is>
          <t>ESKILSTUNA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54598-2021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46281</v>
      </c>
      <c r="F308" t="inlineStr">
        <is>
          <t>SÖDERMANLANDS LÄN</t>
        </is>
      </c>
      <c r="G308" t="inlineStr">
        <is>
          <t>ESKILSTUNA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45077</v>
      </c>
      <c r="E309" s="1" t="n">
        <v>46281</v>
      </c>
      <c r="F309" t="inlineStr">
        <is>
          <t>SÖDERMANLANDS LÄN</t>
        </is>
      </c>
      <c r="G309" t="inlineStr">
        <is>
          <t>ESKILSTUNA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9711-2025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45715</v>
      </c>
      <c r="E310" s="1" t="n">
        <v>46281</v>
      </c>
      <c r="F310" t="inlineStr">
        <is>
          <t>SÖDERMANLANDS LÄN</t>
        </is>
      </c>
      <c r="G310" t="inlineStr">
        <is>
          <t>ESKILSTUNA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46281</v>
      </c>
      <c r="F311" t="inlineStr">
        <is>
          <t>SÖDERMANLANDS LÄN</t>
        </is>
      </c>
      <c r="G311" t="inlineStr">
        <is>
          <t>ESKILSTUNA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46281</v>
      </c>
      <c r="F312" t="inlineStr">
        <is>
          <t>SÖDERMANLANDS LÄN</t>
        </is>
      </c>
      <c r="G312" t="inlineStr">
        <is>
          <t>ESKILSTUNA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52203-2025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45953</v>
      </c>
      <c r="E313" s="1" t="n">
        <v>46281</v>
      </c>
      <c r="F313" t="inlineStr">
        <is>
          <t>SÖDERMANLANDS LÄN</t>
        </is>
      </c>
      <c r="G313" t="inlineStr">
        <is>
          <t>ESKILSTUNA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44671</v>
      </c>
      <c r="E314" s="1" t="n">
        <v>46281</v>
      </c>
      <c r="F314" t="inlineStr">
        <is>
          <t>SÖDERMANLANDS LÄN</t>
        </is>
      </c>
      <c r="G314" t="inlineStr">
        <is>
          <t>ESKILSTUNA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46161</v>
      </c>
      <c r="E315" s="1" t="n">
        <v>46281</v>
      </c>
      <c r="F315" t="inlineStr">
        <is>
          <t>SÖDERMANLANDS LÄN</t>
        </is>
      </c>
      <c r="G315" t="inlineStr">
        <is>
          <t>ESKILSTUNA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52830-2021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44467</v>
      </c>
      <c r="E316" s="1" t="n">
        <v>46281</v>
      </c>
      <c r="F316" t="inlineStr">
        <is>
          <t>SÖDERMANLANDS LÄN</t>
        </is>
      </c>
      <c r="G316" t="inlineStr">
        <is>
          <t>ESKILSTUNA</t>
        </is>
      </c>
      <c r="I316" t="n">
        <v>8.6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46281</v>
      </c>
      <c r="F317" t="inlineStr">
        <is>
          <t>SÖDERMANLANDS LÄN</t>
        </is>
      </c>
      <c r="G317" t="inlineStr">
        <is>
          <t>ESKILSTUNA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46281</v>
      </c>
      <c r="F318" t="inlineStr">
        <is>
          <t>SÖDERMANLANDS LÄN</t>
        </is>
      </c>
      <c r="G318" t="inlineStr">
        <is>
          <t>ESKILSTUNA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30971-2023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46281</v>
      </c>
      <c r="F319" t="inlineStr">
        <is>
          <t>SÖDERMANLANDS LÄN</t>
        </is>
      </c>
      <c r="G319" t="inlineStr">
        <is>
          <t>ESKILSTUNA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45267</v>
      </c>
      <c r="E320" s="1" t="n">
        <v>46281</v>
      </c>
      <c r="F320" t="inlineStr">
        <is>
          <t>SÖDERMANLANDS LÄN</t>
        </is>
      </c>
      <c r="G320" t="inlineStr">
        <is>
          <t>ESKILSTUNA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46281</v>
      </c>
      <c r="F321" t="inlineStr">
        <is>
          <t>SÖDERMANLANDS LÄN</t>
        </is>
      </c>
      <c r="G321" t="inlineStr">
        <is>
          <t>ESKILSTUNA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46281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46281</v>
      </c>
      <c r="F323" t="inlineStr">
        <is>
          <t>SÖDERMANLANDS LÄN</t>
        </is>
      </c>
      <c r="G323" t="inlineStr">
        <is>
          <t>ESKILSTUNA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45587</v>
      </c>
      <c r="E324" s="1" t="n">
        <v>46281</v>
      </c>
      <c r="F324" t="inlineStr">
        <is>
          <t>SÖDERMANLANDS LÄN</t>
        </is>
      </c>
      <c r="G324" t="inlineStr">
        <is>
          <t>ESKILSTUNA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22388-2026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46281</v>
      </c>
      <c r="F325" t="inlineStr">
        <is>
          <t>SÖDERMANLANDS LÄN</t>
        </is>
      </c>
      <c r="G325" t="inlineStr">
        <is>
          <t>ESKILSTUNA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65614-2021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44516</v>
      </c>
      <c r="E326" s="1" t="n">
        <v>46281</v>
      </c>
      <c r="F326" t="inlineStr">
        <is>
          <t>SÖDERMANLANDS LÄN</t>
        </is>
      </c>
      <c r="G326" t="inlineStr">
        <is>
          <t>ESKILSTUNA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44916</v>
      </c>
      <c r="E327" s="1" t="n">
        <v>46281</v>
      </c>
      <c r="F327" t="inlineStr">
        <is>
          <t>SÖDERMANLANDS LÄN</t>
        </is>
      </c>
      <c r="G327" t="inlineStr">
        <is>
          <t>ESKILSTUNA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46281</v>
      </c>
      <c r="F328" t="inlineStr">
        <is>
          <t>SÖDERMANLANDS LÄN</t>
        </is>
      </c>
      <c r="G328" t="inlineStr">
        <is>
          <t>ESKILSTUNA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44888</v>
      </c>
      <c r="E329" s="1" t="n">
        <v>46281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44865</v>
      </c>
      <c r="E330" s="1" t="n">
        <v>46281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Kyrkan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46281</v>
      </c>
      <c r="F331" t="inlineStr">
        <is>
          <t>SÖDERMANLANDS LÄN</t>
        </is>
      </c>
      <c r="G331" t="inlineStr">
        <is>
          <t>ESKILSTUNA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46281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45756</v>
      </c>
      <c r="E333" s="1" t="n">
        <v>46281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44664</v>
      </c>
      <c r="E334" s="1" t="n">
        <v>46281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46281</v>
      </c>
      <c r="F335" t="inlineStr">
        <is>
          <t>SÖDERMANLANDS LÄN</t>
        </is>
      </c>
      <c r="G335" t="inlineStr">
        <is>
          <t>ESKILSTUNA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25227-2022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44729</v>
      </c>
      <c r="E336" s="1" t="n">
        <v>46281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Kyrkan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49470-2023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46281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45004</v>
      </c>
      <c r="E338" s="1" t="n">
        <v>46281</v>
      </c>
      <c r="F338" t="inlineStr">
        <is>
          <t>SÖDERMANLANDS LÄN</t>
        </is>
      </c>
      <c r="G338" t="inlineStr">
        <is>
          <t>ESKILSTUNA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16339-2024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46281</v>
      </c>
      <c r="F339" t="inlineStr">
        <is>
          <t>SÖDERMANLANDS LÄN</t>
        </is>
      </c>
      <c r="G339" t="inlineStr">
        <is>
          <t>ESKILSTUNA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46872-2022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44851</v>
      </c>
      <c r="E340" s="1" t="n">
        <v>46281</v>
      </c>
      <c r="F340" t="inlineStr">
        <is>
          <t>SÖDERMANLANDS LÄN</t>
        </is>
      </c>
      <c r="G340" t="inlineStr">
        <is>
          <t>ESKILSTUNA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51801-2025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45950</v>
      </c>
      <c r="E341" s="1" t="n">
        <v>46281</v>
      </c>
      <c r="F341" t="inlineStr">
        <is>
          <t>SÖDERMANLANDS LÄN</t>
        </is>
      </c>
      <c r="G341" t="inlineStr">
        <is>
          <t>ESKILSTUNA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46177</v>
      </c>
      <c r="E342" s="1" t="n">
        <v>46281</v>
      </c>
      <c r="F342" t="inlineStr">
        <is>
          <t>SÖDERMANLANDS LÄN</t>
        </is>
      </c>
      <c r="G342" t="inlineStr">
        <is>
          <t>ESKILSTUNA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19523-2024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45429</v>
      </c>
      <c r="E343" s="1" t="n">
        <v>46281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45198</v>
      </c>
      <c r="E344" s="1" t="n">
        <v>46281</v>
      </c>
      <c r="F344" t="inlineStr">
        <is>
          <t>SÖDERMANLANDS LÄN</t>
        </is>
      </c>
      <c r="G344" t="inlineStr">
        <is>
          <t>ESKILSTUNA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45056</v>
      </c>
      <c r="E345" s="1" t="n">
        <v>46281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Allmännings- och besparingsskogar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46281</v>
      </c>
      <c r="F346" t="inlineStr">
        <is>
          <t>SÖDERMANLANDS LÄN</t>
        </is>
      </c>
      <c r="G346" t="inlineStr">
        <is>
          <t>ESKILSTUNA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25998-2026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46281</v>
      </c>
      <c r="F347" t="inlineStr">
        <is>
          <t>SÖDERMANLANDS LÄN</t>
        </is>
      </c>
      <c r="G347" t="inlineStr">
        <is>
          <t>ESKILSTUNA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45079</v>
      </c>
      <c r="E348" s="1" t="n">
        <v>46281</v>
      </c>
      <c r="F348" t="inlineStr">
        <is>
          <t>SÖDERMANLANDS LÄN</t>
        </is>
      </c>
      <c r="G348" t="inlineStr">
        <is>
          <t>ESKILSTUNA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59276-2021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44490</v>
      </c>
      <c r="E349" s="1" t="n">
        <v>46281</v>
      </c>
      <c r="F349" t="inlineStr">
        <is>
          <t>SÖDERMANLANDS LÄN</t>
        </is>
      </c>
      <c r="G349" t="inlineStr">
        <is>
          <t>ESKILSTUNA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57213-2023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45245</v>
      </c>
      <c r="E350" s="1" t="n">
        <v>46281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Allmännings- och besparingsskogar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46281</v>
      </c>
      <c r="F351" t="inlineStr">
        <is>
          <t>SÖDERMANLANDS LÄN</t>
        </is>
      </c>
      <c r="G351" t="inlineStr">
        <is>
          <t>ESKILSTUNA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57538-2022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44889</v>
      </c>
      <c r="E352" s="1" t="n">
        <v>46281</v>
      </c>
      <c r="F352" t="inlineStr">
        <is>
          <t>SÖDERMANLANDS LÄN</t>
        </is>
      </c>
      <c r="G352" t="inlineStr">
        <is>
          <t>ESKILSTUNA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46281</v>
      </c>
      <c r="F353" t="inlineStr">
        <is>
          <t>SÖDERMANLANDS LÄN</t>
        </is>
      </c>
      <c r="G353" t="inlineStr">
        <is>
          <t>ESKILSTUNA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45622</v>
      </c>
      <c r="E354" s="1" t="n">
        <v>46281</v>
      </c>
      <c r="F354" t="inlineStr">
        <is>
          <t>SÖDERMANLANDS LÄN</t>
        </is>
      </c>
      <c r="G354" t="inlineStr">
        <is>
          <t>ESKILSTUNA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44930</v>
      </c>
      <c r="E355" s="1" t="n">
        <v>46281</v>
      </c>
      <c r="F355" t="inlineStr">
        <is>
          <t>SÖDERMANLANDS LÄN</t>
        </is>
      </c>
      <c r="G355" t="inlineStr">
        <is>
          <t>ESKILSTUNA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46281</v>
      </c>
      <c r="F356" t="inlineStr">
        <is>
          <t>SÖDERMANLANDS LÄN</t>
        </is>
      </c>
      <c r="G356" t="inlineStr">
        <is>
          <t>ESKILSTUNA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61170-2021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44497</v>
      </c>
      <c r="E357" s="1" t="n">
        <v>46281</v>
      </c>
      <c r="F357" t="inlineStr">
        <is>
          <t>SÖDERMANLANDS LÄN</t>
        </is>
      </c>
      <c r="G357" t="inlineStr">
        <is>
          <t>ESKILSTUNA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46281</v>
      </c>
      <c r="F358" t="inlineStr">
        <is>
          <t>SÖDERMANLANDS LÄN</t>
        </is>
      </c>
      <c r="G358" t="inlineStr">
        <is>
          <t>ESKILSTUNA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46281</v>
      </c>
      <c r="F359" t="inlineStr">
        <is>
          <t>SÖDERMANLANDS LÄN</t>
        </is>
      </c>
      <c r="G359" t="inlineStr">
        <is>
          <t>ESKILSTUNA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46281</v>
      </c>
      <c r="F360" t="inlineStr">
        <is>
          <t>SÖDERMANLANDS LÄN</t>
        </is>
      </c>
      <c r="G360" t="inlineStr">
        <is>
          <t>ESKILSTUNA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27779-2026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46191</v>
      </c>
      <c r="E361" s="1" t="n">
        <v>46281</v>
      </c>
      <c r="F361" t="inlineStr">
        <is>
          <t>SÖDERMANLANDS LÄN</t>
        </is>
      </c>
      <c r="G361" t="inlineStr">
        <is>
          <t>ESKILSTUNA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46281</v>
      </c>
      <c r="F362" t="inlineStr">
        <is>
          <t>SÖDERMANLANDS LÄN</t>
        </is>
      </c>
      <c r="G362" t="inlineStr">
        <is>
          <t>ESKILSTUNA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46281</v>
      </c>
      <c r="F363" t="inlineStr">
        <is>
          <t>SÖDERMANLANDS LÄN</t>
        </is>
      </c>
      <c r="G363" t="inlineStr">
        <is>
          <t>ESKILSTUNA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1340-2024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45303</v>
      </c>
      <c r="E364" s="1" t="n">
        <v>46281</v>
      </c>
      <c r="F364" t="inlineStr">
        <is>
          <t>SÖDERMANLANDS LÄN</t>
        </is>
      </c>
      <c r="G364" t="inlineStr">
        <is>
          <t>ESKILSTUNA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46281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Övriga Aktiebolag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44729</v>
      </c>
      <c r="E366" s="1" t="n">
        <v>46281</v>
      </c>
      <c r="F366" t="inlineStr">
        <is>
          <t>SÖDERMANLANDS LÄN</t>
        </is>
      </c>
      <c r="G366" t="inlineStr">
        <is>
          <t>ESKILSTUNA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44904</v>
      </c>
      <c r="E367" s="1" t="n">
        <v>46281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Allmännings- och besparingsskogar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44946</v>
      </c>
      <c r="E368" s="1" t="n">
        <v>46281</v>
      </c>
      <c r="F368" t="inlineStr">
        <is>
          <t>SÖDERMANLANDS LÄN</t>
        </is>
      </c>
      <c r="G368" t="inlineStr">
        <is>
          <t>ESKILSTUNA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57541-2022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44889</v>
      </c>
      <c r="E369" s="1" t="n">
        <v>46281</v>
      </c>
      <c r="F369" t="inlineStr">
        <is>
          <t>SÖDERMANLANDS LÄN</t>
        </is>
      </c>
      <c r="G369" t="inlineStr">
        <is>
          <t>ESKILSTUNA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46239</v>
      </c>
      <c r="E370" s="1" t="n">
        <v>46281</v>
      </c>
      <c r="F370" t="inlineStr">
        <is>
          <t>SÖDERMANLANDS LÄN</t>
        </is>
      </c>
      <c r="G370" t="inlineStr">
        <is>
          <t>ESKILSTUNA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4621-2022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44592</v>
      </c>
      <c r="E371" s="1" t="n">
        <v>46281</v>
      </c>
      <c r="F371" t="inlineStr">
        <is>
          <t>SÖDERMANLANDS LÄN</t>
        </is>
      </c>
      <c r="G371" t="inlineStr">
        <is>
          <t>ESKILSTUNA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20984-2023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45061</v>
      </c>
      <c r="E372" s="1" t="n">
        <v>46281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Allmännings- och besparingsskogar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35076-2022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46281</v>
      </c>
      <c r="F373" t="inlineStr">
        <is>
          <t>SÖDERMANLANDS LÄN</t>
        </is>
      </c>
      <c r="G373" t="inlineStr">
        <is>
          <t>ESKILSTUNA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45007</v>
      </c>
      <c r="E374" s="1" t="n">
        <v>46281</v>
      </c>
      <c r="F374" t="inlineStr">
        <is>
          <t>SÖDERMANLANDS LÄN</t>
        </is>
      </c>
      <c r="G374" t="inlineStr">
        <is>
          <t>ESKILSTUNA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46197</v>
      </c>
      <c r="E375" s="1" t="n">
        <v>46281</v>
      </c>
      <c r="F375" t="inlineStr">
        <is>
          <t>SÖDERMANLANDS LÄN</t>
        </is>
      </c>
      <c r="G375" t="inlineStr">
        <is>
          <t>ESKILSTUNA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45329</v>
      </c>
      <c r="E376" s="1" t="n">
        <v>46281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Kyrkan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46281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Kommuner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29053-2026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46199</v>
      </c>
      <c r="E378" s="1" t="n">
        <v>46281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46281</v>
      </c>
      <c r="F379" t="inlineStr">
        <is>
          <t>SÖDERMANLANDS LÄN</t>
        </is>
      </c>
      <c r="G379" t="inlineStr">
        <is>
          <t>ESKILSTUNA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44953</v>
      </c>
      <c r="E380" s="1" t="n">
        <v>46281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29051-2026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46199</v>
      </c>
      <c r="E381" s="1" t="n">
        <v>46281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45271</v>
      </c>
      <c r="E382" s="1" t="n">
        <v>46281</v>
      </c>
      <c r="F382" t="inlineStr">
        <is>
          <t>SÖDERMANLANDS LÄN</t>
        </is>
      </c>
      <c r="G382" t="inlineStr">
        <is>
          <t>ESKILSTUNA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45303</v>
      </c>
      <c r="E383" s="1" t="n">
        <v>46281</v>
      </c>
      <c r="F383" t="inlineStr">
        <is>
          <t>SÖDERMANLANDS LÄN</t>
        </is>
      </c>
      <c r="G383" t="inlineStr">
        <is>
          <t>ESKILSTUNA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70265-2021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44536</v>
      </c>
      <c r="E384" s="1" t="n">
        <v>46281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46241</v>
      </c>
      <c r="E385" s="1" t="n">
        <v>46281</v>
      </c>
      <c r="F385" t="inlineStr">
        <is>
          <t>SÖDERMANLANDS LÄN</t>
        </is>
      </c>
      <c r="G385" t="inlineStr">
        <is>
          <t>ESKILSTUNA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46608-2024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45582</v>
      </c>
      <c r="E386" s="1" t="n">
        <v>46281</v>
      </c>
      <c r="F386" t="inlineStr">
        <is>
          <t>SÖDERMANLANDS LÄN</t>
        </is>
      </c>
      <c r="G386" t="inlineStr">
        <is>
          <t>ESKILSTUNA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46281</v>
      </c>
      <c r="F387" t="inlineStr">
        <is>
          <t>SÖDERMANLANDS LÄN</t>
        </is>
      </c>
      <c r="G387" t="inlineStr">
        <is>
          <t>ESKILSTUNA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45303</v>
      </c>
      <c r="E388" s="1" t="n">
        <v>46281</v>
      </c>
      <c r="F388" t="inlineStr">
        <is>
          <t>SÖDERMANLANDS LÄN</t>
        </is>
      </c>
      <c r="G388" t="inlineStr">
        <is>
          <t>ESKILSTUNA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33087-2026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46245</v>
      </c>
      <c r="E389" s="1" t="n">
        <v>46281</v>
      </c>
      <c r="F389" t="inlineStr">
        <is>
          <t>SÖDERMANLANDS LÄN</t>
        </is>
      </c>
      <c r="G389" t="inlineStr">
        <is>
          <t>ESKILSTUNA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68020-2021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44525</v>
      </c>
      <c r="E390" s="1" t="n">
        <v>46281</v>
      </c>
      <c r="F390" t="inlineStr">
        <is>
          <t>SÖDERMANLANDS LÄN</t>
        </is>
      </c>
      <c r="G390" t="inlineStr">
        <is>
          <t>ESKILSTUNA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36648-2022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44804</v>
      </c>
      <c r="E391" s="1" t="n">
        <v>46281</v>
      </c>
      <c r="F391" t="inlineStr">
        <is>
          <t>SÖDERMANLANDS LÄN</t>
        </is>
      </c>
      <c r="G391" t="inlineStr">
        <is>
          <t>ESKILSTUNA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46245</v>
      </c>
      <c r="E392" s="1" t="n">
        <v>46281</v>
      </c>
      <c r="F392" t="inlineStr">
        <is>
          <t>SÖDERMANLANDS LÄN</t>
        </is>
      </c>
      <c r="G392" t="inlineStr">
        <is>
          <t>ESKILSTUNA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33278-2026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46246</v>
      </c>
      <c r="E393" s="1" t="n">
        <v>46281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46083</v>
      </c>
      <c r="E394" s="1" t="n">
        <v>46281</v>
      </c>
      <c r="F394" t="inlineStr">
        <is>
          <t>SÖDERMANLANDS LÄN</t>
        </is>
      </c>
      <c r="G394" t="inlineStr">
        <is>
          <t>ESKILSTUNA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45544</v>
      </c>
      <c r="E395" s="1" t="n">
        <v>46281</v>
      </c>
      <c r="F395" t="inlineStr">
        <is>
          <t>SÖDERMANLANDS LÄN</t>
        </is>
      </c>
      <c r="G395" t="inlineStr">
        <is>
          <t>ESKILSTUNA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35377-2023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45146</v>
      </c>
      <c r="E396" s="1" t="n">
        <v>46281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46164</v>
      </c>
      <c r="E397" s="1" t="n">
        <v>46281</v>
      </c>
      <c r="F397" t="inlineStr">
        <is>
          <t>SÖDERMANLANDS LÄN</t>
        </is>
      </c>
      <c r="G397" t="inlineStr">
        <is>
          <t>ESKILSTUNA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39543-2023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45167</v>
      </c>
      <c r="E398" s="1" t="n">
        <v>46281</v>
      </c>
      <c r="F398" t="inlineStr">
        <is>
          <t>SÖDERMANLANDS LÄN</t>
        </is>
      </c>
      <c r="G398" t="inlineStr">
        <is>
          <t>ESKILSTUNA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46157</v>
      </c>
      <c r="E399" s="1" t="n">
        <v>46281</v>
      </c>
      <c r="F399" t="inlineStr">
        <is>
          <t>SÖDERMANLANDS LÄN</t>
        </is>
      </c>
      <c r="G399" t="inlineStr">
        <is>
          <t>ESKILSTUNA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22058-2023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46281</v>
      </c>
      <c r="F400" t="inlineStr">
        <is>
          <t>SÖDERMANLANDS LÄN</t>
        </is>
      </c>
      <c r="G400" t="inlineStr">
        <is>
          <t>ESKILSTUNA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10715-2022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44626</v>
      </c>
      <c r="E401" s="1" t="n">
        <v>46281</v>
      </c>
      <c r="F401" t="inlineStr">
        <is>
          <t>SÖDERMANLANDS LÄN</t>
        </is>
      </c>
      <c r="G401" t="inlineStr">
        <is>
          <t>ESKILSTUNA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25668-2022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44732</v>
      </c>
      <c r="E402" s="1" t="n">
        <v>46281</v>
      </c>
      <c r="F402" t="inlineStr">
        <is>
          <t>SÖDERMANLANDS LÄN</t>
        </is>
      </c>
      <c r="G402" t="inlineStr">
        <is>
          <t>ESKILSTUNA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44927-2023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45190</v>
      </c>
      <c r="E403" s="1" t="n">
        <v>46281</v>
      </c>
      <c r="F403" t="inlineStr">
        <is>
          <t>SÖDERMANLANDS LÄN</t>
        </is>
      </c>
      <c r="G403" t="inlineStr">
        <is>
          <t>ESKILSTUNA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31002-2023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46281</v>
      </c>
      <c r="F404" t="inlineStr">
        <is>
          <t>SÖDERMANLANDS LÄN</t>
        </is>
      </c>
      <c r="G404" t="inlineStr">
        <is>
          <t>ESKILSTUNA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45435</v>
      </c>
      <c r="E405" s="1" t="n">
        <v>46281</v>
      </c>
      <c r="F405" t="inlineStr">
        <is>
          <t>SÖDERMANLANDS LÄN</t>
        </is>
      </c>
      <c r="G405" t="inlineStr">
        <is>
          <t>ESKILSTUNA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22605-2023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45071</v>
      </c>
      <c r="E406" s="1" t="n">
        <v>46281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Kyrkan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45664</v>
      </c>
      <c r="E407" s="1" t="n">
        <v>46281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44572</v>
      </c>
      <c r="E408" s="1" t="n">
        <v>46281</v>
      </c>
      <c r="F408" t="inlineStr">
        <is>
          <t>SÖDERMANLANDS LÄN</t>
        </is>
      </c>
      <c r="G408" t="inlineStr">
        <is>
          <t>ESKILSTUNA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7406-2022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44606</v>
      </c>
      <c r="E409" s="1" t="n">
        <v>46281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Kyrkan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26904-2023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45093</v>
      </c>
      <c r="E410" s="1" t="n">
        <v>46281</v>
      </c>
      <c r="F410" t="inlineStr">
        <is>
          <t>SÖDERMANLANDS LÄN</t>
        </is>
      </c>
      <c r="G410" t="inlineStr">
        <is>
          <t>ESKILSTUNA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46213</v>
      </c>
      <c r="E411" s="1" t="n">
        <v>46281</v>
      </c>
      <c r="F411" t="inlineStr">
        <is>
          <t>SÖDERMANLANDS LÄN</t>
        </is>
      </c>
      <c r="G411" t="inlineStr">
        <is>
          <t>ESKILSTUNA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46281</v>
      </c>
      <c r="F412" t="inlineStr">
        <is>
          <t>SÖDERMANLANDS LÄN</t>
        </is>
      </c>
      <c r="G412" t="inlineStr">
        <is>
          <t>ESKILSTUNA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60533-2024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45643</v>
      </c>
      <c r="E413" s="1" t="n">
        <v>46281</v>
      </c>
      <c r="F413" t="inlineStr">
        <is>
          <t>SÖDERMANLANDS LÄN</t>
        </is>
      </c>
      <c r="G413" t="inlineStr">
        <is>
          <t>ESKILSTUNA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45387</v>
      </c>
      <c r="E414" s="1" t="n">
        <v>46281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Kyrkan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33255-2024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45518</v>
      </c>
      <c r="E415" s="1" t="n">
        <v>46281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Övriga Aktiebolag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46281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Allmännings- och besparingsskogar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46281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45708</v>
      </c>
      <c r="E418" s="1" t="n">
        <v>46281</v>
      </c>
      <c r="F418" t="inlineStr">
        <is>
          <t>SÖDERMANLANDS LÄN</t>
        </is>
      </c>
      <c r="G418" t="inlineStr">
        <is>
          <t>ESKILSTUNA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46281</v>
      </c>
      <c r="F419" t="inlineStr">
        <is>
          <t>SÖDERMANLANDS LÄN</t>
        </is>
      </c>
      <c r="G419" t="inlineStr">
        <is>
          <t>ESKILSTUNA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46281</v>
      </c>
      <c r="F420" t="inlineStr">
        <is>
          <t>SÖDERMANLANDS LÄN</t>
        </is>
      </c>
      <c r="G420" t="inlineStr">
        <is>
          <t>ESKILSTUNA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31131-2026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46216</v>
      </c>
      <c r="E421" s="1" t="n">
        <v>46281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46217</v>
      </c>
      <c r="E422" s="1" t="n">
        <v>46281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Kommuner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46217</v>
      </c>
      <c r="E423" s="1" t="n">
        <v>46281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Kommuner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46216</v>
      </c>
      <c r="E424" s="1" t="n">
        <v>46281</v>
      </c>
      <c r="F424" t="inlineStr">
        <is>
          <t>SÖDERMANLANDS LÄN</t>
        </is>
      </c>
      <c r="G424" t="inlineStr">
        <is>
          <t>ESKILSTUNA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46219</v>
      </c>
      <c r="E425" s="1" t="n">
        <v>46281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Sveaskog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26871-2023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45093</v>
      </c>
      <c r="E426" s="1" t="n">
        <v>46281</v>
      </c>
      <c r="F426" t="inlineStr">
        <is>
          <t>SÖDERMANLANDS LÄN</t>
        </is>
      </c>
      <c r="G426" t="inlineStr">
        <is>
          <t>ESKILSTUNA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55763-2022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44886</v>
      </c>
      <c r="E427" s="1" t="n">
        <v>46281</v>
      </c>
      <c r="F427" t="inlineStr">
        <is>
          <t>SÖDERMANLANDS LÄN</t>
        </is>
      </c>
      <c r="G427" t="inlineStr">
        <is>
          <t>ESKILSTUNA</t>
        </is>
      </c>
      <c r="I427" t="n">
        <v>15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43221-2023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45183</v>
      </c>
      <c r="E428" s="1" t="n">
        <v>46281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Allmännings- och besparingsskogar</t>
        </is>
      </c>
      <c r="I428" t="n">
        <v>15.8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45303</v>
      </c>
      <c r="E429" s="1" t="n">
        <v>46281</v>
      </c>
      <c r="F429" t="inlineStr">
        <is>
          <t>SÖDERMANLANDS LÄN</t>
        </is>
      </c>
      <c r="G429" t="inlineStr">
        <is>
          <t>ESKILSTUNA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1346-2024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45303</v>
      </c>
      <c r="E430" s="1" t="n">
        <v>46281</v>
      </c>
      <c r="F430" t="inlineStr">
        <is>
          <t>SÖDERMANLANDS LÄN</t>
        </is>
      </c>
      <c r="G430" t="inlineStr">
        <is>
          <t>ESKILSTUNA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45237</v>
      </c>
      <c r="E431" s="1" t="n">
        <v>46281</v>
      </c>
      <c r="F431" t="inlineStr">
        <is>
          <t>SÖDERMANLANDS LÄN</t>
        </is>
      </c>
      <c r="G431" t="inlineStr">
        <is>
          <t>ESKILSTUNA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53098-2022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44873</v>
      </c>
      <c r="E432" s="1" t="n">
        <v>46281</v>
      </c>
      <c r="F432" t="inlineStr">
        <is>
          <t>SÖDERMANLANDS LÄN</t>
        </is>
      </c>
      <c r="G432" t="inlineStr">
        <is>
          <t>ESKILSTUNA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44965</v>
      </c>
      <c r="E433" s="1" t="n">
        <v>46281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44634</v>
      </c>
      <c r="E434" s="1" t="n">
        <v>46281</v>
      </c>
      <c r="F434" t="inlineStr">
        <is>
          <t>SÖDERMANLANDS LÄN</t>
        </is>
      </c>
      <c r="G434" t="inlineStr">
        <is>
          <t>ESKILSTUNA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48998-2023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45209</v>
      </c>
      <c r="E435" s="1" t="n">
        <v>46281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44844</v>
      </c>
      <c r="E436" s="1" t="n">
        <v>46281</v>
      </c>
      <c r="F436" t="inlineStr">
        <is>
          <t>SÖDERMANLANDS LÄN</t>
        </is>
      </c>
      <c r="G436" t="inlineStr">
        <is>
          <t>ESKILSTUNA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45884-2022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44844</v>
      </c>
      <c r="E437" s="1" t="n">
        <v>46281</v>
      </c>
      <c r="F437" t="inlineStr">
        <is>
          <t>SÖDERMANLANDS LÄN</t>
        </is>
      </c>
      <c r="G437" t="inlineStr">
        <is>
          <t>ESKILSTUNA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44942</v>
      </c>
      <c r="E438" s="1" t="n">
        <v>46281</v>
      </c>
      <c r="F438" t="inlineStr">
        <is>
          <t>SÖDERMANLANDS LÄN</t>
        </is>
      </c>
      <c r="G438" t="inlineStr">
        <is>
          <t>ESKILSTUNA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13153-2026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46092</v>
      </c>
      <c r="E439" s="1" t="n">
        <v>46281</v>
      </c>
      <c r="F439" t="inlineStr">
        <is>
          <t>SÖDERMANLANDS LÄN</t>
        </is>
      </c>
      <c r="G439" t="inlineStr">
        <is>
          <t>ESKILSTUNA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45514</v>
      </c>
      <c r="E440" s="1" t="n">
        <v>46281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20842-2023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45058</v>
      </c>
      <c r="E441" s="1" t="n">
        <v>46281</v>
      </c>
      <c r="F441" t="inlineStr">
        <is>
          <t>SÖDERMANLANDS LÄN</t>
        </is>
      </c>
      <c r="G441" t="inlineStr">
        <is>
          <t>ESKILSTUNA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44789</v>
      </c>
      <c r="E442" s="1" t="n">
        <v>46281</v>
      </c>
      <c r="F442" t="inlineStr">
        <is>
          <t>SÖDERMANLANDS LÄN</t>
        </is>
      </c>
      <c r="G442" t="inlineStr">
        <is>
          <t>ESKILSTUNA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6598-2024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45341</v>
      </c>
      <c r="E443" s="1" t="n">
        <v>46281</v>
      </c>
      <c r="F443" t="inlineStr">
        <is>
          <t>SÖDERMANLANDS LÄN</t>
        </is>
      </c>
      <c r="G443" t="inlineStr">
        <is>
          <t>ESKILSTUNA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46281</v>
      </c>
      <c r="F444" t="inlineStr">
        <is>
          <t>SÖDERMANLANDS LÄN</t>
        </is>
      </c>
      <c r="G444" t="inlineStr">
        <is>
          <t>ESKILSTUNA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15592-2023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45020</v>
      </c>
      <c r="E445" s="1" t="n">
        <v>46281</v>
      </c>
      <c r="F445" t="inlineStr">
        <is>
          <t>SÖDERMANLANDS LÄN</t>
        </is>
      </c>
      <c r="G445" t="inlineStr">
        <is>
          <t>ESKILSTUNA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46281</v>
      </c>
      <c r="F446" t="inlineStr">
        <is>
          <t>SÖDERMANLANDS LÄN</t>
        </is>
      </c>
      <c r="G446" t="inlineStr">
        <is>
          <t>ESKILSTUNA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45695</v>
      </c>
      <c r="E447" s="1" t="n">
        <v>46281</v>
      </c>
      <c r="F447" t="inlineStr">
        <is>
          <t>SÖDERMANLANDS LÄN</t>
        </is>
      </c>
      <c r="G447" t="inlineStr">
        <is>
          <t>ESKILSTUNA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46281</v>
      </c>
      <c r="F448" t="inlineStr">
        <is>
          <t>SÖDERMANLANDS LÄN</t>
        </is>
      </c>
      <c r="G448" t="inlineStr">
        <is>
          <t>ESKILSTUNA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45637</v>
      </c>
      <c r="E449" s="1" t="n">
        <v>46281</v>
      </c>
      <c r="F449" t="inlineStr">
        <is>
          <t>SÖDERMANLANDS LÄN</t>
        </is>
      </c>
      <c r="G449" t="inlineStr">
        <is>
          <t>ESKILSTUNA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45301</v>
      </c>
      <c r="E450" s="1" t="n">
        <v>46281</v>
      </c>
      <c r="F450" t="inlineStr">
        <is>
          <t>SÖDERMANLANDS LÄN</t>
        </is>
      </c>
      <c r="G450" t="inlineStr">
        <is>
          <t>ESKILSTUNA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53181-2024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45611</v>
      </c>
      <c r="E451" s="1" t="n">
        <v>46281</v>
      </c>
      <c r="F451" t="inlineStr">
        <is>
          <t>SÖDERMANLANDS LÄN</t>
        </is>
      </c>
      <c r="G451" t="inlineStr">
        <is>
          <t>ESKILSTUNA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1538-2025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45670</v>
      </c>
      <c r="E452" s="1" t="n">
        <v>46281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70560-2021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44536</v>
      </c>
      <c r="E453" s="1" t="n">
        <v>46281</v>
      </c>
      <c r="F453" t="inlineStr">
        <is>
          <t>SÖDERMANLANDS LÄN</t>
        </is>
      </c>
      <c r="G453" t="inlineStr">
        <is>
          <t>ESKILSTUNA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45615</v>
      </c>
      <c r="E454" s="1" t="n">
        <v>46281</v>
      </c>
      <c r="F454" t="inlineStr">
        <is>
          <t>SÖDERMANLANDS LÄN</t>
        </is>
      </c>
      <c r="G454" t="inlineStr">
        <is>
          <t>ESKILSTUNA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45183</v>
      </c>
      <c r="E455" s="1" t="n">
        <v>46281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32365-2026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46238</v>
      </c>
      <c r="E456" s="1" t="n">
        <v>46281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46237</v>
      </c>
      <c r="E457" s="1" t="n">
        <v>46281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37882-2026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46279</v>
      </c>
      <c r="E458" s="1" t="n">
        <v>46281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32373-2026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46238</v>
      </c>
      <c r="E459" s="1" t="n">
        <v>46281</v>
      </c>
      <c r="F459" t="inlineStr">
        <is>
          <t>SÖDERMANLANDS LÄN</t>
        </is>
      </c>
      <c r="G459" t="inlineStr">
        <is>
          <t>ESKILSTUNA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46281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44953</v>
      </c>
      <c r="E461" s="1" t="n">
        <v>46281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60246-2024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45642</v>
      </c>
      <c r="E462" s="1" t="n">
        <v>46281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Allmännings- och besparingsskogar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45737</v>
      </c>
      <c r="E463" s="1" t="n">
        <v>46281</v>
      </c>
      <c r="F463" t="inlineStr">
        <is>
          <t>SÖDERMANLANDS LÄN</t>
        </is>
      </c>
      <c r="G463" t="inlineStr">
        <is>
          <t>ESKILSTUNA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44593</v>
      </c>
      <c r="E464" s="1" t="n">
        <v>46281</v>
      </c>
      <c r="F464" t="inlineStr">
        <is>
          <t>SÖDERMANLANDS LÄN</t>
        </is>
      </c>
      <c r="G464" t="inlineStr">
        <is>
          <t>ESKILSTUNA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45365</v>
      </c>
      <c r="E465" s="1" t="n">
        <v>46281</v>
      </c>
      <c r="F465" t="inlineStr">
        <is>
          <t>SÖDERMANLANDS LÄN</t>
        </is>
      </c>
      <c r="G465" t="inlineStr">
        <is>
          <t>ESKILSTUNA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46281</v>
      </c>
      <c r="F466" t="inlineStr">
        <is>
          <t>SÖDERMANLANDS LÄN</t>
        </is>
      </c>
      <c r="G466" t="inlineStr">
        <is>
          <t>ESKILSTUNA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24537-2025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45798</v>
      </c>
      <c r="E467" s="1" t="n">
        <v>46281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Sveaskog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24534-2025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45798</v>
      </c>
      <c r="E468" s="1" t="n">
        <v>46281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Sveaskog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24535-2025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45798</v>
      </c>
      <c r="E469" s="1" t="n">
        <v>46281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Sveaskog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24536-2025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45798</v>
      </c>
      <c r="E470" s="1" t="n">
        <v>46281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46281</v>
      </c>
      <c r="F471" t="inlineStr">
        <is>
          <t>SÖDERMANLANDS LÄN</t>
        </is>
      </c>
      <c r="G471" t="inlineStr">
        <is>
          <t>ESKILSTUNA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45798</v>
      </c>
      <c r="E472" s="1" t="n">
        <v>46281</v>
      </c>
      <c r="F472" t="inlineStr">
        <is>
          <t>SÖDERMANLANDS LÄN</t>
        </is>
      </c>
      <c r="G472" t="inlineStr">
        <is>
          <t>ESKILSTUNA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45798</v>
      </c>
      <c r="E473" s="1" t="n">
        <v>46281</v>
      </c>
      <c r="F473" t="inlineStr">
        <is>
          <t>SÖDERMANLANDS LÄN</t>
        </is>
      </c>
      <c r="G473" t="inlineStr">
        <is>
          <t>ESKILSTUNA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43488-2024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45568</v>
      </c>
      <c r="E474" s="1" t="n">
        <v>46281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46281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30096-2025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45826</v>
      </c>
      <c r="E476" s="1" t="n">
        <v>46281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30113-2025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45826</v>
      </c>
      <c r="E477" s="1" t="n">
        <v>46281</v>
      </c>
      <c r="F477" t="inlineStr">
        <is>
          <t>SÖDERMANLANDS LÄN</t>
        </is>
      </c>
      <c r="G477" t="inlineStr">
        <is>
          <t>ESKILSTUNA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30004-2025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45826</v>
      </c>
      <c r="E478" s="1" t="n">
        <v>46281</v>
      </c>
      <c r="F478" t="inlineStr">
        <is>
          <t>SÖDERMANLANDS LÄN</t>
        </is>
      </c>
      <c r="G478" t="inlineStr">
        <is>
          <t>ESKILSTUNA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45826</v>
      </c>
      <c r="E479" s="1" t="n">
        <v>46281</v>
      </c>
      <c r="F479" t="inlineStr">
        <is>
          <t>SÖDERMANLANDS LÄN</t>
        </is>
      </c>
      <c r="G479" t="inlineStr">
        <is>
          <t>ESKILSTUNA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5713-2025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45694</v>
      </c>
      <c r="E480" s="1" t="n">
        <v>46281</v>
      </c>
      <c r="F480" t="inlineStr">
        <is>
          <t>SÖDERMANLANDS LÄN</t>
        </is>
      </c>
      <c r="G480" t="inlineStr">
        <is>
          <t>ESKILSTUNA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51547-2024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46281</v>
      </c>
      <c r="F481" t="inlineStr">
        <is>
          <t>SÖDERMANLANDS LÄN</t>
        </is>
      </c>
      <c r="G481" t="inlineStr">
        <is>
          <t>ESKILSTUNA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24519-2024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45460</v>
      </c>
      <c r="E482" s="1" t="n">
        <v>46281</v>
      </c>
      <c r="F482" t="inlineStr">
        <is>
          <t>SÖDERMANLANDS LÄN</t>
        </is>
      </c>
      <c r="G482" t="inlineStr">
        <is>
          <t>ESKILSTUNA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1333-2020</t>
        </is>
      </c>
      <c r="B483" t="inlineStr">
        <is>
          <t>samrådsanmälan</t>
        </is>
      </c>
      <c r="C483" t="inlineStr">
        <is>
          <t>Åtgärd i nyckelbiotop</t>
        </is>
      </c>
      <c r="D483" s="1" t="n">
        <v>43993</v>
      </c>
      <c r="E483" s="1" t="n">
        <v>46281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383-2023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44959</v>
      </c>
      <c r="E484" s="1" t="n">
        <v>46281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3665-2023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45217</v>
      </c>
      <c r="E485" s="1" t="n">
        <v>46281</v>
      </c>
      <c r="F485" t="inlineStr">
        <is>
          <t>SÖDERMANLANDS LÄN</t>
        </is>
      </c>
      <c r="G485" t="inlineStr">
        <is>
          <t>ESKILSTUNA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4583-2023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45282</v>
      </c>
      <c r="E486" s="1" t="n">
        <v>46281</v>
      </c>
      <c r="F486" t="inlineStr">
        <is>
          <t>SÖDERMANLANDS LÄN</t>
        </is>
      </c>
      <c r="G486" t="inlineStr">
        <is>
          <t>ESKILSTUNA</t>
        </is>
      </c>
      <c r="I486" t="n">
        <v>31.4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1601-2025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45798</v>
      </c>
      <c r="E487" s="1" t="n">
        <v>46281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1602-2025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45798</v>
      </c>
      <c r="E488" s="1" t="n">
        <v>46281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291-2025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45686</v>
      </c>
      <c r="E489" s="1" t="n">
        <v>46281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2917-2024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45504</v>
      </c>
      <c r="E490" s="1" t="n">
        <v>46281</v>
      </c>
      <c r="F490" t="inlineStr">
        <is>
          <t>SÖDERMANLANDS LÄN</t>
        </is>
      </c>
      <c r="G490" t="inlineStr">
        <is>
          <t>ESKILSTUNA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1920-2025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45826</v>
      </c>
      <c r="E491" s="1" t="n">
        <v>46281</v>
      </c>
      <c r="F491" t="inlineStr">
        <is>
          <t>SÖDERMANLANDS LÄN</t>
        </is>
      </c>
      <c r="G491" t="inlineStr">
        <is>
          <t>ESKILSTUNA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1030-2026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46125</v>
      </c>
      <c r="E492" s="1" t="n">
        <v>46281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1870-2026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46199</v>
      </c>
      <c r="E493" s="1" t="n">
        <v>46281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1871-2026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46199</v>
      </c>
      <c r="E494" s="1" t="n">
        <v>46281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2026-09-16T02:05:08Z</dcterms:created>
  <dcterms:modified xmlns:dcterms="http://purl.org/dc/terms/" xmlns:xsi="http://www.w3.org/2001/XMLSchema-instance" xsi:type="dcterms:W3CDTF">2026-09-16T02:05:08Z</dcterms:modified>
</cp:coreProperties>
</file>