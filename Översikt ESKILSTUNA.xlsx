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46311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46311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46311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46311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33699-2022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44789</v>
      </c>
      <c r="E10" s="1" t="n">
        <v>46311</v>
      </c>
      <c r="F10" t="inlineStr">
        <is>
          <t>SÖDERMANLANDS LÄN</t>
        </is>
      </c>
      <c r="G10" t="inlineStr">
        <is>
          <t>ESKILSTUNA</t>
        </is>
      </c>
      <c r="I10" t="n">
        <v>6.5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9</v>
      </c>
      <c r="U10" t="n">
        <v>5</v>
      </c>
      <c r="V10" s="2" t="inlineStr">
        <is>
          <t>Knärot
Motaggsvamp
Mindre märgborre
Blåsippa
Mattlummer
Tjäder</t>
        </is>
      </c>
      <c r="W10">
        <f>HYPERLINK("https://klasma.github.io/Logging_0484/artfynd/A 33699-2022 artfynd.xlsx", "A 33699-2022")</f>
        <v/>
      </c>
      <c r="X10">
        <f>HYPERLINK("https://klasma.github.io/Logging_0484/kartor/A 33699-2022 karta.png", "A 33699-2022")</f>
        <v/>
      </c>
      <c r="Y10">
        <f>HYPERLINK("https://klasma.github.io/Logging_0484/kartor_geotiff/A 33699-2022 georefererad karta.tif", "A 33699-2022")</f>
        <v/>
      </c>
      <c r="Z10">
        <f>HYPERLINK("https://klasma.github.io/Logging_0484/knärot/A 33699-2022 karta knärot.png", "A 33699-2022")</f>
        <v/>
      </c>
      <c r="AA10">
        <f>HYPERLINK("https://klasma.github.io/Logging_0484/klagomål/A 33699-2022 FSC-klagomål.docx", "A 33699-2022")</f>
        <v/>
      </c>
      <c r="AB10">
        <f>HYPERLINK("https://klasma.github.io/Logging_0484/klagomålsmail/A 33699-2022 FSC-klagomål mail.docx", "A 33699-2022")</f>
        <v/>
      </c>
      <c r="AC10">
        <f>HYPERLINK("https://klasma.github.io/Logging_0484/tillsyn/A 33699-2022 tillsynsbegäran.docx", "A 33699-2022")</f>
        <v/>
      </c>
      <c r="AD10">
        <f>HYPERLINK("https://klasma.github.io/Logging_0484/tillsynsmail/A 33699-2022 tillsynsbegäran mail.docx", "A 33699-2022")</f>
        <v/>
      </c>
      <c r="AE10">
        <f>HYPERLINK("https://klasma.github.io/Logging_0484/fåglar/A 33699-2022 prioriterade fågelarter.docx", "A 33699-2022")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46311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46311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46311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46311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46311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46311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46311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46311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46311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46311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46311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46311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46311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40857-2025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45897</v>
      </c>
      <c r="E25" s="1" t="n">
        <v>46311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10.8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Mindre märgborre
Kungsfågel
Revlummer</t>
        </is>
      </c>
      <c r="W25">
        <f>HYPERLINK("https://klasma.github.io/Logging_0484/artfynd/A 40857-2025 artfynd.xlsx", "A 40857-2025")</f>
        <v/>
      </c>
      <c r="X25">
        <f>HYPERLINK("https://klasma.github.io/Logging_0484/kartor/A 40857-2025 karta.png", "A 40857-2025")</f>
        <v/>
      </c>
      <c r="Y25">
        <f>HYPERLINK("https://klasma.github.io/Logging_0484/kartor_geotiff/A 40857-2025 georefererad karta.tif", "A 40857-2025")</f>
        <v/>
      </c>
      <c r="AA25">
        <f>HYPERLINK("https://klasma.github.io/Logging_0484/klagomål/A 40857-2025 FSC-klagomål.docx", "A 40857-2025")</f>
        <v/>
      </c>
      <c r="AB25">
        <f>HYPERLINK("https://klasma.github.io/Logging_0484/klagomålsmail/A 40857-2025 FSC-klagomål mail.docx", "A 40857-2025")</f>
        <v/>
      </c>
      <c r="AC25">
        <f>HYPERLINK("https://klasma.github.io/Logging_0484/tillsyn/A 40857-2025 tillsynsbegäran.docx", "A 40857-2025")</f>
        <v/>
      </c>
      <c r="AD25">
        <f>HYPERLINK("https://klasma.github.io/Logging_0484/tillsynsmail/A 40857-2025 tillsynsbegäran mail.docx", "A 40857-2025")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46311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46311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46311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38967-2026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46286</v>
      </c>
      <c r="E29" s="1" t="n">
        <v>46311</v>
      </c>
      <c r="F29" t="inlineStr">
        <is>
          <t>SÖDERMANLANDS LÄN</t>
        </is>
      </c>
      <c r="G29" t="inlineStr">
        <is>
          <t>ESKILSTUNA</t>
        </is>
      </c>
      <c r="I29" t="n">
        <v>9.5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Älg
Grönpyrola
Revlummer</t>
        </is>
      </c>
      <c r="W29">
        <f>HYPERLINK("https://klasma.github.io/Logging_0484/artfynd/A 38967-2026 artfynd.xlsx", "A 38967-2026")</f>
        <v/>
      </c>
      <c r="X29">
        <f>HYPERLINK("https://klasma.github.io/Logging_0484/kartor/A 38967-2026 karta.png", "A 38967-2026")</f>
        <v/>
      </c>
      <c r="Y29">
        <f>HYPERLINK("https://klasma.github.io/Logging_0484/kartor_geotiff/A 38967-2026 georefererad karta.tif", "A 38967-2026")</f>
        <v/>
      </c>
      <c r="AA29">
        <f>HYPERLINK("https://klasma.github.io/Logging_0484/klagomål/A 38967-2026 FSC-klagomål.docx", "A 38967-2026")</f>
        <v/>
      </c>
      <c r="AB29">
        <f>HYPERLINK("https://klasma.github.io/Logging_0484/klagomålsmail/A 38967-2026 FSC-klagomål mail.docx", "A 38967-2026")</f>
        <v/>
      </c>
      <c r="AC29">
        <f>HYPERLINK("https://klasma.github.io/Logging_0484/tillsyn/A 38967-2026 tillsynsbegäran.docx", "A 38967-2026")</f>
        <v/>
      </c>
      <c r="AD29">
        <f>HYPERLINK("https://klasma.github.io/Logging_0484/tillsynsmail/A 38967-2026 tillsynsbegäran mail.docx", "A 38967-2026")</f>
        <v/>
      </c>
    </row>
    <row r="30" ht="15" customHeight="1">
      <c r="A30" t="inlineStr">
        <is>
          <t>A 60926-2025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45999</v>
      </c>
      <c r="E30" s="1" t="n">
        <v>46311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Allmännings- och besparingsskogar</t>
        </is>
      </c>
      <c r="I30" t="n">
        <v>2.3</v>
      </c>
      <c r="J30" t="n">
        <v>2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Knärot
Talltita
Älg</t>
        </is>
      </c>
      <c r="W30">
        <f>HYPERLINK("https://klasma.github.io/Logging_0484/artfynd/A 60926-2025 artfynd.xlsx", "A 60926-2025")</f>
        <v/>
      </c>
      <c r="X30">
        <f>HYPERLINK("https://klasma.github.io/Logging_0484/kartor/A 60926-2025 karta.png", "A 60926-2025")</f>
        <v/>
      </c>
      <c r="Y30">
        <f>HYPERLINK("https://klasma.github.io/Logging_0484/kartor_geotiff/A 60926-2025 georefererad karta.tif", "A 60926-2025")</f>
        <v/>
      </c>
      <c r="Z30">
        <f>HYPERLINK("https://klasma.github.io/Logging_0484/knärot/A 60926-2025 karta knärot.png", "A 60926-2025")</f>
        <v/>
      </c>
      <c r="AA30">
        <f>HYPERLINK("https://klasma.github.io/Logging_0484/klagomål/A 60926-2025 FSC-klagomål.docx", "A 60926-2025")</f>
        <v/>
      </c>
      <c r="AB30">
        <f>HYPERLINK("https://klasma.github.io/Logging_0484/klagomålsmail/A 60926-2025 FSC-klagomål mail.docx", "A 60926-2025")</f>
        <v/>
      </c>
      <c r="AC30">
        <f>HYPERLINK("https://klasma.github.io/Logging_0484/tillsyn/A 60926-2025 tillsynsbegäran.docx", "A 60926-2025")</f>
        <v/>
      </c>
      <c r="AD30">
        <f>HYPERLINK("https://klasma.github.io/Logging_0484/tillsynsmail/A 60926-2025 tillsynsbegäran mail.docx", "A 60926-2025")</f>
        <v/>
      </c>
      <c r="AE30">
        <f>HYPERLINK("https://klasma.github.io/Logging_0484/fåglar/A 60926-2025 prioriterade fågelarter.docx", "A 60926-2025")</f>
        <v/>
      </c>
    </row>
    <row r="31" ht="15" customHeight="1">
      <c r="A31" t="inlineStr">
        <is>
          <t>A 40844-2026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2.1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Tibast
Blåsippa</t>
        </is>
      </c>
      <c r="W31">
        <f>HYPERLINK("https://klasma.github.io/Logging_0484/artfynd/A 40844-2026 artfynd.xlsx", "A 40844-2026")</f>
        <v/>
      </c>
      <c r="X31">
        <f>HYPERLINK("https://klasma.github.io/Logging_0484/kartor/A 40844-2026 karta.png", "A 40844-2026")</f>
        <v/>
      </c>
      <c r="Y31">
        <f>HYPERLINK("https://klasma.github.io/Logging_0484/kartor_geotiff/A 40844-2026 georefererad karta.tif", "A 40844-2026")</f>
        <v/>
      </c>
      <c r="AA31">
        <f>HYPERLINK("https://klasma.github.io/Logging_0484/klagomål/A 40844-2026 FSC-klagomål.docx", "A 40844-2026")</f>
        <v/>
      </c>
      <c r="AB31">
        <f>HYPERLINK("https://klasma.github.io/Logging_0484/klagomålsmail/A 40844-2026 FSC-klagomål mail.docx", "A 40844-2026")</f>
        <v/>
      </c>
      <c r="AC31">
        <f>HYPERLINK("https://klasma.github.io/Logging_0484/tillsyn/A 40844-2026 tillsynsbegäran.docx", "A 40844-2026")</f>
        <v/>
      </c>
      <c r="AD31">
        <f>HYPERLINK("https://klasma.github.io/Logging_0484/tillsynsmail/A 40844-2026 tillsynsbegäran mail.docx", "A 40844-2026")</f>
        <v/>
      </c>
    </row>
    <row r="32" ht="15" customHeight="1">
      <c r="A32" t="inlineStr">
        <is>
          <t>A 24543-2025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45798</v>
      </c>
      <c r="E32" s="1" t="n">
        <v>46311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HYPERLINK("https://klasma.github.io/Logging_0484/artfynd/A 24543-2025 artfynd.xlsx", "A 24543-2025")</f>
        <v/>
      </c>
      <c r="X32">
        <f>HYPERLINK("https://klasma.github.io/Logging_0484/kartor/A 24543-2025 karta.png", "A 24543-2025")</f>
        <v/>
      </c>
      <c r="Y32">
        <f>HYPERLINK("https://klasma.github.io/Logging_0484/kartor_geotiff/A 24543-2025 georefererad karta.tif", "A 24543-2025")</f>
        <v/>
      </c>
      <c r="AA32">
        <f>HYPERLINK("https://klasma.github.io/Logging_0484/klagomål/A 24543-2025 FSC-klagomål.docx", "A 24543-2025")</f>
        <v/>
      </c>
      <c r="AB32">
        <f>HYPERLINK("https://klasma.github.io/Logging_0484/klagomålsmail/A 24543-2025 FSC-klagomål mail.docx", "A 24543-2025")</f>
        <v/>
      </c>
      <c r="AC32">
        <f>HYPERLINK("https://klasma.github.io/Logging_0484/tillsyn/A 24543-2025 tillsynsbegäran.docx", "A 24543-2025")</f>
        <v/>
      </c>
      <c r="AD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45798</v>
      </c>
      <c r="E33" s="1" t="n">
        <v>46311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HYPERLINK("https://klasma.github.io/Logging_0484/artfynd/A 24539-2025 artfynd.xlsx", "A 24539-2025")</f>
        <v/>
      </c>
      <c r="X33">
        <f>HYPERLINK("https://klasma.github.io/Logging_0484/kartor/A 24539-2025 karta.png", "A 24539-2025")</f>
        <v/>
      </c>
      <c r="Y33">
        <f>HYPERLINK("https://klasma.github.io/Logging_0484/kartor_geotiff/A 24539-2025 georefererad karta.tif", "A 24539-2025")</f>
        <v/>
      </c>
      <c r="AA33">
        <f>HYPERLINK("https://klasma.github.io/Logging_0484/klagomål/A 24539-2025 FSC-klagomål.docx", "A 24539-2025")</f>
        <v/>
      </c>
      <c r="AB33">
        <f>HYPERLINK("https://klasma.github.io/Logging_0484/klagomålsmail/A 24539-2025 FSC-klagomål mail.docx", "A 24539-2025")</f>
        <v/>
      </c>
      <c r="AC33">
        <f>HYPERLINK("https://klasma.github.io/Logging_0484/tillsyn/A 24539-2025 tillsynsbegäran.docx", "A 24539-2025")</f>
        <v/>
      </c>
      <c r="AD33">
        <f>HYPERLINK("https://klasma.github.io/Logging_0484/tillsynsmail/A 24539-2025 tillsynsbegäran mail.docx", "A 24539-2025")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46311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46311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46311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62141-2021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46311</v>
      </c>
      <c r="F37" t="inlineStr">
        <is>
          <t>SÖDERMANLANDS LÄN</t>
        </is>
      </c>
      <c r="G37" t="inlineStr">
        <is>
          <t>ESKILSTUNA</t>
        </is>
      </c>
      <c r="H37" t="inlineStr">
        <is>
          <t>Kyrkan</t>
        </is>
      </c>
      <c r="I37" t="n">
        <v>13.7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Gullpudra
Mattlummer</t>
        </is>
      </c>
      <c r="W37">
        <f>HYPERLINK("https://klasma.github.io/Logging_0484/artfynd/A 62141-2021 artfynd.xlsx", "A 62141-2021")</f>
        <v/>
      </c>
      <c r="X37">
        <f>HYPERLINK("https://klasma.github.io/Logging_0484/kartor/A 62141-2021 karta.png", "A 62141-2021")</f>
        <v/>
      </c>
      <c r="Y37">
        <f>HYPERLINK("https://klasma.github.io/Logging_0484/kartor_geotiff/A 62141-2021 georefererad karta.tif", "A 62141-2021")</f>
        <v/>
      </c>
      <c r="AA37">
        <f>HYPERLINK("https://klasma.github.io/Logging_0484/klagomål/A 62141-2021 FSC-klagomål.docx", "A 62141-2021")</f>
        <v/>
      </c>
      <c r="AB37">
        <f>HYPERLINK("https://klasma.github.io/Logging_0484/klagomålsmail/A 62141-2021 FSC-klagomål mail.docx", "A 62141-2021")</f>
        <v/>
      </c>
      <c r="AC37">
        <f>HYPERLINK("https://klasma.github.io/Logging_0484/tillsyn/A 62141-2021 tillsynsbegäran.docx", "A 62141-2021")</f>
        <v/>
      </c>
      <c r="AD37">
        <f>HYPERLINK("https://klasma.github.io/Logging_0484/tillsynsmail/A 62141-2021 tillsynsbegäran mail.docx", "A 62141-2021")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46311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34986-2025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46311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Svart trolldruva
Spillkråka</t>
        </is>
      </c>
      <c r="W39">
        <f>HYPERLINK("https://klasma.github.io/Logging_0484/artfynd/A 34986-2025 artfynd.xlsx", "A 34986-2025")</f>
        <v/>
      </c>
      <c r="X39">
        <f>HYPERLINK("https://klasma.github.io/Logging_0484/kartor/A 34986-2025 karta.png", "A 34986-2025")</f>
        <v/>
      </c>
      <c r="Y39">
        <f>HYPERLINK("https://klasma.github.io/Logging_0484/kartor_geotiff/A 34986-2025 georefererad karta.tif", "A 34986-2025")</f>
        <v/>
      </c>
      <c r="AA39">
        <f>HYPERLINK("https://klasma.github.io/Logging_0484/klagomål/A 34986-2025 FSC-klagomål.docx", "A 34986-2025")</f>
        <v/>
      </c>
      <c r="AB39">
        <f>HYPERLINK("https://klasma.github.io/Logging_0484/klagomålsmail/A 34986-2025 FSC-klagomål mail.docx", "A 34986-2025")</f>
        <v/>
      </c>
      <c r="AC39">
        <f>HYPERLINK("https://klasma.github.io/Logging_0484/tillsyn/A 34986-2025 tillsynsbegäran.docx", "A 34986-2025")</f>
        <v/>
      </c>
      <c r="AD39">
        <f>HYPERLINK("https://klasma.github.io/Logging_0484/tillsynsmail/A 34986-2025 tillsynsbegäran mail.docx", "A 34986-2025")</f>
        <v/>
      </c>
      <c r="AE39">
        <f>HYPERLINK("https://klasma.github.io/Logging_0484/fåglar/A 34986-2025 prioriterade fågelarter.docx", "A 34986-2025")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46311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44664-2022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44840</v>
      </c>
      <c r="E41" s="1" t="n">
        <v>46311</v>
      </c>
      <c r="F41" t="inlineStr">
        <is>
          <t>SÖDERMANLANDS LÄN</t>
        </is>
      </c>
      <c r="G41" t="inlineStr">
        <is>
          <t>ESKILSTUNA</t>
        </is>
      </c>
      <c r="I41" t="n">
        <v>20.8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1</v>
      </c>
      <c r="V41" s="2" t="inlineStr">
        <is>
          <t>Knärot
Blåmossa</t>
        </is>
      </c>
      <c r="W41">
        <f>HYPERLINK("https://klasma.github.io/Logging_0484/artfynd/A 44664-2022 artfynd.xlsx", "A 44664-2022")</f>
        <v/>
      </c>
      <c r="X41">
        <f>HYPERLINK("https://klasma.github.io/Logging_0484/kartor/A 44664-2022 karta.png", "A 44664-2022")</f>
        <v/>
      </c>
      <c r="Y41">
        <f>HYPERLINK("https://klasma.github.io/Logging_0484/kartor_geotiff/A 44664-2022 georefererad karta.tif", "A 44664-2022")</f>
        <v/>
      </c>
      <c r="Z41">
        <f>HYPERLINK("https://klasma.github.io/Logging_0484/knärot/A 44664-2022 karta knärot.png", "A 44664-2022")</f>
        <v/>
      </c>
      <c r="AA41">
        <f>HYPERLINK("https://klasma.github.io/Logging_0484/klagomål/A 44664-2022 FSC-klagomål.docx", "A 44664-2022")</f>
        <v/>
      </c>
      <c r="AB41">
        <f>HYPERLINK("https://klasma.github.io/Logging_0484/klagomålsmail/A 44664-2022 FSC-klagomål mail.docx", "A 44664-2022")</f>
        <v/>
      </c>
      <c r="AC41">
        <f>HYPERLINK("https://klasma.github.io/Logging_0484/tillsyn/A 44664-2022 tillsynsbegäran.docx", "A 44664-2022")</f>
        <v/>
      </c>
      <c r="AD41">
        <f>HYPERLINK("https://klasma.github.io/Logging_0484/tillsynsmail/A 44664-2022 tillsynsbegäran mail.docx", "A 44664-2022")</f>
        <v/>
      </c>
    </row>
    <row r="42" ht="15" customHeight="1">
      <c r="A42" t="inlineStr">
        <is>
          <t>A 17362-2024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45414</v>
      </c>
      <c r="E42" s="1" t="n">
        <v>46311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3.4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 dropplav
Sotlav</t>
        </is>
      </c>
      <c r="W42">
        <f>HYPERLINK("https://klasma.github.io/Logging_0484/artfynd/A 17362-2024 artfynd.xlsx", "A 17362-2024")</f>
        <v/>
      </c>
      <c r="X42">
        <f>HYPERLINK("https://klasma.github.io/Logging_0484/kartor/A 17362-2024 karta.png", "A 17362-2024")</f>
        <v/>
      </c>
      <c r="Y42">
        <f>HYPERLINK("https://klasma.github.io/Logging_0484/kartor_geotiff/A 17362-2024 georefererad karta.tif", "A 17362-2024")</f>
        <v/>
      </c>
      <c r="AA42">
        <f>HYPERLINK("https://klasma.github.io/Logging_0484/klagomål/A 17362-2024 FSC-klagomål.docx", "A 17362-2024")</f>
        <v/>
      </c>
      <c r="AB42">
        <f>HYPERLINK("https://klasma.github.io/Logging_0484/klagomålsmail/A 17362-2024 FSC-klagomål mail.docx", "A 17362-2024")</f>
        <v/>
      </c>
      <c r="AC42">
        <f>HYPERLINK("https://klasma.github.io/Logging_0484/tillsyn/A 17362-2024 tillsynsbegäran.docx", "A 17362-2024")</f>
        <v/>
      </c>
      <c r="AD42">
        <f>HYPERLINK("https://klasma.github.io/Logging_0484/tillsynsmail/A 17362-2024 tillsynsbegäran mail.docx", "A 17362-2024")</f>
        <v/>
      </c>
    </row>
    <row r="43" ht="15" customHeight="1">
      <c r="A43" t="inlineStr">
        <is>
          <t>A 22760-2026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46157</v>
      </c>
      <c r="E43" s="1" t="n">
        <v>46311</v>
      </c>
      <c r="F43" t="inlineStr">
        <is>
          <t>SÖDERMANLANDS LÄN</t>
        </is>
      </c>
      <c r="G43" t="inlineStr">
        <is>
          <t>ESKILSTUNA</t>
        </is>
      </c>
      <c r="I43" t="n">
        <v>4.4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Solvända</t>
        </is>
      </c>
      <c r="W43">
        <f>HYPERLINK("https://klasma.github.io/Logging_0484/artfynd/A 22760-2026 artfynd.xlsx", "A 22760-2026")</f>
        <v/>
      </c>
      <c r="X43">
        <f>HYPERLINK("https://klasma.github.io/Logging_0484/kartor/A 22760-2026 karta.png", "A 22760-2026")</f>
        <v/>
      </c>
      <c r="Y43">
        <f>HYPERLINK("https://klasma.github.io/Logging_0484/kartor_geotiff/A 22760-2026 georefererad karta.tif", "A 22760-2026")</f>
        <v/>
      </c>
      <c r="AA43">
        <f>HYPERLINK("https://klasma.github.io/Logging_0484/klagomål/A 22760-2026 FSC-klagomål.docx", "A 22760-2026")</f>
        <v/>
      </c>
      <c r="AB43">
        <f>HYPERLINK("https://klasma.github.io/Logging_0484/klagomålsmail/A 22760-2026 FSC-klagomål mail.docx", "A 22760-2026")</f>
        <v/>
      </c>
      <c r="AC43">
        <f>HYPERLINK("https://klasma.github.io/Logging_0484/tillsyn/A 22760-2026 tillsynsbegäran.docx", "A 22760-2026")</f>
        <v/>
      </c>
      <c r="AD43">
        <f>HYPERLINK("https://klasma.github.io/Logging_0484/tillsynsmail/A 22760-2026 tillsynsbegäran mail.docx", "A 22760-2026")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46311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46311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46311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46311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61105-2025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46311</v>
      </c>
      <c r="F48" t="inlineStr">
        <is>
          <t>SÖDERMANLANDS LÄN</t>
        </is>
      </c>
      <c r="G48" t="inlineStr">
        <is>
          <t>ESKILSTUNA</t>
        </is>
      </c>
      <c r="H48" t="inlineStr">
        <is>
          <t>Allmännings- och besparingsskogar</t>
        </is>
      </c>
      <c r="I48" t="n">
        <v>1.1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Krusfrö
Tibast</t>
        </is>
      </c>
      <c r="W48">
        <f>HYPERLINK("https://klasma.github.io/Logging_0484/artfynd/A 61105-2025 artfynd.xlsx", "A 61105-2025")</f>
        <v/>
      </c>
      <c r="X48">
        <f>HYPERLINK("https://klasma.github.io/Logging_0484/kartor/A 61105-2025 karta.png", "A 61105-2025")</f>
        <v/>
      </c>
      <c r="Y48">
        <f>HYPERLINK("https://klasma.github.io/Logging_0484/kartor_geotiff/A 61105-2025 georefererad karta.tif", "A 61105-2025")</f>
        <v/>
      </c>
      <c r="AA48">
        <f>HYPERLINK("https://klasma.github.io/Logging_0484/klagomål/A 61105-2025 FSC-klagomål.docx", "A 61105-2025")</f>
        <v/>
      </c>
      <c r="AB48">
        <f>HYPERLINK("https://klasma.github.io/Logging_0484/klagomålsmail/A 61105-2025 FSC-klagomål mail.docx", "A 61105-2025")</f>
        <v/>
      </c>
      <c r="AC48">
        <f>HYPERLINK("https://klasma.github.io/Logging_0484/tillsyn/A 61105-2025 tillsynsbegäran.docx", "A 61105-2025")</f>
        <v/>
      </c>
      <c r="AD48">
        <f>HYPERLINK("https://klasma.github.io/Logging_0484/tillsynsmail/A 61105-2025 tillsynsbegäran mail.docx", "A 61105-2025")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46311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19494-2024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46311</v>
      </c>
      <c r="F50" t="inlineStr">
        <is>
          <t>SÖDERMANLANDS LÄN</t>
        </is>
      </c>
      <c r="G50" t="inlineStr">
        <is>
          <t>ESKILSTUNA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Svart trolldruva
Blåsippa</t>
        </is>
      </c>
      <c r="W50">
        <f>HYPERLINK("https://klasma.github.io/Logging_0484/artfynd/A 19494-2024 artfynd.xlsx", "A 19494-2024")</f>
        <v/>
      </c>
      <c r="X50">
        <f>HYPERLINK("https://klasma.github.io/Logging_0484/kartor/A 19494-2024 karta.png", "A 19494-2024")</f>
        <v/>
      </c>
      <c r="Y50">
        <f>HYPERLINK("https://klasma.github.io/Logging_0484/kartor_geotiff/A 19494-2024 georefererad karta.tif", "A 19494-2024")</f>
        <v/>
      </c>
      <c r="AA50">
        <f>HYPERLINK("https://klasma.github.io/Logging_0484/klagomål/A 19494-2024 FSC-klagomål.docx", "A 19494-2024")</f>
        <v/>
      </c>
      <c r="AB50">
        <f>HYPERLINK("https://klasma.github.io/Logging_0484/klagomålsmail/A 19494-2024 FSC-klagomål mail.docx", "A 19494-2024")</f>
        <v/>
      </c>
      <c r="AC50">
        <f>HYPERLINK("https://klasma.github.io/Logging_0484/tillsyn/A 19494-2024 tillsynsbegäran.docx", "A 19494-2024")</f>
        <v/>
      </c>
      <c r="AD50">
        <f>HYPERLINK("https://klasma.github.io/Logging_0484/tillsynsmail/A 19494-2024 tillsynsbegäran mail.docx", "A 19494-2024")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46311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A 63042-2025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46009</v>
      </c>
      <c r="E52" s="1" t="n">
        <v>46311</v>
      </c>
      <c r="F52" t="inlineStr">
        <is>
          <t>SÖDERMANLANDS LÄN</t>
        </is>
      </c>
      <c r="G52" t="inlineStr">
        <is>
          <t>ESKILSTUNA</t>
        </is>
      </c>
      <c r="I52" t="n">
        <v>1.4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Kungsfågel
Revlummer</t>
        </is>
      </c>
      <c r="W52">
        <f>HYPERLINK("https://klasma.github.io/Logging_0484/artfynd/A 63042-2025 artfynd.xlsx", "A 63042-2025")</f>
        <v/>
      </c>
      <c r="X52">
        <f>HYPERLINK("https://klasma.github.io/Logging_0484/kartor/A 63042-2025 karta.png", "A 63042-2025")</f>
        <v/>
      </c>
      <c r="Y52">
        <f>HYPERLINK("https://klasma.github.io/Logging_0484/kartor_geotiff/A 63042-2025 georefererad karta.tif", "A 63042-2025")</f>
        <v/>
      </c>
      <c r="AA52">
        <f>HYPERLINK("https://klasma.github.io/Logging_0484/klagomål/A 63042-2025 FSC-klagomål.docx", "A 63042-2025")</f>
        <v/>
      </c>
      <c r="AB52">
        <f>HYPERLINK("https://klasma.github.io/Logging_0484/klagomålsmail/A 63042-2025 FSC-klagomål mail.docx", "A 63042-2025")</f>
        <v/>
      </c>
      <c r="AC52">
        <f>HYPERLINK("https://klasma.github.io/Logging_0484/tillsyn/A 63042-2025 tillsynsbegäran.docx", "A 63042-2025")</f>
        <v/>
      </c>
      <c r="AD52">
        <f>HYPERLINK("https://klasma.github.io/Logging_0484/tillsynsmail/A 63042-2025 tillsynsbegäran mail.docx", "A 63042-2025")</f>
        <v/>
      </c>
    </row>
    <row r="53" ht="15" customHeight="1">
      <c r="A53" t="inlineStr">
        <is>
          <t>A 59822-2025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45992</v>
      </c>
      <c r="E53" s="1" t="n">
        <v>46311</v>
      </c>
      <c r="F53" t="inlineStr">
        <is>
          <t>SÖDERMANLANDS LÄN</t>
        </is>
      </c>
      <c r="G53" t="inlineStr">
        <is>
          <t>ESKILSTUNA</t>
        </is>
      </c>
      <c r="I53" t="n">
        <v>8.5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Stubbspretmossa
Timmerticka</t>
        </is>
      </c>
      <c r="W53">
        <f>HYPERLINK("https://klasma.github.io/Logging_0484/artfynd/A 59822-2025 artfynd.xlsx", "A 59822-2025")</f>
        <v/>
      </c>
      <c r="X53">
        <f>HYPERLINK("https://klasma.github.io/Logging_0484/kartor/A 59822-2025 karta.png", "A 59822-2025")</f>
        <v/>
      </c>
      <c r="Y53">
        <f>HYPERLINK("https://klasma.github.io/Logging_0484/kartor_geotiff/A 59822-2025 georefererad karta.tif", "A 59822-2025")</f>
        <v/>
      </c>
      <c r="AA53">
        <f>HYPERLINK("https://klasma.github.io/Logging_0484/klagomål/A 59822-2025 FSC-klagomål.docx", "A 59822-2025")</f>
        <v/>
      </c>
      <c r="AB53">
        <f>HYPERLINK("https://klasma.github.io/Logging_0484/klagomålsmail/A 59822-2025 FSC-klagomål mail.docx", "A 59822-2025")</f>
        <v/>
      </c>
      <c r="AC53">
        <f>HYPERLINK("https://klasma.github.io/Logging_0484/tillsyn/A 59822-2025 tillsynsbegäran.docx", "A 59822-2025")</f>
        <v/>
      </c>
      <c r="AD53">
        <f>HYPERLINK("https://klasma.github.io/Logging_0484/tillsynsmail/A 59822-2025 tillsynsbegäran mail.docx", "A 59822-2025")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46311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46311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46311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46311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46311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46311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46311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26148-2022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46311</v>
      </c>
      <c r="F61" t="inlineStr">
        <is>
          <t>SÖDERMANLANDS LÄN</t>
        </is>
      </c>
      <c r="G61" t="inlineStr">
        <is>
          <t>ESKILSTUNA</t>
        </is>
      </c>
      <c r="I61" t="n">
        <v>3.3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Rödvingetrast</t>
        </is>
      </c>
      <c r="W61">
        <f>HYPERLINK("https://klasma.github.io/Logging_0484/artfynd/A 26148-2022 artfynd.xlsx", "A 26148-2022")</f>
        <v/>
      </c>
      <c r="X61">
        <f>HYPERLINK("https://klasma.github.io/Logging_0484/kartor/A 26148-2022 karta.png", "A 26148-2022")</f>
        <v/>
      </c>
      <c r="Y61">
        <f>HYPERLINK("https://klasma.github.io/Logging_0484/kartor_geotiff/A 26148-2022 georefererad karta.tif", "A 26148-2022")</f>
        <v/>
      </c>
      <c r="AA61">
        <f>HYPERLINK("https://klasma.github.io/Logging_0484/klagomål/A 26148-2022 FSC-klagomål.docx", "A 26148-2022")</f>
        <v/>
      </c>
      <c r="AB61">
        <f>HYPERLINK("https://klasma.github.io/Logging_0484/klagomålsmail/A 26148-2022 FSC-klagomål mail.docx", "A 26148-2022")</f>
        <v/>
      </c>
      <c r="AC61">
        <f>HYPERLINK("https://klasma.github.io/Logging_0484/tillsyn/A 26148-2022 tillsynsbegäran.docx", "A 26148-2022")</f>
        <v/>
      </c>
      <c r="AD61">
        <f>HYPERLINK("https://klasma.github.io/Logging_0484/tillsynsmail/A 26148-2022 tillsynsbegäran mail.docx", "A 26148-2022")</f>
        <v/>
      </c>
      <c r="AE61">
        <f>HYPERLINK("https://klasma.github.io/Logging_0484/fåglar/A 26148-2022 prioriterade fågelarter.docx", "A 26148-2022")</f>
        <v/>
      </c>
    </row>
    <row r="62" ht="15" customHeight="1">
      <c r="A62" t="inlineStr">
        <is>
          <t>A 12984-2024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45385</v>
      </c>
      <c r="E62" s="1" t="n">
        <v>46311</v>
      </c>
      <c r="F62" t="inlineStr">
        <is>
          <t>SÖDERMANLANDS LÄN</t>
        </is>
      </c>
      <c r="G62" t="inlineStr">
        <is>
          <t>ESKILSTUNA</t>
        </is>
      </c>
      <c r="H62" t="inlineStr">
        <is>
          <t>Allmännings- och besparingsskogar</t>
        </is>
      </c>
      <c r="I62" t="n">
        <v>6.4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HYPERLINK("https://klasma.github.io/Logging_0484/artfynd/A 12984-2024 artfynd.xlsx", "A 12984-2024")</f>
        <v/>
      </c>
      <c r="X62">
        <f>HYPERLINK("https://klasma.github.io/Logging_0484/kartor/A 12984-2024 karta.png", "A 12984-2024")</f>
        <v/>
      </c>
      <c r="Y62">
        <f>HYPERLINK("https://klasma.github.io/Logging_0484/kartor_geotiff/A 12984-2024 georefererad karta.tif", "A 12984-2024")</f>
        <v/>
      </c>
      <c r="AA62">
        <f>HYPERLINK("https://klasma.github.io/Logging_0484/klagomål/A 12984-2024 FSC-klagomål.docx", "A 12984-2024")</f>
        <v/>
      </c>
      <c r="AB62">
        <f>HYPERLINK("https://klasma.github.io/Logging_0484/klagomålsmail/A 12984-2024 FSC-klagomål mail.docx", "A 12984-2024")</f>
        <v/>
      </c>
      <c r="AC62">
        <f>HYPERLINK("https://klasma.github.io/Logging_0484/tillsyn/A 12984-2024 tillsynsbegäran.docx", "A 12984-2024")</f>
        <v/>
      </c>
      <c r="AD62">
        <f>HYPERLINK("https://klasma.github.io/Logging_0484/tillsynsmail/A 12984-2024 tillsynsbegäran mail.docx", "A 12984-2024")</f>
        <v/>
      </c>
    </row>
    <row r="63" ht="15" customHeight="1">
      <c r="A63" t="inlineStr">
        <is>
          <t>A 53399-2023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46311</v>
      </c>
      <c r="F63" t="inlineStr">
        <is>
          <t>SÖDERMANLANDS LÄN</t>
        </is>
      </c>
      <c r="G63" t="inlineStr">
        <is>
          <t>ESKILSTUNA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HYPERLINK("https://klasma.github.io/Logging_0484/artfynd/A 53399-2023 artfynd.xlsx", "A 53399-2023")</f>
        <v/>
      </c>
      <c r="X63">
        <f>HYPERLINK("https://klasma.github.io/Logging_0484/kartor/A 53399-2023 karta.png", "A 53399-2023")</f>
        <v/>
      </c>
      <c r="Y63">
        <f>HYPERLINK("https://klasma.github.io/Logging_0484/kartor_geotiff/A 53399-2023 georefererad karta.tif", "A 53399-2023")</f>
        <v/>
      </c>
      <c r="AA63">
        <f>HYPERLINK("https://klasma.github.io/Logging_0484/klagomål/A 53399-2023 FSC-klagomål.docx", "A 53399-2023")</f>
        <v/>
      </c>
      <c r="AB63">
        <f>HYPERLINK("https://klasma.github.io/Logging_0484/klagomålsmail/A 53399-2023 FSC-klagomål mail.docx", "A 53399-2023")</f>
        <v/>
      </c>
      <c r="AC63">
        <f>HYPERLINK("https://klasma.github.io/Logging_0484/tillsyn/A 53399-2023 tillsynsbegäran.docx", "A 53399-2023")</f>
        <v/>
      </c>
      <c r="AD63">
        <f>HYPERLINK("https://klasma.github.io/Logging_0484/tillsynsmail/A 53399-2023 tillsynsbegäran mail.docx", "A 53399-2023")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46311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59070-2022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44904</v>
      </c>
      <c r="E65" s="1" t="n">
        <v>46311</v>
      </c>
      <c r="F65" t="inlineStr">
        <is>
          <t>SÖDERMANLANDS LÄN</t>
        </is>
      </c>
      <c r="G65" t="inlineStr">
        <is>
          <t>ESKILSTUNA</t>
        </is>
      </c>
      <c r="I65" t="n">
        <v>6.6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Igelkott</t>
        </is>
      </c>
      <c r="W65">
        <f>HYPERLINK("https://klasma.github.io/Logging_0484/artfynd/A 59070-2022 artfynd.xlsx", "A 59070-2022")</f>
        <v/>
      </c>
      <c r="X65">
        <f>HYPERLINK("https://klasma.github.io/Logging_0484/kartor/A 59070-2022 karta.png", "A 59070-2022")</f>
        <v/>
      </c>
      <c r="Y65">
        <f>HYPERLINK("https://klasma.github.io/Logging_0484/kartor_geotiff/A 59070-2022 georefererad karta.tif", "A 59070-2022")</f>
        <v/>
      </c>
      <c r="AA65">
        <f>HYPERLINK("https://klasma.github.io/Logging_0484/klagomål/A 59070-2022 FSC-klagomål.docx", "A 59070-2022")</f>
        <v/>
      </c>
      <c r="AB65">
        <f>HYPERLINK("https://klasma.github.io/Logging_0484/klagomålsmail/A 59070-2022 FSC-klagomål mail.docx", "A 59070-2022")</f>
        <v/>
      </c>
      <c r="AC65">
        <f>HYPERLINK("https://klasma.github.io/Logging_0484/tillsyn/A 59070-2022 tillsynsbegäran.docx", "A 59070-2022")</f>
        <v/>
      </c>
      <c r="AD65">
        <f>HYPERLINK("https://klasma.github.io/Logging_0484/tillsynsmail/A 59070-2022 tillsynsbegäran mail.docx", "A 59070-2022")</f>
        <v/>
      </c>
    </row>
    <row r="66" ht="15" customHeight="1">
      <c r="A66" t="inlineStr">
        <is>
          <t>A 43547-2022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46311</v>
      </c>
      <c r="F66" t="inlineStr">
        <is>
          <t>SÖDERMANLANDS LÄN</t>
        </is>
      </c>
      <c r="G66" t="inlineStr">
        <is>
          <t>ESKILSTUNA</t>
        </is>
      </c>
      <c r="I66" t="n">
        <v>3.2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HYPERLINK("https://klasma.github.io/Logging_0484/artfynd/A 43547-2022 artfynd.xlsx", "A 43547-2022")</f>
        <v/>
      </c>
      <c r="X66">
        <f>HYPERLINK("https://klasma.github.io/Logging_0484/kartor/A 43547-2022 karta.png", "A 43547-2022")</f>
        <v/>
      </c>
      <c r="Y66">
        <f>HYPERLINK("https://klasma.github.io/Logging_0484/kartor_geotiff/A 43547-2022 georefererad karta.tif", "A 43547-2022")</f>
        <v/>
      </c>
      <c r="Z66">
        <f>HYPERLINK("https://klasma.github.io/Logging_0484/knärot/A 43547-2022 karta knärot.png", "A 43547-2022")</f>
        <v/>
      </c>
      <c r="AA66">
        <f>HYPERLINK("https://klasma.github.io/Logging_0484/klagomål/A 43547-2022 FSC-klagomål.docx", "A 43547-2022")</f>
        <v/>
      </c>
      <c r="AB66">
        <f>HYPERLINK("https://klasma.github.io/Logging_0484/klagomålsmail/A 43547-2022 FSC-klagomål mail.docx", "A 43547-2022")</f>
        <v/>
      </c>
      <c r="AC66">
        <f>HYPERLINK("https://klasma.github.io/Logging_0484/tillsyn/A 43547-2022 tillsynsbegäran.docx", "A 43547-2022")</f>
        <v/>
      </c>
      <c r="AD66">
        <f>HYPERLINK("https://klasma.github.io/Logging_0484/tillsynsmail/A 43547-2022 tillsynsbegäran mail.docx", "A 43547-2022")</f>
        <v/>
      </c>
    </row>
    <row r="67" ht="15" customHeight="1">
      <c r="A67" t="inlineStr">
        <is>
          <t>A 47648-2022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46311</v>
      </c>
      <c r="F67" t="inlineStr">
        <is>
          <t>SÖDERMANLANDS LÄN</t>
        </is>
      </c>
      <c r="G67" t="inlineStr">
        <is>
          <t>ESKILSTUNA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Grönsångare</t>
        </is>
      </c>
      <c r="W67">
        <f>HYPERLINK("https://klasma.github.io/Logging_0484/artfynd/A 47648-2022 artfynd.xlsx", "A 47648-2022")</f>
        <v/>
      </c>
      <c r="X67">
        <f>HYPERLINK("https://klasma.github.io/Logging_0484/kartor/A 47648-2022 karta.png", "A 47648-2022")</f>
        <v/>
      </c>
      <c r="Y67">
        <f>HYPERLINK("https://klasma.github.io/Logging_0484/kartor_geotiff/A 47648-2022 georefererad karta.tif", "A 47648-2022")</f>
        <v/>
      </c>
      <c r="AA67">
        <f>HYPERLINK("https://klasma.github.io/Logging_0484/klagomål/A 47648-2022 FSC-klagomål.docx", "A 47648-2022")</f>
        <v/>
      </c>
      <c r="AB67">
        <f>HYPERLINK("https://klasma.github.io/Logging_0484/klagomålsmail/A 47648-2022 FSC-klagomål mail.docx", "A 47648-2022")</f>
        <v/>
      </c>
      <c r="AC67">
        <f>HYPERLINK("https://klasma.github.io/Logging_0484/tillsyn/A 47648-2022 tillsynsbegäran.docx", "A 47648-2022")</f>
        <v/>
      </c>
      <c r="AD67">
        <f>HYPERLINK("https://klasma.github.io/Logging_0484/tillsynsmail/A 47648-2022 tillsynsbegäran mail.docx", "A 47648-2022")</f>
        <v/>
      </c>
      <c r="AE67">
        <f>HYPERLINK("https://klasma.github.io/Logging_0484/fåglar/A 47648-2022 prioriterade fågelarter.docx", "A 47648-2022")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46311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9645-2023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46311</v>
      </c>
      <c r="F69" t="inlineStr">
        <is>
          <t>SÖDERMANLANDS LÄN</t>
        </is>
      </c>
      <c r="G69" t="inlineStr">
        <is>
          <t>ESKILSTUNA</t>
        </is>
      </c>
      <c r="I69" t="n">
        <v>2.3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Skogsduva</t>
        </is>
      </c>
      <c r="W69">
        <f>HYPERLINK("https://klasma.github.io/Logging_0484/artfynd/A 9645-2023 artfynd.xlsx", "A 9645-2023")</f>
        <v/>
      </c>
      <c r="X69">
        <f>HYPERLINK("https://klasma.github.io/Logging_0484/kartor/A 9645-2023 karta.png", "A 9645-2023")</f>
        <v/>
      </c>
      <c r="Y69">
        <f>HYPERLINK("https://klasma.github.io/Logging_0484/kartor_geotiff/A 9645-2023 georefererad karta.tif", "A 9645-2023")</f>
        <v/>
      </c>
      <c r="AA69">
        <f>HYPERLINK("https://klasma.github.io/Logging_0484/klagomål/A 9645-2023 FSC-klagomål.docx", "A 9645-2023")</f>
        <v/>
      </c>
      <c r="AB69">
        <f>HYPERLINK("https://klasma.github.io/Logging_0484/klagomålsmail/A 9645-2023 FSC-klagomål mail.docx", "A 9645-2023")</f>
        <v/>
      </c>
      <c r="AC69">
        <f>HYPERLINK("https://klasma.github.io/Logging_0484/tillsyn/A 9645-2023 tillsynsbegäran.docx", "A 9645-2023")</f>
        <v/>
      </c>
      <c r="AD69">
        <f>HYPERLINK("https://klasma.github.io/Logging_0484/tillsynsmail/A 9645-2023 tillsynsbegäran mail.docx", "A 9645-2023")</f>
        <v/>
      </c>
    </row>
    <row r="70" ht="15" customHeight="1">
      <c r="A70" t="inlineStr">
        <is>
          <t>A 15608-2026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46311</v>
      </c>
      <c r="F70" t="inlineStr">
        <is>
          <t>SÖDERMANLANDS LÄN</t>
        </is>
      </c>
      <c r="G70" t="inlineStr">
        <is>
          <t>ESKILSTUNA</t>
        </is>
      </c>
      <c r="I70" t="n">
        <v>9.6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15608-2026 artfynd.xlsx", "A 15608-2026")</f>
        <v/>
      </c>
      <c r="X70">
        <f>HYPERLINK("https://klasma.github.io/Logging_0484/kartor/A 15608-2026 karta.png", "A 15608-2026")</f>
        <v/>
      </c>
      <c r="Y70">
        <f>HYPERLINK("https://klasma.github.io/Logging_0484/kartor_geotiff/A 15608-2026 georefererad karta.tif", "A 15608-2026")</f>
        <v/>
      </c>
      <c r="AA70">
        <f>HYPERLINK("https://klasma.github.io/Logging_0484/klagomål/A 15608-2026 FSC-klagomål.docx", "A 15608-2026")</f>
        <v/>
      </c>
      <c r="AB70">
        <f>HYPERLINK("https://klasma.github.io/Logging_0484/klagomålsmail/A 15608-2026 FSC-klagomål mail.docx", "A 15608-2026")</f>
        <v/>
      </c>
      <c r="AC70">
        <f>HYPERLINK("https://klasma.github.io/Logging_0484/tillsyn/A 15608-2026 tillsynsbegäran.docx", "A 15608-2026")</f>
        <v/>
      </c>
      <c r="AD70">
        <f>HYPERLINK("https://klasma.github.io/Logging_0484/tillsynsmail/A 15608-2026 tillsynsbegäran mail.docx", "A 15608-2026")</f>
        <v/>
      </c>
    </row>
    <row r="71" ht="15" customHeight="1">
      <c r="A71" t="inlineStr">
        <is>
          <t>A 68018-2021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46311</v>
      </c>
      <c r="F71" t="inlineStr">
        <is>
          <t>SÖDERMANLANDS LÄN</t>
        </is>
      </c>
      <c r="G71" t="inlineStr">
        <is>
          <t>ESKILSTUNA</t>
        </is>
      </c>
      <c r="I71" t="n">
        <v>0.8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Motaggsvamp</t>
        </is>
      </c>
      <c r="W71">
        <f>HYPERLINK("https://klasma.github.io/Logging_0484/artfynd/A 68018-2021 artfynd.xlsx", "A 68018-2021")</f>
        <v/>
      </c>
      <c r="X71">
        <f>HYPERLINK("https://klasma.github.io/Logging_0484/kartor/A 68018-2021 karta.png", "A 68018-2021")</f>
        <v/>
      </c>
      <c r="Y71">
        <f>HYPERLINK("https://klasma.github.io/Logging_0484/kartor_geotiff/A 68018-2021 georefererad karta.tif", "A 68018-2021")</f>
        <v/>
      </c>
      <c r="AA71">
        <f>HYPERLINK("https://klasma.github.io/Logging_0484/klagomål/A 68018-2021 FSC-klagomål.docx", "A 68018-2021")</f>
        <v/>
      </c>
      <c r="AB71">
        <f>HYPERLINK("https://klasma.github.io/Logging_0484/klagomålsmail/A 68018-2021 FSC-klagomål mail.docx", "A 68018-2021")</f>
        <v/>
      </c>
      <c r="AC71">
        <f>HYPERLINK("https://klasma.github.io/Logging_0484/tillsyn/A 68018-2021 tillsynsbegäran.docx", "A 68018-2021")</f>
        <v/>
      </c>
      <c r="AD71">
        <f>HYPERLINK("https://klasma.github.io/Logging_0484/tillsynsmail/A 68018-2021 tillsynsbegäran mail.docx", "A 68018-2021")</f>
        <v/>
      </c>
    </row>
    <row r="72" ht="15" customHeight="1">
      <c r="A72" t="inlineStr">
        <is>
          <t>A 5203-2025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45691</v>
      </c>
      <c r="E72" s="1" t="n">
        <v>46311</v>
      </c>
      <c r="F72" t="inlineStr">
        <is>
          <t>SÖDERMANLANDS LÄN</t>
        </is>
      </c>
      <c r="G72" t="inlineStr">
        <is>
          <t>ESKILSTUNA</t>
        </is>
      </c>
      <c r="H72" t="inlineStr">
        <is>
          <t>Holmen skog AB</t>
        </is>
      </c>
      <c r="I72" t="n">
        <v>2.5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Nattskärra</t>
        </is>
      </c>
      <c r="W72">
        <f>HYPERLINK("https://klasma.github.io/Logging_0484/artfynd/A 5203-2025 artfynd.xlsx", "A 5203-2025")</f>
        <v/>
      </c>
      <c r="X72">
        <f>HYPERLINK("https://klasma.github.io/Logging_0484/kartor/A 5203-2025 karta.png", "A 5203-2025")</f>
        <v/>
      </c>
      <c r="Y72">
        <f>HYPERLINK("https://klasma.github.io/Logging_0484/kartor_geotiff/A 5203-2025 georefererad karta.tif", "A 5203-2025")</f>
        <v/>
      </c>
      <c r="AA72">
        <f>HYPERLINK("https://klasma.github.io/Logging_0484/klagomål/A 5203-2025 FSC-klagomål.docx", "A 5203-2025")</f>
        <v/>
      </c>
      <c r="AB72">
        <f>HYPERLINK("https://klasma.github.io/Logging_0484/klagomålsmail/A 5203-2025 FSC-klagomål mail.docx", "A 5203-2025")</f>
        <v/>
      </c>
      <c r="AC72">
        <f>HYPERLINK("https://klasma.github.io/Logging_0484/tillsyn/A 5203-2025 tillsynsbegäran.docx", "A 5203-2025")</f>
        <v/>
      </c>
      <c r="AD72">
        <f>HYPERLINK("https://klasma.github.io/Logging_0484/tillsynsmail/A 5203-2025 tillsynsbegäran mail.docx", "A 5203-2025")</f>
        <v/>
      </c>
      <c r="AE72">
        <f>HYPERLINK("https://klasma.github.io/Logging_0484/fåglar/A 5203-2025 prioriterade fågelarter.docx", "A 5203-2025")</f>
        <v/>
      </c>
    </row>
    <row r="73" ht="15" customHeight="1">
      <c r="A73" t="inlineStr">
        <is>
          <t>A 51345-2024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45603</v>
      </c>
      <c r="E73" s="1" t="n">
        <v>46311</v>
      </c>
      <c r="F73" t="inlineStr">
        <is>
          <t>SÖDERMANLANDS LÄN</t>
        </is>
      </c>
      <c r="G73" t="inlineStr">
        <is>
          <t>ESKILSTUNA</t>
        </is>
      </c>
      <c r="I73" t="n">
        <v>4.9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Revlummer</t>
        </is>
      </c>
      <c r="W73">
        <f>HYPERLINK("https://klasma.github.io/Logging_0484/artfynd/A 51345-2024 artfynd.xlsx", "A 51345-2024")</f>
        <v/>
      </c>
      <c r="X73">
        <f>HYPERLINK("https://klasma.github.io/Logging_0484/kartor/A 51345-2024 karta.png", "A 51345-2024")</f>
        <v/>
      </c>
      <c r="Y73">
        <f>HYPERLINK("https://klasma.github.io/Logging_0484/kartor_geotiff/A 51345-2024 georefererad karta.tif", "A 51345-2024")</f>
        <v/>
      </c>
      <c r="AA73">
        <f>HYPERLINK("https://klasma.github.io/Logging_0484/klagomål/A 51345-2024 FSC-klagomål.docx", "A 51345-2024")</f>
        <v/>
      </c>
      <c r="AB73">
        <f>HYPERLINK("https://klasma.github.io/Logging_0484/klagomålsmail/A 51345-2024 FSC-klagomål mail.docx", "A 51345-2024")</f>
        <v/>
      </c>
      <c r="AC73">
        <f>HYPERLINK("https://klasma.github.io/Logging_0484/tillsyn/A 51345-2024 tillsynsbegäran.docx", "A 51345-2024")</f>
        <v/>
      </c>
      <c r="AD73">
        <f>HYPERLINK("https://klasma.github.io/Logging_0484/tillsynsmail/A 51345-2024 tillsynsbegäran mail.docx", "A 51345-2024")</f>
        <v/>
      </c>
    </row>
    <row r="74" ht="15" customHeight="1">
      <c r="A74" t="inlineStr">
        <is>
          <t>A 29647-2023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45107</v>
      </c>
      <c r="E74" s="1" t="n">
        <v>46311</v>
      </c>
      <c r="F74" t="inlineStr">
        <is>
          <t>SÖDERMANLANDS LÄN</t>
        </is>
      </c>
      <c r="G74" t="inlineStr">
        <is>
          <t>ESKILSTUNA</t>
        </is>
      </c>
      <c r="H74" t="inlineStr">
        <is>
          <t>Allmännings- och besparingsskogar</t>
        </is>
      </c>
      <c r="I74" t="n">
        <v>0.9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Rödvingetrast</t>
        </is>
      </c>
      <c r="W74">
        <f>HYPERLINK("https://klasma.github.io/Logging_0484/artfynd/A 29647-2023 artfynd.xlsx", "A 29647-2023")</f>
        <v/>
      </c>
      <c r="X74">
        <f>HYPERLINK("https://klasma.github.io/Logging_0484/kartor/A 29647-2023 karta.png", "A 29647-2023")</f>
        <v/>
      </c>
      <c r="Y74">
        <f>HYPERLINK("https://klasma.github.io/Logging_0484/kartor_geotiff/A 29647-2023 georefererad karta.tif", "A 29647-2023")</f>
        <v/>
      </c>
      <c r="AA74">
        <f>HYPERLINK("https://klasma.github.io/Logging_0484/klagomål/A 29647-2023 FSC-klagomål.docx", "A 29647-2023")</f>
        <v/>
      </c>
      <c r="AB74">
        <f>HYPERLINK("https://klasma.github.io/Logging_0484/klagomålsmail/A 29647-2023 FSC-klagomål mail.docx", "A 29647-2023")</f>
        <v/>
      </c>
      <c r="AC74">
        <f>HYPERLINK("https://klasma.github.io/Logging_0484/tillsyn/A 29647-2023 tillsynsbegäran.docx", "A 29647-2023")</f>
        <v/>
      </c>
      <c r="AD74">
        <f>HYPERLINK("https://klasma.github.io/Logging_0484/tillsynsmail/A 29647-2023 tillsynsbegäran mail.docx", "A 29647-2023")</f>
        <v/>
      </c>
      <c r="AE74">
        <f>HYPERLINK("https://klasma.github.io/Logging_0484/fåglar/A 29647-2023 prioriterade fågelarter.docx", "A 29647-2023")</f>
        <v/>
      </c>
    </row>
    <row r="75" ht="15" customHeight="1">
      <c r="A75" t="inlineStr">
        <is>
          <t>A 30975-2023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46311</v>
      </c>
      <c r="F75" t="inlineStr">
        <is>
          <t>SÖDERMANLANDS LÄN</t>
        </is>
      </c>
      <c r="G75" t="inlineStr">
        <is>
          <t>ESKILSTUNA</t>
        </is>
      </c>
      <c r="I75" t="n">
        <v>0.9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Bombmurkla</t>
        </is>
      </c>
      <c r="W75">
        <f>HYPERLINK("https://klasma.github.io/Logging_0484/artfynd/A 30975-2023 artfynd.xlsx", "A 30975-2023")</f>
        <v/>
      </c>
      <c r="X75">
        <f>HYPERLINK("https://klasma.github.io/Logging_0484/kartor/A 30975-2023 karta.png", "A 30975-2023")</f>
        <v/>
      </c>
      <c r="Y75">
        <f>HYPERLINK("https://klasma.github.io/Logging_0484/kartor_geotiff/A 30975-2023 georefererad karta.tif", "A 30975-2023")</f>
        <v/>
      </c>
      <c r="AA75">
        <f>HYPERLINK("https://klasma.github.io/Logging_0484/klagomål/A 30975-2023 FSC-klagomål.docx", "A 30975-2023")</f>
        <v/>
      </c>
      <c r="AB75">
        <f>HYPERLINK("https://klasma.github.io/Logging_0484/klagomålsmail/A 30975-2023 FSC-klagomål mail.docx", "A 30975-2023")</f>
        <v/>
      </c>
      <c r="AC75">
        <f>HYPERLINK("https://klasma.github.io/Logging_0484/tillsyn/A 30975-2023 tillsynsbegäran.docx", "A 30975-2023")</f>
        <v/>
      </c>
      <c r="AD75">
        <f>HYPERLINK("https://klasma.github.io/Logging_0484/tillsynsmail/A 30975-2023 tillsynsbegäran mail.docx", "A 30975-2023")</f>
        <v/>
      </c>
    </row>
    <row r="76" ht="15" customHeight="1">
      <c r="A76" t="inlineStr">
        <is>
          <t>A 50760-2023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45217</v>
      </c>
      <c r="E76" s="1" t="n">
        <v>46311</v>
      </c>
      <c r="F76" t="inlineStr">
        <is>
          <t>SÖDERMANLANDS LÄN</t>
        </is>
      </c>
      <c r="G76" t="inlineStr">
        <is>
          <t>ESKILSTUNA</t>
        </is>
      </c>
      <c r="I76" t="n">
        <v>4.1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Pärluggla</t>
        </is>
      </c>
      <c r="W76">
        <f>HYPERLINK("https://klasma.github.io/Logging_0484/artfynd/A 50760-2023 artfynd.xlsx", "A 50760-2023")</f>
        <v/>
      </c>
      <c r="X76">
        <f>HYPERLINK("https://klasma.github.io/Logging_0484/kartor/A 50760-2023 karta.png", "A 50760-2023")</f>
        <v/>
      </c>
      <c r="Y76">
        <f>HYPERLINK("https://klasma.github.io/Logging_0484/kartor_geotiff/A 50760-2023 georefererad karta.tif", "A 50760-2023")</f>
        <v/>
      </c>
      <c r="AA76">
        <f>HYPERLINK("https://klasma.github.io/Logging_0484/klagomål/A 50760-2023 FSC-klagomål.docx", "A 50760-2023")</f>
        <v/>
      </c>
      <c r="AB76">
        <f>HYPERLINK("https://klasma.github.io/Logging_0484/klagomålsmail/A 50760-2023 FSC-klagomål mail.docx", "A 50760-2023")</f>
        <v/>
      </c>
      <c r="AC76">
        <f>HYPERLINK("https://klasma.github.io/Logging_0484/tillsyn/A 50760-2023 tillsynsbegäran.docx", "A 50760-2023")</f>
        <v/>
      </c>
      <c r="AD76">
        <f>HYPERLINK("https://klasma.github.io/Logging_0484/tillsynsmail/A 50760-2023 tillsynsbegäran mail.docx", "A 50760-2023")</f>
        <v/>
      </c>
      <c r="AE76">
        <f>HYPERLINK("https://klasma.github.io/Logging_0484/fåglar/A 50760-2023 prioriterade fågelarter.docx", "A 50760-2023")</f>
        <v/>
      </c>
    </row>
    <row r="77" ht="15" customHeight="1">
      <c r="A77" t="inlineStr">
        <is>
          <t>A 55087-2022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44886</v>
      </c>
      <c r="E77" s="1" t="n">
        <v>46311</v>
      </c>
      <c r="F77" t="inlineStr">
        <is>
          <t>SÖDERMANLANDS LÄN</t>
        </is>
      </c>
      <c r="G77" t="inlineStr">
        <is>
          <t>ESKILSTUNA</t>
        </is>
      </c>
      <c r="I77" t="n">
        <v>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HYPERLINK("https://klasma.github.io/Logging_0484/artfynd/A 55087-2022 artfynd.xlsx", "A 55087-2022")</f>
        <v/>
      </c>
      <c r="X77">
        <f>HYPERLINK("https://klasma.github.io/Logging_0484/kartor/A 55087-2022 karta.png", "A 55087-2022")</f>
        <v/>
      </c>
      <c r="Y77">
        <f>HYPERLINK("https://klasma.github.io/Logging_0484/kartor_geotiff/A 55087-2022 georefererad karta.tif", "A 55087-2022")</f>
        <v/>
      </c>
      <c r="AA77">
        <f>HYPERLINK("https://klasma.github.io/Logging_0484/klagomål/A 55087-2022 FSC-klagomål.docx", "A 55087-2022")</f>
        <v/>
      </c>
      <c r="AB77">
        <f>HYPERLINK("https://klasma.github.io/Logging_0484/klagomålsmail/A 55087-2022 FSC-klagomål mail.docx", "A 55087-2022")</f>
        <v/>
      </c>
      <c r="AC77">
        <f>HYPERLINK("https://klasma.github.io/Logging_0484/tillsyn/A 55087-2022 tillsynsbegäran.docx", "A 55087-2022")</f>
        <v/>
      </c>
      <c r="AD77">
        <f>HYPERLINK("https://klasma.github.io/Logging_0484/tillsynsmail/A 55087-2022 tillsynsbegäran mail.docx", "A 55087-2022")</f>
        <v/>
      </c>
      <c r="AE77">
        <f>HYPERLINK("https://klasma.github.io/Logging_0484/fåglar/A 55087-2022 prioriterade fågelarter.docx", "A 55087-2022")</f>
        <v/>
      </c>
    </row>
    <row r="78" ht="15" customHeight="1">
      <c r="A78" t="inlineStr">
        <is>
          <t>A 71976-2021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44544</v>
      </c>
      <c r="E78" s="1" t="n">
        <v>46311</v>
      </c>
      <c r="F78" t="inlineStr">
        <is>
          <t>SÖDERMANLANDS LÄN</t>
        </is>
      </c>
      <c r="G78" t="inlineStr">
        <is>
          <t>ESKILSTUNA</t>
        </is>
      </c>
      <c r="I78" t="n">
        <v>19.6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Jungfrulin</t>
        </is>
      </c>
      <c r="W78">
        <f>HYPERLINK("https://klasma.github.io/Logging_0484/artfynd/A 71976-2021 artfynd.xlsx", "A 71976-2021")</f>
        <v/>
      </c>
      <c r="X78">
        <f>HYPERLINK("https://klasma.github.io/Logging_0484/kartor/A 71976-2021 karta.png", "A 71976-2021")</f>
        <v/>
      </c>
      <c r="Y78">
        <f>HYPERLINK("https://klasma.github.io/Logging_0484/kartor_geotiff/A 71976-2021 georefererad karta.tif", "A 71976-2021")</f>
        <v/>
      </c>
      <c r="AA78">
        <f>HYPERLINK("https://klasma.github.io/Logging_0484/klagomål/A 71976-2021 FSC-klagomål.docx", "A 71976-2021")</f>
        <v/>
      </c>
      <c r="AB78">
        <f>HYPERLINK("https://klasma.github.io/Logging_0484/klagomålsmail/A 71976-2021 FSC-klagomål mail.docx", "A 71976-2021")</f>
        <v/>
      </c>
      <c r="AC78">
        <f>HYPERLINK("https://klasma.github.io/Logging_0484/tillsyn/A 71976-2021 tillsynsbegäran.docx", "A 71976-2021")</f>
        <v/>
      </c>
      <c r="AD78">
        <f>HYPERLINK("https://klasma.github.io/Logging_0484/tillsynsmail/A 71976-2021 tillsynsbegäran mail.docx", "A 71976-2021")</f>
        <v/>
      </c>
    </row>
    <row r="79" ht="15" customHeight="1">
      <c r="A79" t="inlineStr">
        <is>
          <t>A 67047-2021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44522</v>
      </c>
      <c r="E79" s="1" t="n">
        <v>46311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Kyrkan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HYPERLINK("https://klasma.github.io/Logging_0484/artfynd/A 67047-2021 artfynd.xlsx", "A 67047-2021")</f>
        <v/>
      </c>
      <c r="X79">
        <f>HYPERLINK("https://klasma.github.io/Logging_0484/kartor/A 67047-2021 karta.png", "A 67047-2021")</f>
        <v/>
      </c>
      <c r="Y79">
        <f>HYPERLINK("https://klasma.github.io/Logging_0484/kartor_geotiff/A 67047-2021 georefererad karta.tif", "A 67047-2021")</f>
        <v/>
      </c>
      <c r="AA79">
        <f>HYPERLINK("https://klasma.github.io/Logging_0484/klagomål/A 67047-2021 FSC-klagomål.docx", "A 67047-2021")</f>
        <v/>
      </c>
      <c r="AB79">
        <f>HYPERLINK("https://klasma.github.io/Logging_0484/klagomålsmail/A 67047-2021 FSC-klagomål mail.docx", "A 67047-2021")</f>
        <v/>
      </c>
      <c r="AC79">
        <f>HYPERLINK("https://klasma.github.io/Logging_0484/tillsyn/A 67047-2021 tillsynsbegäran.docx", "A 67047-2021")</f>
        <v/>
      </c>
      <c r="AD79">
        <f>HYPERLINK("https://klasma.github.io/Logging_0484/tillsynsmail/A 67047-2021 tillsynsbegäran mail.docx", "A 67047-2021")</f>
        <v/>
      </c>
    </row>
    <row r="80" ht="15" customHeight="1">
      <c r="A80" t="inlineStr">
        <is>
          <t>A 38361-2024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45545</v>
      </c>
      <c r="E80" s="1" t="n">
        <v>46311</v>
      </c>
      <c r="F80" t="inlineStr">
        <is>
          <t>SÖDERMANLANDS LÄN</t>
        </is>
      </c>
      <c r="G80" t="inlineStr">
        <is>
          <t>ESKILSTUNA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HYPERLINK("https://klasma.github.io/Logging_0484/artfynd/A 38361-2024 artfynd.xlsx", "A 38361-2024")</f>
        <v/>
      </c>
      <c r="X80">
        <f>HYPERLINK("https://klasma.github.io/Logging_0484/kartor/A 38361-2024 karta.png", "A 38361-2024")</f>
        <v/>
      </c>
      <c r="Y80">
        <f>HYPERLINK("https://klasma.github.io/Logging_0484/kartor_geotiff/A 38361-2024 georefererad karta.tif", "A 38361-2024")</f>
        <v/>
      </c>
      <c r="AA80">
        <f>HYPERLINK("https://klasma.github.io/Logging_0484/klagomål/A 38361-2024 FSC-klagomål.docx", "A 38361-2024")</f>
        <v/>
      </c>
      <c r="AB80">
        <f>HYPERLINK("https://klasma.github.io/Logging_0484/klagomålsmail/A 38361-2024 FSC-klagomål mail.docx", "A 38361-2024")</f>
        <v/>
      </c>
      <c r="AC80">
        <f>HYPERLINK("https://klasma.github.io/Logging_0484/tillsyn/A 38361-2024 tillsynsbegäran.docx", "A 38361-2024")</f>
        <v/>
      </c>
      <c r="AD80">
        <f>HYPERLINK("https://klasma.github.io/Logging_0484/tillsynsmail/A 38361-2024 tillsynsbegäran mail.docx", "A 38361-2024")</f>
        <v/>
      </c>
      <c r="AE80">
        <f>HYPERLINK("https://klasma.github.io/Logging_0484/fåglar/A 38361-2024 prioriterade fågelarter.docx", "A 38361-2024")</f>
        <v/>
      </c>
    </row>
    <row r="81" ht="15" customHeight="1">
      <c r="A81" t="inlineStr">
        <is>
          <t>A 26097-2026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46311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HYPERLINK("https://klasma.github.io/Logging_0484/artfynd/A 26097-2026 artfynd.xlsx", "A 26097-2026")</f>
        <v/>
      </c>
      <c r="X81">
        <f>HYPERLINK("https://klasma.github.io/Logging_0484/kartor/A 26097-2026 karta.png", "A 26097-2026")</f>
        <v/>
      </c>
      <c r="Y81">
        <f>HYPERLINK("https://klasma.github.io/Logging_0484/kartor_geotiff/A 26097-2026 georefererad karta.tif", "A 26097-2026")</f>
        <v/>
      </c>
      <c r="AA81">
        <f>HYPERLINK("https://klasma.github.io/Logging_0484/klagomål/A 26097-2026 FSC-klagomål.docx", "A 26097-2026")</f>
        <v/>
      </c>
      <c r="AB81">
        <f>HYPERLINK("https://klasma.github.io/Logging_0484/klagomålsmail/A 26097-2026 FSC-klagomål mail.docx", "A 26097-2026")</f>
        <v/>
      </c>
      <c r="AC81">
        <f>HYPERLINK("https://klasma.github.io/Logging_0484/tillsyn/A 26097-2026 tillsynsbegäran.docx", "A 26097-2026")</f>
        <v/>
      </c>
      <c r="AD81">
        <f>HYPERLINK("https://klasma.github.io/Logging_0484/tillsynsmail/A 26097-2026 tillsynsbegäran mail.docx", "A 26097-2026")</f>
        <v/>
      </c>
    </row>
    <row r="82" ht="15" customHeight="1">
      <c r="A82" t="inlineStr">
        <is>
          <t>A 26008-2026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46311</v>
      </c>
      <c r="F82" t="inlineStr">
        <is>
          <t>SÖDERMANLANDS LÄN</t>
        </is>
      </c>
      <c r="G82" t="inlineStr">
        <is>
          <t>ESKILSTUNA</t>
        </is>
      </c>
      <c r="I82" t="n">
        <v>2.8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8</v>
      </c>
      <c r="U82" t="n">
        <v>0</v>
      </c>
      <c r="V82" s="2" t="inlineStr">
        <is>
          <t>Svart trolldruva</t>
        </is>
      </c>
      <c r="W82">
        <f>HYPERLINK("https://klasma.github.io/Logging_0484/artfynd/A 26008-2026 artfynd.xlsx", "A 26008-2026")</f>
        <v/>
      </c>
      <c r="X82">
        <f>HYPERLINK("https://klasma.github.io/Logging_0484/kartor/A 26008-2026 karta.png", "A 26008-2026")</f>
        <v/>
      </c>
      <c r="Y82">
        <f>HYPERLINK("https://klasma.github.io/Logging_0484/kartor_geotiff/A 26008-2026 georefererad karta.tif", "A 26008-2026")</f>
        <v/>
      </c>
      <c r="AA82">
        <f>HYPERLINK("https://klasma.github.io/Logging_0484/klagomål/A 26008-2026 FSC-klagomål.docx", "A 26008-2026")</f>
        <v/>
      </c>
      <c r="AB82">
        <f>HYPERLINK("https://klasma.github.io/Logging_0484/klagomålsmail/A 26008-2026 FSC-klagomål mail.docx", "A 26008-2026")</f>
        <v/>
      </c>
      <c r="AC82">
        <f>HYPERLINK("https://klasma.github.io/Logging_0484/tillsyn/A 26008-2026 tillsynsbegäran.docx", "A 26008-2026")</f>
        <v/>
      </c>
      <c r="AD82">
        <f>HYPERLINK("https://klasma.github.io/Logging_0484/tillsynsmail/A 26008-2026 tillsynsbegäran mail.docx", "A 26008-2026")</f>
        <v/>
      </c>
    </row>
    <row r="83" ht="15" customHeight="1">
      <c r="A83" t="inlineStr">
        <is>
          <t>A 26094-2026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46311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HYPERLINK("https://klasma.github.io/Logging_0484/artfynd/A 26094-2026 artfynd.xlsx", "A 26094-2026")</f>
        <v/>
      </c>
      <c r="X83">
        <f>HYPERLINK("https://klasma.github.io/Logging_0484/kartor/A 26094-2026 karta.png", "A 26094-2026")</f>
        <v/>
      </c>
      <c r="Y83">
        <f>HYPERLINK("https://klasma.github.io/Logging_0484/kartor_geotiff/A 26094-2026 georefererad karta.tif", "A 26094-2026")</f>
        <v/>
      </c>
      <c r="AA83">
        <f>HYPERLINK("https://klasma.github.io/Logging_0484/klagomål/A 26094-2026 FSC-klagomål.docx", "A 26094-2026")</f>
        <v/>
      </c>
      <c r="AB83">
        <f>HYPERLINK("https://klasma.github.io/Logging_0484/klagomålsmail/A 26094-2026 FSC-klagomål mail.docx", "A 26094-2026")</f>
        <v/>
      </c>
      <c r="AC83">
        <f>HYPERLINK("https://klasma.github.io/Logging_0484/tillsyn/A 26094-2026 tillsynsbegäran.docx", "A 26094-2026")</f>
        <v/>
      </c>
      <c r="AD83">
        <f>HYPERLINK("https://klasma.github.io/Logging_0484/tillsynsmail/A 26094-2026 tillsynsbegäran mail.docx", "A 26094-2026")</f>
        <v/>
      </c>
      <c r="AE83">
        <f>HYPERLINK("https://klasma.github.io/Logging_0484/fåglar/A 26094-2026 prioriterade fågelarter.docx", "A 26094-2026")</f>
        <v/>
      </c>
    </row>
    <row r="84" ht="15" customHeight="1">
      <c r="A84" t="inlineStr">
        <is>
          <t>A 27892-2026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46191</v>
      </c>
      <c r="E84" s="1" t="n">
        <v>46311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Nattviol</t>
        </is>
      </c>
      <c r="W84">
        <f>HYPERLINK("https://klasma.github.io/Logging_0484/artfynd/A 27892-2026 artfynd.xlsx", "A 27892-2026")</f>
        <v/>
      </c>
      <c r="X84">
        <f>HYPERLINK("https://klasma.github.io/Logging_0484/kartor/A 27892-2026 karta.png", "A 27892-2026")</f>
        <v/>
      </c>
      <c r="Y84">
        <f>HYPERLINK("https://klasma.github.io/Logging_0484/kartor_geotiff/A 27892-2026 georefererad karta.tif", "A 27892-2026")</f>
        <v/>
      </c>
      <c r="AA84">
        <f>HYPERLINK("https://klasma.github.io/Logging_0484/klagomål/A 27892-2026 FSC-klagomål.docx", "A 27892-2026")</f>
        <v/>
      </c>
      <c r="AB84">
        <f>HYPERLINK("https://klasma.github.io/Logging_0484/klagomålsmail/A 27892-2026 FSC-klagomål mail.docx", "A 27892-2026")</f>
        <v/>
      </c>
      <c r="AC84">
        <f>HYPERLINK("https://klasma.github.io/Logging_0484/tillsyn/A 27892-2026 tillsynsbegäran.docx", "A 27892-2026")</f>
        <v/>
      </c>
      <c r="AD84">
        <f>HYPERLINK("https://klasma.github.io/Logging_0484/tillsynsmail/A 27892-2026 tillsynsbegäran mail.docx", "A 27892-2026")</f>
        <v/>
      </c>
    </row>
    <row r="85" ht="15" customHeight="1">
      <c r="A85" t="inlineStr">
        <is>
          <t>A 23637-2023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45077</v>
      </c>
      <c r="E85" s="1" t="n">
        <v>46311</v>
      </c>
      <c r="F85" t="inlineStr">
        <is>
          <t>SÖDERMANLANDS LÄN</t>
        </is>
      </c>
      <c r="G85" t="inlineStr">
        <is>
          <t>ESKILSTUNA</t>
        </is>
      </c>
      <c r="I85" t="n">
        <v>15.8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Violett fingersvamp</t>
        </is>
      </c>
      <c r="W85">
        <f>HYPERLINK("https://klasma.github.io/Logging_0484/artfynd/A 23637-2023 artfynd.xlsx", "A 23637-2023")</f>
        <v/>
      </c>
      <c r="X85">
        <f>HYPERLINK("https://klasma.github.io/Logging_0484/kartor/A 23637-2023 karta.png", "A 23637-2023")</f>
        <v/>
      </c>
      <c r="Y85">
        <f>HYPERLINK("https://klasma.github.io/Logging_0484/kartor_geotiff/A 23637-2023 georefererad karta.tif", "A 23637-2023")</f>
        <v/>
      </c>
      <c r="AA85">
        <f>HYPERLINK("https://klasma.github.io/Logging_0484/klagomål/A 23637-2023 FSC-klagomål.docx", "A 23637-2023")</f>
        <v/>
      </c>
      <c r="AB85">
        <f>HYPERLINK("https://klasma.github.io/Logging_0484/klagomålsmail/A 23637-2023 FSC-klagomål mail.docx", "A 23637-2023")</f>
        <v/>
      </c>
      <c r="AC85">
        <f>HYPERLINK("https://klasma.github.io/Logging_0484/tillsyn/A 23637-2023 tillsynsbegäran.docx", "A 23637-2023")</f>
        <v/>
      </c>
      <c r="AD85">
        <f>HYPERLINK("https://klasma.github.io/Logging_0484/tillsynsmail/A 23637-2023 tillsynsbegäran mail.docx", "A 23637-2023")</f>
        <v/>
      </c>
    </row>
    <row r="86" ht="15" customHeight="1">
      <c r="A86" t="inlineStr">
        <is>
          <t>A 52840-2025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46311</v>
      </c>
      <c r="F86" t="inlineStr">
        <is>
          <t>SÖDERMANLANDS LÄN</t>
        </is>
      </c>
      <c r="G86" t="inlineStr">
        <is>
          <t>ESKILSTUNA</t>
        </is>
      </c>
      <c r="I86" t="n">
        <v>1.3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Skrovlig taggsvamp</t>
        </is>
      </c>
      <c r="W86">
        <f>HYPERLINK("https://klasma.github.io/Logging_0484/artfynd/A 52840-2025 artfynd.xlsx", "A 52840-2025")</f>
        <v/>
      </c>
      <c r="X86">
        <f>HYPERLINK("https://klasma.github.io/Logging_0484/kartor/A 52840-2025 karta.png", "A 52840-2025")</f>
        <v/>
      </c>
      <c r="Y86">
        <f>HYPERLINK("https://klasma.github.io/Logging_0484/kartor_geotiff/A 52840-2025 georefererad karta.tif", "A 52840-2025")</f>
        <v/>
      </c>
      <c r="AA86">
        <f>HYPERLINK("https://klasma.github.io/Logging_0484/klagomål/A 52840-2025 FSC-klagomål.docx", "A 52840-2025")</f>
        <v/>
      </c>
      <c r="AB86">
        <f>HYPERLINK("https://klasma.github.io/Logging_0484/klagomålsmail/A 52840-2025 FSC-klagomål mail.docx", "A 52840-2025")</f>
        <v/>
      </c>
      <c r="AC86">
        <f>HYPERLINK("https://klasma.github.io/Logging_0484/tillsyn/A 52840-2025 tillsynsbegäran.docx", "A 52840-2025")</f>
        <v/>
      </c>
      <c r="AD86">
        <f>HYPERLINK("https://klasma.github.io/Logging_0484/tillsynsmail/A 52840-2025 tillsynsbegäran mail.docx", "A 52840-2025")</f>
        <v/>
      </c>
    </row>
    <row r="87" ht="15" customHeight="1">
      <c r="A87" t="inlineStr">
        <is>
          <t>A 29047-2026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46199</v>
      </c>
      <c r="E87" s="1" t="n">
        <v>46311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Kandelabersvamp</t>
        </is>
      </c>
      <c r="W87">
        <f>HYPERLINK("https://klasma.github.io/Logging_0484/artfynd/A 29047-2026 artfynd.xlsx", "A 29047-2026")</f>
        <v/>
      </c>
      <c r="X87">
        <f>HYPERLINK("https://klasma.github.io/Logging_0484/kartor/A 29047-2026 karta.png", "A 29047-2026")</f>
        <v/>
      </c>
      <c r="Y87">
        <f>HYPERLINK("https://klasma.github.io/Logging_0484/kartor_geotiff/A 29047-2026 georefererad karta.tif", "A 29047-2026")</f>
        <v/>
      </c>
      <c r="AA87">
        <f>HYPERLINK("https://klasma.github.io/Logging_0484/klagomål/A 29047-2026 FSC-klagomål.docx", "A 29047-2026")</f>
        <v/>
      </c>
      <c r="AB87">
        <f>HYPERLINK("https://klasma.github.io/Logging_0484/klagomålsmail/A 29047-2026 FSC-klagomål mail.docx", "A 29047-2026")</f>
        <v/>
      </c>
      <c r="AC87">
        <f>HYPERLINK("https://klasma.github.io/Logging_0484/tillsyn/A 29047-2026 tillsynsbegäran.docx", "A 29047-2026")</f>
        <v/>
      </c>
      <c r="AD87">
        <f>HYPERLINK("https://klasma.github.io/Logging_0484/tillsynsmail/A 29047-2026 tillsynsbegäran mail.docx", "A 29047-2026")</f>
        <v/>
      </c>
    </row>
    <row r="88" ht="15" customHeight="1">
      <c r="A88" t="inlineStr">
        <is>
          <t>A 14327-2023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46311</v>
      </c>
      <c r="F88" t="inlineStr">
        <is>
          <t>SÖDERMANLANDS LÄN</t>
        </is>
      </c>
      <c r="G88" t="inlineStr">
        <is>
          <t>ESKILSTUNA</t>
        </is>
      </c>
      <c r="H88" t="inlineStr">
        <is>
          <t>Kommuner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HYPERLINK("https://klasma.github.io/Logging_0484/artfynd/A 14327-2023 artfynd.xlsx", "A 14327-2023")</f>
        <v/>
      </c>
      <c r="X88">
        <f>HYPERLINK("https://klasma.github.io/Logging_0484/kartor/A 14327-2023 karta.png", "A 14327-2023")</f>
        <v/>
      </c>
      <c r="Y88">
        <f>HYPERLINK("https://klasma.github.io/Logging_0484/kartor_geotiff/A 14327-2023 georefererad karta.tif", "A 14327-2023")</f>
        <v/>
      </c>
      <c r="AA88">
        <f>HYPERLINK("https://klasma.github.io/Logging_0484/klagomål/A 14327-2023 FSC-klagomål.docx", "A 14327-2023")</f>
        <v/>
      </c>
      <c r="AB88">
        <f>HYPERLINK("https://klasma.github.io/Logging_0484/klagomålsmail/A 14327-2023 FSC-klagomål mail.docx", "A 14327-2023")</f>
        <v/>
      </c>
      <c r="AC88">
        <f>HYPERLINK("https://klasma.github.io/Logging_0484/tillsyn/A 14327-2023 tillsynsbegäran.docx", "A 14327-2023")</f>
        <v/>
      </c>
      <c r="AD88">
        <f>HYPERLINK("https://klasma.github.io/Logging_0484/tillsynsmail/A 14327-2023 tillsynsbegäran mail.docx", "A 14327-2023")</f>
        <v/>
      </c>
    </row>
    <row r="89" ht="15" customHeight="1">
      <c r="A89" t="inlineStr">
        <is>
          <t>A 39011-2026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46287</v>
      </c>
      <c r="E89" s="1" t="n">
        <v>46311</v>
      </c>
      <c r="F89" t="inlineStr">
        <is>
          <t>SÖDERMANLANDS LÄN</t>
        </is>
      </c>
      <c r="G89" t="inlineStr">
        <is>
          <t>ESKILSTUNA</t>
        </is>
      </c>
      <c r="I89" t="n">
        <v>10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Blåsippa</t>
        </is>
      </c>
      <c r="W89">
        <f>HYPERLINK("https://klasma.github.io/Logging_0484/artfynd/A 39011-2026 artfynd.xlsx", "A 39011-2026")</f>
        <v/>
      </c>
      <c r="X89">
        <f>HYPERLINK("https://klasma.github.io/Logging_0484/kartor/A 39011-2026 karta.png", "A 39011-2026")</f>
        <v/>
      </c>
      <c r="Y89">
        <f>HYPERLINK("https://klasma.github.io/Logging_0484/kartor_geotiff/A 39011-2026 georefererad karta.tif", "A 39011-2026")</f>
        <v/>
      </c>
      <c r="AA89">
        <f>HYPERLINK("https://klasma.github.io/Logging_0484/klagomål/A 39011-2026 FSC-klagomål.docx", "A 39011-2026")</f>
        <v/>
      </c>
      <c r="AB89">
        <f>HYPERLINK("https://klasma.github.io/Logging_0484/klagomålsmail/A 39011-2026 FSC-klagomål mail.docx", "A 39011-2026")</f>
        <v/>
      </c>
      <c r="AC89">
        <f>HYPERLINK("https://klasma.github.io/Logging_0484/tillsyn/A 39011-2026 tillsynsbegäran.docx", "A 39011-2026")</f>
        <v/>
      </c>
      <c r="AD89">
        <f>HYPERLINK("https://klasma.github.io/Logging_0484/tillsynsmail/A 39011-2026 tillsynsbegäran mail.docx", "A 39011-2026")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46311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8518-2026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46065</v>
      </c>
      <c r="E91" s="1" t="n">
        <v>46311</v>
      </c>
      <c r="F91" t="inlineStr">
        <is>
          <t>SÖDERMANLANDS LÄN</t>
        </is>
      </c>
      <c r="G91" t="inlineStr">
        <is>
          <t>ESKILSTUNA</t>
        </is>
      </c>
      <c r="I91" t="n">
        <v>8.9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Igelkott</t>
        </is>
      </c>
      <c r="W91">
        <f>HYPERLINK("https://klasma.github.io/Logging_0484/artfynd/A 8518-2026 artfynd.xlsx", "A 8518-2026")</f>
        <v/>
      </c>
      <c r="X91">
        <f>HYPERLINK("https://klasma.github.io/Logging_0484/kartor/A 8518-2026 karta.png", "A 8518-2026")</f>
        <v/>
      </c>
      <c r="Y91">
        <f>HYPERLINK("https://klasma.github.io/Logging_0484/kartor_geotiff/A 8518-2026 georefererad karta.tif", "A 8518-2026")</f>
        <v/>
      </c>
      <c r="AA91">
        <f>HYPERLINK("https://klasma.github.io/Logging_0484/klagomål/A 8518-2026 FSC-klagomål.docx", "A 8518-2026")</f>
        <v/>
      </c>
      <c r="AB91">
        <f>HYPERLINK("https://klasma.github.io/Logging_0484/klagomålsmail/A 8518-2026 FSC-klagomål mail.docx", "A 8518-2026")</f>
        <v/>
      </c>
      <c r="AC91">
        <f>HYPERLINK("https://klasma.github.io/Logging_0484/tillsyn/A 8518-2026 tillsynsbegäran.docx", "A 8518-2026")</f>
        <v/>
      </c>
      <c r="AD91">
        <f>HYPERLINK("https://klasma.github.io/Logging_0484/tillsynsmail/A 8518-2026 tillsynsbegäran mail.docx", "A 8518-2026")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46311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44490</v>
      </c>
      <c r="E93" s="1" t="n">
        <v>46311</v>
      </c>
      <c r="F93" t="inlineStr">
        <is>
          <t>SÖDERMANLANDS LÄN</t>
        </is>
      </c>
      <c r="G93" t="inlineStr">
        <is>
          <t>ESKILSTUNA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46311</v>
      </c>
      <c r="F94" t="inlineStr">
        <is>
          <t>SÖDERMANLANDS LÄN</t>
        </is>
      </c>
      <c r="G94" t="inlineStr">
        <is>
          <t>ESKILSTUNA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46311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46311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46311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46311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46311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46311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46311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46311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46311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46311</v>
      </c>
      <c r="F104" t="inlineStr">
        <is>
          <t>SÖDERMANLANDS LÄN</t>
        </is>
      </c>
      <c r="G104" t="inlineStr">
        <is>
          <t>ESKILSTUNA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46311</v>
      </c>
      <c r="F105" t="inlineStr">
        <is>
          <t>SÖDERMANLANDS LÄN</t>
        </is>
      </c>
      <c r="G105" t="inlineStr">
        <is>
          <t>ESKILSTUNA</t>
        </is>
      </c>
      <c r="H105" t="inlineStr">
        <is>
          <t>Kommuner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46311</v>
      </c>
      <c r="F106" t="inlineStr">
        <is>
          <t>SÖDERMANLANDS LÄN</t>
        </is>
      </c>
      <c r="G106" t="inlineStr">
        <is>
          <t>ESKILSTUNA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46311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Allmännings- och besparingsskogar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46311</v>
      </c>
      <c r="F108" t="inlineStr">
        <is>
          <t>SÖDERMANLANDS LÄN</t>
        </is>
      </c>
      <c r="G108" t="inlineStr">
        <is>
          <t>ESKILSTUNA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46311</v>
      </c>
      <c r="F109" t="inlineStr">
        <is>
          <t>SÖDERMANLANDS LÄN</t>
        </is>
      </c>
      <c r="G109" t="inlineStr">
        <is>
          <t>ESKILSTUNA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46311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46311</v>
      </c>
      <c r="F111" t="inlineStr">
        <is>
          <t>SÖDERMANLANDS LÄN</t>
        </is>
      </c>
      <c r="G111" t="inlineStr">
        <is>
          <t>ESKILSTUNA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46311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46311</v>
      </c>
      <c r="F113" t="inlineStr">
        <is>
          <t>SÖDERMANLANDS LÄN</t>
        </is>
      </c>
      <c r="G113" t="inlineStr">
        <is>
          <t>ESKILSTUNA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46311</v>
      </c>
      <c r="F114" t="inlineStr">
        <is>
          <t>SÖDERMANLANDS LÄN</t>
        </is>
      </c>
      <c r="G114" t="inlineStr">
        <is>
          <t>ESKILSTUNA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70038-2021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46311</v>
      </c>
      <c r="F115" t="inlineStr">
        <is>
          <t>SÖDERMANLANDS LÄN</t>
        </is>
      </c>
      <c r="G115" t="inlineStr">
        <is>
          <t>ESKILSTUNA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70082-2021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46311</v>
      </c>
      <c r="F116" t="inlineStr">
        <is>
          <t>SÖDERMANLANDS LÄN</t>
        </is>
      </c>
      <c r="G116" t="inlineStr">
        <is>
          <t>ESKILSTUNA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46311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46311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46311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71980-2021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46311</v>
      </c>
      <c r="F120" t="inlineStr">
        <is>
          <t>SÖDERMANLANDS LÄN</t>
        </is>
      </c>
      <c r="G120" t="inlineStr">
        <is>
          <t>ESKILSTUNA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44628</v>
      </c>
      <c r="E121" s="1" t="n">
        <v>46311</v>
      </c>
      <c r="F121" t="inlineStr">
        <is>
          <t>SÖDERMANLANDS LÄN</t>
        </is>
      </c>
      <c r="G121" t="inlineStr">
        <is>
          <t>ESKILSTUNA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70620-2021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46311</v>
      </c>
      <c r="F122" t="inlineStr">
        <is>
          <t>SÖDERMANLANDS LÄN</t>
        </is>
      </c>
      <c r="G122" t="inlineStr">
        <is>
          <t>ESKILSTUNA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46311</v>
      </c>
      <c r="F123" t="inlineStr">
        <is>
          <t>SÖDERMANLANDS LÄN</t>
        </is>
      </c>
      <c r="G123" t="inlineStr">
        <is>
          <t>ESKILSTUNA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32406-2022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46311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46311</v>
      </c>
      <c r="F125" t="inlineStr">
        <is>
          <t>SÖDERMANLANDS LÄN</t>
        </is>
      </c>
      <c r="G125" t="inlineStr">
        <is>
          <t>ESKILSTUNA</t>
        </is>
      </c>
      <c r="I125" t="n">
        <v>9.9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46311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46311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44578</v>
      </c>
      <c r="E128" s="1" t="n">
        <v>46311</v>
      </c>
      <c r="F128" t="inlineStr">
        <is>
          <t>SÖDERMANLANDS LÄN</t>
        </is>
      </c>
      <c r="G128" t="inlineStr">
        <is>
          <t>ESKILSTUNA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44699</v>
      </c>
      <c r="E129" s="1" t="n">
        <v>46311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Naturvårdsverket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65406-2021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46311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Kyrkan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73480-2021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46311</v>
      </c>
      <c r="F131" t="inlineStr">
        <is>
          <t>SÖDERMANLANDS LÄN</t>
        </is>
      </c>
      <c r="G131" t="inlineStr">
        <is>
          <t>ESKILSTUNA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46311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46311</v>
      </c>
      <c r="F133" t="inlineStr">
        <is>
          <t>SÖDERMANLANDS LÄN</t>
        </is>
      </c>
      <c r="G133" t="inlineStr">
        <is>
          <t>ESKILSTUNA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46311</v>
      </c>
      <c r="F134" t="inlineStr">
        <is>
          <t>SÖDERMANLANDS LÄN</t>
        </is>
      </c>
      <c r="G134" t="inlineStr">
        <is>
          <t>ESKILSTUNA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60721-2021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44490</v>
      </c>
      <c r="E135" s="1" t="n">
        <v>46311</v>
      </c>
      <c r="F135" t="inlineStr">
        <is>
          <t>SÖDERMANLANDS LÄN</t>
        </is>
      </c>
      <c r="G135" t="inlineStr">
        <is>
          <t>ESKILSTUNA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46311</v>
      </c>
      <c r="F136" t="inlineStr">
        <is>
          <t>SÖDERMANLANDS LÄN</t>
        </is>
      </c>
      <c r="G136" t="inlineStr">
        <is>
          <t>ESKILSTUNA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32588-2022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46311</v>
      </c>
      <c r="F137" t="inlineStr">
        <is>
          <t>SÖDERMANLANDS LÄN</t>
        </is>
      </c>
      <c r="G137" t="inlineStr">
        <is>
          <t>ESKILSTUNA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44654</v>
      </c>
      <c r="E138" s="1" t="n">
        <v>46311</v>
      </c>
      <c r="F138" t="inlineStr">
        <is>
          <t>SÖDERMANLANDS LÄN</t>
        </is>
      </c>
      <c r="G138" t="inlineStr">
        <is>
          <t>ESKILSTUNA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59275-2021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44490</v>
      </c>
      <c r="E139" s="1" t="n">
        <v>46311</v>
      </c>
      <c r="F139" t="inlineStr">
        <is>
          <t>SÖDERMANLANDS LÄN</t>
        </is>
      </c>
      <c r="G139" t="inlineStr">
        <is>
          <t>ESKILSTUNA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9521-2022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46311</v>
      </c>
      <c r="F140" t="inlineStr">
        <is>
          <t>SÖDERMANLANDS LÄN</t>
        </is>
      </c>
      <c r="G140" t="inlineStr">
        <is>
          <t>ESKILSTUNA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43488-2024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45568</v>
      </c>
      <c r="E141" s="1" t="n">
        <v>46311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Allmännings- och besparingsskogar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44658</v>
      </c>
      <c r="E142" s="1" t="n">
        <v>46311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Allmännings- och besparingsskogar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44578</v>
      </c>
      <c r="E143" s="1" t="n">
        <v>46311</v>
      </c>
      <c r="F143" t="inlineStr">
        <is>
          <t>SÖDERMANLANDS LÄN</t>
        </is>
      </c>
      <c r="G143" t="inlineStr">
        <is>
          <t>ESKILSTUNA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46311</v>
      </c>
      <c r="F144" t="inlineStr">
        <is>
          <t>SÖDERMANLANDS LÄN</t>
        </is>
      </c>
      <c r="G144" t="inlineStr">
        <is>
          <t>ESKILSTUNA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44643</v>
      </c>
      <c r="E145" s="1" t="n">
        <v>46311</v>
      </c>
      <c r="F145" t="inlineStr">
        <is>
          <t>SÖDERMANLANDS LÄN</t>
        </is>
      </c>
      <c r="G145" t="inlineStr">
        <is>
          <t>ESKILSTUNA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45568</v>
      </c>
      <c r="E146" s="1" t="n">
        <v>46311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Allmännings- och besparingsskogar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36643-2022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44804</v>
      </c>
      <c r="E147" s="1" t="n">
        <v>46311</v>
      </c>
      <c r="F147" t="inlineStr">
        <is>
          <t>SÖDERMANLANDS LÄN</t>
        </is>
      </c>
      <c r="G147" t="inlineStr">
        <is>
          <t>ESKILSTUNA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46311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45077</v>
      </c>
      <c r="E149" s="1" t="n">
        <v>46311</v>
      </c>
      <c r="F149" t="inlineStr">
        <is>
          <t>SÖDERMANLANDS LÄN</t>
        </is>
      </c>
      <c r="G149" t="inlineStr">
        <is>
          <t>ESKILSTUNA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46311</v>
      </c>
      <c r="F150" t="inlineStr">
        <is>
          <t>SÖDERMANLANDS LÄN</t>
        </is>
      </c>
      <c r="G150" t="inlineStr">
        <is>
          <t>ESKILSTUNA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44636</v>
      </c>
      <c r="E151" s="1" t="n">
        <v>46311</v>
      </c>
      <c r="F151" t="inlineStr">
        <is>
          <t>SÖDERMANLANDS LÄN</t>
        </is>
      </c>
      <c r="G151" t="inlineStr">
        <is>
          <t>ESKILSTUNA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32484-2022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44782</v>
      </c>
      <c r="E152" s="1" t="n">
        <v>46311</v>
      </c>
      <c r="F152" t="inlineStr">
        <is>
          <t>SÖDERMANLANDS LÄN</t>
        </is>
      </c>
      <c r="G152" t="inlineStr">
        <is>
          <t>ESKILSTUNA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45334</v>
      </c>
      <c r="E153" s="1" t="n">
        <v>46311</v>
      </c>
      <c r="F153" t="inlineStr">
        <is>
          <t>SÖDERMANLANDS LÄN</t>
        </is>
      </c>
      <c r="G153" t="inlineStr">
        <is>
          <t>ESKILSTUNA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44865</v>
      </c>
      <c r="E154" s="1" t="n">
        <v>46311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70191-2021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44533</v>
      </c>
      <c r="E155" s="1" t="n">
        <v>46311</v>
      </c>
      <c r="F155" t="inlineStr">
        <is>
          <t>SÖDERMANLANDS LÄN</t>
        </is>
      </c>
      <c r="G155" t="inlineStr">
        <is>
          <t>ESKILSTUNA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44748</v>
      </c>
      <c r="E156" s="1" t="n">
        <v>46311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46311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59276-2021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44490</v>
      </c>
      <c r="E158" s="1" t="n">
        <v>46311</v>
      </c>
      <c r="F158" t="inlineStr">
        <is>
          <t>SÖDERMANLANDS LÄN</t>
        </is>
      </c>
      <c r="G158" t="inlineStr">
        <is>
          <t>ESKILSTUNA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30960-2023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46311</v>
      </c>
      <c r="F159" t="inlineStr">
        <is>
          <t>SÖDERMANLANDS LÄN</t>
        </is>
      </c>
      <c r="G159" t="inlineStr">
        <is>
          <t>ESKILSTUNA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46311</v>
      </c>
      <c r="F160" t="inlineStr">
        <is>
          <t>SÖDERMANLANDS LÄN</t>
        </is>
      </c>
      <c r="G160" t="inlineStr">
        <is>
          <t>ESKILSTUNA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62268-2023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45267</v>
      </c>
      <c r="E161" s="1" t="n">
        <v>46311</v>
      </c>
      <c r="F161" t="inlineStr">
        <is>
          <t>SÖDERMANLANDS LÄN</t>
        </is>
      </c>
      <c r="G161" t="inlineStr">
        <is>
          <t>ESKILSTUNA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46311</v>
      </c>
      <c r="F162" t="inlineStr">
        <is>
          <t>SÖDERMANLANDS LÄN</t>
        </is>
      </c>
      <c r="G162" t="inlineStr">
        <is>
          <t>ESKILSTUNA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44965</v>
      </c>
      <c r="E163" s="1" t="n">
        <v>46311</v>
      </c>
      <c r="F163" t="inlineStr">
        <is>
          <t>SÖDERMANLANDS LÄN</t>
        </is>
      </c>
      <c r="G163" t="inlineStr">
        <is>
          <t>ESKILSTUNA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45587</v>
      </c>
      <c r="E164" s="1" t="n">
        <v>46311</v>
      </c>
      <c r="F164" t="inlineStr">
        <is>
          <t>SÖDERMANLANDS LÄN</t>
        </is>
      </c>
      <c r="G164" t="inlineStr">
        <is>
          <t>ESKILSTUNA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65614-2021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44516</v>
      </c>
      <c r="E165" s="1" t="n">
        <v>46311</v>
      </c>
      <c r="F165" t="inlineStr">
        <is>
          <t>SÖDERMANLANDS LÄN</t>
        </is>
      </c>
      <c r="G165" t="inlineStr">
        <is>
          <t>ESKILSTUNA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46311</v>
      </c>
      <c r="F166" t="inlineStr">
        <is>
          <t>SÖDERMANLANDS LÄN</t>
        </is>
      </c>
      <c r="G166" t="inlineStr">
        <is>
          <t>ESKILSTUNA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10715-2022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44626</v>
      </c>
      <c r="E167" s="1" t="n">
        <v>46311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61367-2021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44499</v>
      </c>
      <c r="E168" s="1" t="n">
        <v>46311</v>
      </c>
      <c r="F168" t="inlineStr">
        <is>
          <t>SÖDERMANLANDS LÄN</t>
        </is>
      </c>
      <c r="G168" t="inlineStr">
        <is>
          <t>ESKILSTUNA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46311</v>
      </c>
      <c r="F169" t="inlineStr">
        <is>
          <t>SÖDERMANLANDS LÄN</t>
        </is>
      </c>
      <c r="G169" t="inlineStr">
        <is>
          <t>ESKILSTUNA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44865</v>
      </c>
      <c r="E170" s="1" t="n">
        <v>46311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19502-2024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45429</v>
      </c>
      <c r="E171" s="1" t="n">
        <v>46311</v>
      </c>
      <c r="F171" t="inlineStr">
        <is>
          <t>SÖDERMANLANDS LÄN</t>
        </is>
      </c>
      <c r="G171" t="inlineStr">
        <is>
          <t>ESKILSTUNA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46311</v>
      </c>
      <c r="F172" t="inlineStr">
        <is>
          <t>SÖDERMANLANDS LÄN</t>
        </is>
      </c>
      <c r="G172" t="inlineStr">
        <is>
          <t>ESKILSTUNA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44858</v>
      </c>
      <c r="E173" s="1" t="n">
        <v>46311</v>
      </c>
      <c r="F173" t="inlineStr">
        <is>
          <t>SÖDERMANLANDS LÄN</t>
        </is>
      </c>
      <c r="G173" t="inlineStr">
        <is>
          <t>ESKILSTUNA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30096-2025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45826</v>
      </c>
      <c r="E174" s="1" t="n">
        <v>46311</v>
      </c>
      <c r="F174" t="inlineStr">
        <is>
          <t>SÖDERMANLANDS LÄN</t>
        </is>
      </c>
      <c r="G174" t="inlineStr">
        <is>
          <t>ESKILSTUNA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46311</v>
      </c>
      <c r="F175" t="inlineStr">
        <is>
          <t>SÖDERMANLANDS LÄN</t>
        </is>
      </c>
      <c r="G175" t="inlineStr">
        <is>
          <t>ESKILSTUNA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46311</v>
      </c>
      <c r="F176" t="inlineStr">
        <is>
          <t>SÖDERMANLANDS LÄN</t>
        </is>
      </c>
      <c r="G176" t="inlineStr">
        <is>
          <t>ESKILSTUNA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46311</v>
      </c>
      <c r="F177" t="inlineStr">
        <is>
          <t>SÖDERMANLANDS LÄN</t>
        </is>
      </c>
      <c r="G177" t="inlineStr">
        <is>
          <t>ESKILSTUNA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57304-2023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45245</v>
      </c>
      <c r="E178" s="1" t="n">
        <v>46311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45756</v>
      </c>
      <c r="E179" s="1" t="n">
        <v>46311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44664</v>
      </c>
      <c r="E180" s="1" t="n">
        <v>46311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46311</v>
      </c>
      <c r="F181" t="inlineStr">
        <is>
          <t>SÖDERMANLANDS LÄN</t>
        </is>
      </c>
      <c r="G181" t="inlineStr">
        <is>
          <t>ESKILSTUNA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46311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Allmännings- och besparingsskogar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25227-2022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44729</v>
      </c>
      <c r="E183" s="1" t="n">
        <v>46311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Kyrkan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45211</v>
      </c>
      <c r="E184" s="1" t="n">
        <v>46311</v>
      </c>
      <c r="F184" t="inlineStr">
        <is>
          <t>SÖDERMANLANDS LÄN</t>
        </is>
      </c>
      <c r="G184" t="inlineStr">
        <is>
          <t>ESKILSTUNA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44799</v>
      </c>
      <c r="E185" s="1" t="n">
        <v>46311</v>
      </c>
      <c r="F185" t="inlineStr">
        <is>
          <t>SÖDERMANLANDS LÄN</t>
        </is>
      </c>
      <c r="G185" t="inlineStr">
        <is>
          <t>ESKILSTUNA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45407</v>
      </c>
      <c r="E186" s="1" t="n">
        <v>46311</v>
      </c>
      <c r="F186" t="inlineStr">
        <is>
          <t>SÖDERMANLANDS LÄN</t>
        </is>
      </c>
      <c r="G186" t="inlineStr">
        <is>
          <t>ESKILSTUNA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46311</v>
      </c>
      <c r="F187" t="inlineStr">
        <is>
          <t>SÖDERMANLANDS LÄN</t>
        </is>
      </c>
      <c r="G187" t="inlineStr">
        <is>
          <t>ESKILSTUNA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46311</v>
      </c>
      <c r="F188" t="inlineStr">
        <is>
          <t>SÖDERMANLANDS LÄN</t>
        </is>
      </c>
      <c r="G188" t="inlineStr">
        <is>
          <t>ESKILSTUNA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49469-2022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46311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Allmännings- och besparingsskogar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20348-2023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45056</v>
      </c>
      <c r="E190" s="1" t="n">
        <v>46311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Allmännings- och besparingsskogar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46311</v>
      </c>
      <c r="F191" t="inlineStr">
        <is>
          <t>SÖDERMANLANDS LÄN</t>
        </is>
      </c>
      <c r="G191" t="inlineStr">
        <is>
          <t>ESKILSTUNA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45363</v>
      </c>
      <c r="E192" s="1" t="n">
        <v>46311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46311</v>
      </c>
      <c r="F193" t="inlineStr">
        <is>
          <t>SÖDERMANLANDS LÄN</t>
        </is>
      </c>
      <c r="G193" t="inlineStr">
        <is>
          <t>ESKILSTUNA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45464</v>
      </c>
      <c r="E194" s="1" t="n">
        <v>46311</v>
      </c>
      <c r="F194" t="inlineStr">
        <is>
          <t>SÖDERMANLANDS LÄN</t>
        </is>
      </c>
      <c r="G194" t="inlineStr">
        <is>
          <t>ESKILSTUNA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45079</v>
      </c>
      <c r="E195" s="1" t="n">
        <v>46311</v>
      </c>
      <c r="F195" t="inlineStr">
        <is>
          <t>SÖDERMANLANDS LÄN</t>
        </is>
      </c>
      <c r="G195" t="inlineStr">
        <is>
          <t>ESKILSTUNA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45694</v>
      </c>
      <c r="E196" s="1" t="n">
        <v>46311</v>
      </c>
      <c r="F196" t="inlineStr">
        <is>
          <t>SÖDERMANLANDS LÄN</t>
        </is>
      </c>
      <c r="G196" t="inlineStr">
        <is>
          <t>ESKILSTUNA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44979</v>
      </c>
      <c r="E197" s="1" t="n">
        <v>46311</v>
      </c>
      <c r="F197" t="inlineStr">
        <is>
          <t>SÖDERMANLANDS LÄN</t>
        </is>
      </c>
      <c r="G197" t="inlineStr">
        <is>
          <t>ESKILSTUNA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45464</v>
      </c>
      <c r="E198" s="1" t="n">
        <v>46311</v>
      </c>
      <c r="F198" t="inlineStr">
        <is>
          <t>SÖDERMANLANDS LÄN</t>
        </is>
      </c>
      <c r="G198" t="inlineStr">
        <is>
          <t>ESKILSTUNA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59276-2021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44490</v>
      </c>
      <c r="E199" s="1" t="n">
        <v>46311</v>
      </c>
      <c r="F199" t="inlineStr">
        <is>
          <t>SÖDERMANLANDS LÄN</t>
        </is>
      </c>
      <c r="G199" t="inlineStr">
        <is>
          <t>ESKILSTUNA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45245</v>
      </c>
      <c r="E200" s="1" t="n">
        <v>46311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44881</v>
      </c>
      <c r="E201" s="1" t="n">
        <v>46311</v>
      </c>
      <c r="F201" t="inlineStr">
        <is>
          <t>SÖDERMANLANDS LÄN</t>
        </is>
      </c>
      <c r="G201" t="inlineStr">
        <is>
          <t>ESKILSTUNA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46311</v>
      </c>
      <c r="F202" t="inlineStr">
        <is>
          <t>SÖDERMANLANDS LÄN</t>
        </is>
      </c>
      <c r="G202" t="inlineStr">
        <is>
          <t>ESKILSTUNA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45622</v>
      </c>
      <c r="E203" s="1" t="n">
        <v>46311</v>
      </c>
      <c r="F203" t="inlineStr">
        <is>
          <t>SÖDERMANLANDS LÄN</t>
        </is>
      </c>
      <c r="G203" t="inlineStr">
        <is>
          <t>ESKILSTUNA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44930</v>
      </c>
      <c r="E204" s="1" t="n">
        <v>46311</v>
      </c>
      <c r="F204" t="inlineStr">
        <is>
          <t>SÖDERMANLANDS LÄN</t>
        </is>
      </c>
      <c r="G204" t="inlineStr">
        <is>
          <t>ESKILSTUNA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46311</v>
      </c>
      <c r="F205" t="inlineStr">
        <is>
          <t>SÖDERMANLANDS LÄN</t>
        </is>
      </c>
      <c r="G205" t="inlineStr">
        <is>
          <t>ESKILSTUNA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51547-2024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45604</v>
      </c>
      <c r="E206" s="1" t="n">
        <v>46311</v>
      </c>
      <c r="F206" t="inlineStr">
        <is>
          <t>SÖDERMANLANDS LÄN</t>
        </is>
      </c>
      <c r="G206" t="inlineStr">
        <is>
          <t>ESKILSTUNA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45604</v>
      </c>
      <c r="E207" s="1" t="n">
        <v>46311</v>
      </c>
      <c r="F207" t="inlineStr">
        <is>
          <t>SÖDERMANLANDS LÄN</t>
        </is>
      </c>
      <c r="G207" t="inlineStr">
        <is>
          <t>ESKILSTUNA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46311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61170-2021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44497</v>
      </c>
      <c r="E209" s="1" t="n">
        <v>46311</v>
      </c>
      <c r="F209" t="inlineStr">
        <is>
          <t>SÖDERMANLANDS LÄN</t>
        </is>
      </c>
      <c r="G209" t="inlineStr">
        <is>
          <t>ESKILSTUNA</t>
        </is>
      </c>
      <c r="I209" t="n">
        <v>7.3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46311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Kyrkan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46311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46311</v>
      </c>
      <c r="F212" t="inlineStr">
        <is>
          <t>SÖDERMANLANDS LÄN</t>
        </is>
      </c>
      <c r="G212" t="inlineStr">
        <is>
          <t>ESKILSTUNA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46311</v>
      </c>
      <c r="F213" t="inlineStr">
        <is>
          <t>SÖDERMANLANDS LÄN</t>
        </is>
      </c>
      <c r="G213" t="inlineStr">
        <is>
          <t>ESKILSTUNA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65349-2021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44515</v>
      </c>
      <c r="E214" s="1" t="n">
        <v>46311</v>
      </c>
      <c r="F214" t="inlineStr">
        <is>
          <t>SÖDERMANLANDS LÄN</t>
        </is>
      </c>
      <c r="G214" t="inlineStr">
        <is>
          <t>ESKILSTUNA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46311</v>
      </c>
      <c r="F215" t="inlineStr">
        <is>
          <t>SÖDERMANLANDS LÄN</t>
        </is>
      </c>
      <c r="G215" t="inlineStr">
        <is>
          <t>ESKILSTUNA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55785-2022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46311</v>
      </c>
      <c r="F216" t="inlineStr">
        <is>
          <t>SÖDERMANLANDS LÄN</t>
        </is>
      </c>
      <c r="G216" t="inlineStr">
        <is>
          <t>ESKILSTUNA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46311</v>
      </c>
      <c r="F217" t="inlineStr">
        <is>
          <t>SÖDERMANLANDS LÄN</t>
        </is>
      </c>
      <c r="G217" t="inlineStr">
        <is>
          <t>ESKILSTUNA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44571</v>
      </c>
      <c r="E218" s="1" t="n">
        <v>46311</v>
      </c>
      <c r="F218" t="inlineStr">
        <is>
          <t>SÖDERMANLANDS LÄN</t>
        </is>
      </c>
      <c r="G218" t="inlineStr">
        <is>
          <t>ESKILSTUNA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43501-2022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44837</v>
      </c>
      <c r="E219" s="1" t="n">
        <v>46311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44966</v>
      </c>
      <c r="E220" s="1" t="n">
        <v>46311</v>
      </c>
      <c r="F220" t="inlineStr">
        <is>
          <t>SÖDERMANLANDS LÄN</t>
        </is>
      </c>
      <c r="G220" t="inlineStr">
        <is>
          <t>ESKILSTUNA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11796-2022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44634</v>
      </c>
      <c r="E221" s="1" t="n">
        <v>46311</v>
      </c>
      <c r="F221" t="inlineStr">
        <is>
          <t>SÖDERMANLANDS LÄN</t>
        </is>
      </c>
      <c r="G221" t="inlineStr">
        <is>
          <t>ESKILSTUNA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44915</v>
      </c>
      <c r="E222" s="1" t="n">
        <v>46311</v>
      </c>
      <c r="F222" t="inlineStr">
        <is>
          <t>SÖDERMANLANDS LÄN</t>
        </is>
      </c>
      <c r="G222" t="inlineStr">
        <is>
          <t>ESKILSTUNA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61314-2022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46311</v>
      </c>
      <c r="F223" t="inlineStr">
        <is>
          <t>SÖDERMANLANDS LÄN</t>
        </is>
      </c>
      <c r="G223" t="inlineStr">
        <is>
          <t>ESKILSTUNA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45049</v>
      </c>
      <c r="E224" s="1" t="n">
        <v>46311</v>
      </c>
      <c r="F224" t="inlineStr">
        <is>
          <t>SÖDERMANLANDS LÄN</t>
        </is>
      </c>
      <c r="G224" t="inlineStr">
        <is>
          <t>ESKILSTUNA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1340-2024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45303</v>
      </c>
      <c r="E225" s="1" t="n">
        <v>46311</v>
      </c>
      <c r="F225" t="inlineStr">
        <is>
          <t>SÖDERMANLANDS LÄN</t>
        </is>
      </c>
      <c r="G225" t="inlineStr">
        <is>
          <t>ESKILSTUNA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46311</v>
      </c>
      <c r="F226" t="inlineStr">
        <is>
          <t>SÖDERMANLANDS LÄN</t>
        </is>
      </c>
      <c r="G226" t="inlineStr">
        <is>
          <t>ESKILSTUNA</t>
        </is>
      </c>
      <c r="H226" t="inlineStr">
        <is>
          <t>Övriga Aktiebolag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44918</v>
      </c>
      <c r="E227" s="1" t="n">
        <v>46311</v>
      </c>
      <c r="F227" t="inlineStr">
        <is>
          <t>SÖDERMANLANDS LÄN</t>
        </is>
      </c>
      <c r="G227" t="inlineStr">
        <is>
          <t>ESKILSTUNA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44588</v>
      </c>
      <c r="E228" s="1" t="n">
        <v>46311</v>
      </c>
      <c r="F228" t="inlineStr">
        <is>
          <t>SÖDERMANLANDS LÄN</t>
        </is>
      </c>
      <c r="G228" t="inlineStr">
        <is>
          <t>ESKILSTUNA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44889</v>
      </c>
      <c r="E229" s="1" t="n">
        <v>46311</v>
      </c>
      <c r="F229" t="inlineStr">
        <is>
          <t>SÖDERMANLANDS LÄN</t>
        </is>
      </c>
      <c r="G229" t="inlineStr">
        <is>
          <t>ESKILSTUNA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46311</v>
      </c>
      <c r="F230" t="inlineStr">
        <is>
          <t>SÖDERMANLANDS LÄN</t>
        </is>
      </c>
      <c r="G230" t="inlineStr">
        <is>
          <t>ESKILSTUNA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46311</v>
      </c>
      <c r="F231" t="inlineStr">
        <is>
          <t>SÖDERMANLANDS LÄN</t>
        </is>
      </c>
      <c r="G231" t="inlineStr">
        <is>
          <t>ESKILSTUNA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46311</v>
      </c>
      <c r="F232" t="inlineStr">
        <is>
          <t>SÖDERMANLANDS LÄN</t>
        </is>
      </c>
      <c r="G232" t="inlineStr">
        <is>
          <t>ESKILSTUNA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46311</v>
      </c>
      <c r="F233" t="inlineStr">
        <is>
          <t>SÖDERMANLANDS LÄN</t>
        </is>
      </c>
      <c r="G233" t="inlineStr">
        <is>
          <t>ESKILSTUNA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62693-2023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45271</v>
      </c>
      <c r="E234" s="1" t="n">
        <v>46311</v>
      </c>
      <c r="F234" t="inlineStr">
        <is>
          <t>SÖDERMANLANDS LÄN</t>
        </is>
      </c>
      <c r="G234" t="inlineStr">
        <is>
          <t>ESKILSTUNA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70265-2021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44536</v>
      </c>
      <c r="E235" s="1" t="n">
        <v>46311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Sveaskog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46608-2024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45582</v>
      </c>
      <c r="E236" s="1" t="n">
        <v>46311</v>
      </c>
      <c r="F236" t="inlineStr">
        <is>
          <t>SÖDERMANLANDS LÄN</t>
        </is>
      </c>
      <c r="G236" t="inlineStr">
        <is>
          <t>ESKILSTUNA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45901</v>
      </c>
      <c r="E237" s="1" t="n">
        <v>46311</v>
      </c>
      <c r="F237" t="inlineStr">
        <is>
          <t>SÖDERMANLANDS LÄN</t>
        </is>
      </c>
      <c r="G237" t="inlineStr">
        <is>
          <t>ESKILSTUNA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45750</v>
      </c>
      <c r="E238" s="1" t="n">
        <v>46311</v>
      </c>
      <c r="F238" t="inlineStr">
        <is>
          <t>SÖDERMANLANDS LÄN</t>
        </is>
      </c>
      <c r="G238" t="inlineStr">
        <is>
          <t>ESKILSTUNA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44616</v>
      </c>
      <c r="E239" s="1" t="n">
        <v>46311</v>
      </c>
      <c r="F239" t="inlineStr">
        <is>
          <t>SÖDERMANLANDS LÄN</t>
        </is>
      </c>
      <c r="G239" t="inlineStr">
        <is>
          <t>ESKILSTUNA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16104-2026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46108</v>
      </c>
      <c r="E240" s="1" t="n">
        <v>46311</v>
      </c>
      <c r="F240" t="inlineStr">
        <is>
          <t>SÖDERMANLANDS LÄN</t>
        </is>
      </c>
      <c r="G240" t="inlineStr">
        <is>
          <t>ESKILSTUNA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68020-2021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44525</v>
      </c>
      <c r="E241" s="1" t="n">
        <v>46311</v>
      </c>
      <c r="F241" t="inlineStr">
        <is>
          <t>SÖDERMANLANDS LÄN</t>
        </is>
      </c>
      <c r="G241" t="inlineStr">
        <is>
          <t>ESKILSTUNA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46108</v>
      </c>
      <c r="E242" s="1" t="n">
        <v>46311</v>
      </c>
      <c r="F242" t="inlineStr">
        <is>
          <t>SÖDERMANLANDS LÄN</t>
        </is>
      </c>
      <c r="G242" t="inlineStr">
        <is>
          <t>ESKILSTUNA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46108</v>
      </c>
      <c r="E243" s="1" t="n">
        <v>46311</v>
      </c>
      <c r="F243" t="inlineStr">
        <is>
          <t>SÖDERMANLANDS LÄN</t>
        </is>
      </c>
      <c r="G243" t="inlineStr">
        <is>
          <t>ESKILSTUNA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46108</v>
      </c>
      <c r="E244" s="1" t="n">
        <v>46311</v>
      </c>
      <c r="F244" t="inlineStr">
        <is>
          <t>SÖDERMANLANDS LÄN</t>
        </is>
      </c>
      <c r="G244" t="inlineStr">
        <is>
          <t>ESKILSTUNA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57546-2022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44889</v>
      </c>
      <c r="E245" s="1" t="n">
        <v>46311</v>
      </c>
      <c r="F245" t="inlineStr">
        <is>
          <t>SÖDERMANLANDS LÄN</t>
        </is>
      </c>
      <c r="G245" t="inlineStr">
        <is>
          <t>ESKILSTUNA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45544</v>
      </c>
      <c r="E246" s="1" t="n">
        <v>46311</v>
      </c>
      <c r="F246" t="inlineStr">
        <is>
          <t>SÖDERMANLANDS LÄN</t>
        </is>
      </c>
      <c r="G246" t="inlineStr">
        <is>
          <t>ESKILSTUNA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35377-2023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45146</v>
      </c>
      <c r="E247" s="1" t="n">
        <v>46311</v>
      </c>
      <c r="F247" t="inlineStr">
        <is>
          <t>SÖDERMANLANDS LÄN</t>
        </is>
      </c>
      <c r="G247" t="inlineStr">
        <is>
          <t>ESKILSTUNA</t>
        </is>
      </c>
      <c r="H247" t="inlineStr">
        <is>
          <t>Kyrkan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9646-2022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44617</v>
      </c>
      <c r="E248" s="1" t="n">
        <v>46311</v>
      </c>
      <c r="F248" t="inlineStr">
        <is>
          <t>SÖDERMANLANDS LÄN</t>
        </is>
      </c>
      <c r="G248" t="inlineStr">
        <is>
          <t>ESKILSTUNA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12547-2022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44638</v>
      </c>
      <c r="E249" s="1" t="n">
        <v>46311</v>
      </c>
      <c r="F249" t="inlineStr">
        <is>
          <t>SÖDERMANLANDS LÄN</t>
        </is>
      </c>
      <c r="G249" t="inlineStr">
        <is>
          <t>ESKILSTUNA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18105-2026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46125</v>
      </c>
      <c r="E250" s="1" t="n">
        <v>46311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45036</v>
      </c>
      <c r="E251" s="1" t="n">
        <v>46311</v>
      </c>
      <c r="F251" t="inlineStr">
        <is>
          <t>SÖDERMANLANDS LÄN</t>
        </is>
      </c>
      <c r="G251" t="inlineStr">
        <is>
          <t>ESKILSTUNA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46311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10715-2022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44626</v>
      </c>
      <c r="E253" s="1" t="n">
        <v>46311</v>
      </c>
      <c r="F253" t="inlineStr">
        <is>
          <t>SÖDERMANLANDS LÄN</t>
        </is>
      </c>
      <c r="G253" t="inlineStr">
        <is>
          <t>ESKILSTUNA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48877-2023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46311</v>
      </c>
      <c r="F254" t="inlineStr">
        <is>
          <t>SÖDERMANLANDS LÄN</t>
        </is>
      </c>
      <c r="G254" t="inlineStr">
        <is>
          <t>ESKILSTUNA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44927-2023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45190</v>
      </c>
      <c r="E255" s="1" t="n">
        <v>46311</v>
      </c>
      <c r="F255" t="inlineStr">
        <is>
          <t>SÖDERMANLANDS LÄN</t>
        </is>
      </c>
      <c r="G255" t="inlineStr">
        <is>
          <t>ESKILSTUNA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45363</v>
      </c>
      <c r="E256" s="1" t="n">
        <v>46311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Allmännings- och besparingsskogar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46311</v>
      </c>
      <c r="F257" t="inlineStr">
        <is>
          <t>SÖDERMANLANDS LÄN</t>
        </is>
      </c>
      <c r="G257" t="inlineStr">
        <is>
          <t>ESKILSTUNA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61829-2023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45266</v>
      </c>
      <c r="E258" s="1" t="n">
        <v>46311</v>
      </c>
      <c r="F258" t="inlineStr">
        <is>
          <t>SÖDERMANLANDS LÄN</t>
        </is>
      </c>
      <c r="G258" t="inlineStr">
        <is>
          <t>ESKILSTUNA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46311</v>
      </c>
      <c r="F259" t="inlineStr">
        <is>
          <t>SÖDERMANLANDS LÄN</t>
        </is>
      </c>
      <c r="G259" t="inlineStr">
        <is>
          <t>ESKILSTUNA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22605-2023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45071</v>
      </c>
      <c r="E260" s="1" t="n">
        <v>46311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Kyrkan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46311</v>
      </c>
      <c r="F261" t="inlineStr">
        <is>
          <t>SÖDERMANLANDS LÄN</t>
        </is>
      </c>
      <c r="G261" t="inlineStr">
        <is>
          <t>ESKILSTUNA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26535-2022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44739</v>
      </c>
      <c r="E262" s="1" t="n">
        <v>46311</v>
      </c>
      <c r="F262" t="inlineStr">
        <is>
          <t>SÖDERMANLANDS LÄN</t>
        </is>
      </c>
      <c r="G262" t="inlineStr">
        <is>
          <t>ESKILSTUNA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45093</v>
      </c>
      <c r="E263" s="1" t="n">
        <v>46311</v>
      </c>
      <c r="F263" t="inlineStr">
        <is>
          <t>SÖDERMANLANDS LÄN</t>
        </is>
      </c>
      <c r="G263" t="inlineStr">
        <is>
          <t>ESKILSTUNA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46311</v>
      </c>
      <c r="F264" t="inlineStr">
        <is>
          <t>SÖDERMANLANDS LÄN</t>
        </is>
      </c>
      <c r="G264" t="inlineStr">
        <is>
          <t>ESKILSTUNA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46311</v>
      </c>
      <c r="F265" t="inlineStr">
        <is>
          <t>SÖDERMANLANDS LÄN</t>
        </is>
      </c>
      <c r="G265" t="inlineStr">
        <is>
          <t>ESKILSTUNA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44572</v>
      </c>
      <c r="E266" s="1" t="n">
        <v>46311</v>
      </c>
      <c r="F266" t="inlineStr">
        <is>
          <t>SÖDERMANLANDS LÄN</t>
        </is>
      </c>
      <c r="G266" t="inlineStr">
        <is>
          <t>ESKILSTUNA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44606</v>
      </c>
      <c r="E267" s="1" t="n">
        <v>46311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Kyrkan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46311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20180-2022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44698</v>
      </c>
      <c r="E269" s="1" t="n">
        <v>46311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Kyrkan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44998</v>
      </c>
      <c r="E270" s="1" t="n">
        <v>46311</v>
      </c>
      <c r="F270" t="inlineStr">
        <is>
          <t>SÖDERMANLANDS LÄN</t>
        </is>
      </c>
      <c r="G270" t="inlineStr">
        <is>
          <t>ESKILSTUNA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46311</v>
      </c>
      <c r="F271" t="inlineStr">
        <is>
          <t>SÖDERMANLANDS LÄN</t>
        </is>
      </c>
      <c r="G271" t="inlineStr">
        <is>
          <t>ESKILSTUNA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36565-2022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44804</v>
      </c>
      <c r="E272" s="1" t="n">
        <v>46311</v>
      </c>
      <c r="F272" t="inlineStr">
        <is>
          <t>SÖDERMANLANDS LÄN</t>
        </is>
      </c>
      <c r="G272" t="inlineStr">
        <is>
          <t>ESKILSTUNA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46311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46311</v>
      </c>
      <c r="F274" t="inlineStr">
        <is>
          <t>SÖDERMANLANDS LÄN</t>
        </is>
      </c>
      <c r="G274" t="inlineStr">
        <is>
          <t>ESKILSTUNA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60533-2024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45643</v>
      </c>
      <c r="E275" s="1" t="n">
        <v>46311</v>
      </c>
      <c r="F275" t="inlineStr">
        <is>
          <t>SÖDERMANLANDS LÄN</t>
        </is>
      </c>
      <c r="G275" t="inlineStr">
        <is>
          <t>ESKILSTUNA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45387</v>
      </c>
      <c r="E276" s="1" t="n">
        <v>46311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Kyrkan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46311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Allmännings- och besparingsskogar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28011-2022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44746</v>
      </c>
      <c r="E278" s="1" t="n">
        <v>46311</v>
      </c>
      <c r="F278" t="inlineStr">
        <is>
          <t>SÖDERMANLANDS LÄN</t>
        </is>
      </c>
      <c r="G278" t="inlineStr">
        <is>
          <t>ESKILSTUNA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10272-2024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46311</v>
      </c>
      <c r="F279" t="inlineStr">
        <is>
          <t>SÖDERMANLANDS LÄN</t>
        </is>
      </c>
      <c r="G279" t="inlineStr">
        <is>
          <t>ESKILSTUNA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46311</v>
      </c>
      <c r="F280" t="inlineStr">
        <is>
          <t>SÖDERMANLANDS LÄN</t>
        </is>
      </c>
      <c r="G280" t="inlineStr">
        <is>
          <t>ESKILSTUNA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46311</v>
      </c>
      <c r="F281" t="inlineStr">
        <is>
          <t>SÖDERMANLANDS LÄN</t>
        </is>
      </c>
      <c r="G281" t="inlineStr">
        <is>
          <t>ESKILSTUNA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46311</v>
      </c>
      <c r="F282" t="inlineStr">
        <is>
          <t>SÖDERMANLANDS LÄN</t>
        </is>
      </c>
      <c r="G282" t="inlineStr">
        <is>
          <t>ESKILSTUNA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44946</v>
      </c>
      <c r="E283" s="1" t="n">
        <v>46311</v>
      </c>
      <c r="F283" t="inlineStr">
        <is>
          <t>SÖDERMANLANDS LÄN</t>
        </is>
      </c>
      <c r="G283" t="inlineStr">
        <is>
          <t>ESKILSTUNA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46311</v>
      </c>
      <c r="F284" t="inlineStr">
        <is>
          <t>SÖDERMANLANDS LÄN</t>
        </is>
      </c>
      <c r="G284" t="inlineStr">
        <is>
          <t>ESKILSTUNA</t>
        </is>
      </c>
      <c r="I284" t="n">
        <v>10.8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44983</v>
      </c>
      <c r="E285" s="1" t="n">
        <v>46311</v>
      </c>
      <c r="F285" t="inlineStr">
        <is>
          <t>SÖDERMANLANDS LÄN</t>
        </is>
      </c>
      <c r="G285" t="inlineStr">
        <is>
          <t>ESKILSTUNA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61866-2022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44917</v>
      </c>
      <c r="E286" s="1" t="n">
        <v>46311</v>
      </c>
      <c r="F286" t="inlineStr">
        <is>
          <t>SÖDERMANLANDS LÄN</t>
        </is>
      </c>
      <c r="G286" t="inlineStr">
        <is>
          <t>ESKILSTUNA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45119</v>
      </c>
      <c r="E287" s="1" t="n">
        <v>46311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Sveaskog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50484-2025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45945</v>
      </c>
      <c r="E288" s="1" t="n">
        <v>46311</v>
      </c>
      <c r="F288" t="inlineStr">
        <is>
          <t>SÖDERMANLANDS LÄN</t>
        </is>
      </c>
      <c r="G288" t="inlineStr">
        <is>
          <t>ESKILSTUNA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45005</v>
      </c>
      <c r="E289" s="1" t="n">
        <v>46311</v>
      </c>
      <c r="F289" t="inlineStr">
        <is>
          <t>SÖDERMANLANDS LÄN</t>
        </is>
      </c>
      <c r="G289" t="inlineStr">
        <is>
          <t>ESKILSTUNA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26871-2023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46311</v>
      </c>
      <c r="F290" t="inlineStr">
        <is>
          <t>SÖDERMANLANDS LÄN</t>
        </is>
      </c>
      <c r="G290" t="inlineStr">
        <is>
          <t>ESKILSTUNA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43204-2025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45910</v>
      </c>
      <c r="E291" s="1" t="n">
        <v>46311</v>
      </c>
      <c r="F291" t="inlineStr">
        <is>
          <t>SÖDERMANLANDS LÄN</t>
        </is>
      </c>
      <c r="G291" t="inlineStr">
        <is>
          <t>ESKILSTUNA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44886</v>
      </c>
      <c r="E292" s="1" t="n">
        <v>46311</v>
      </c>
      <c r="F292" t="inlineStr">
        <is>
          <t>SÖDERMANLANDS LÄN</t>
        </is>
      </c>
      <c r="G292" t="inlineStr">
        <is>
          <t>ESKILSTUNA</t>
        </is>
      </c>
      <c r="I292" t="n">
        <v>15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43221-2023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46311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Allmännings- och besparingsskogar</t>
        </is>
      </c>
      <c r="I293" t="n">
        <v>15.8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46311</v>
      </c>
      <c r="F294" t="inlineStr">
        <is>
          <t>SÖDERMANLANDS LÄN</t>
        </is>
      </c>
      <c r="G294" t="inlineStr">
        <is>
          <t>ESKILSTUNA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46311</v>
      </c>
      <c r="F295" t="inlineStr">
        <is>
          <t>SÖDERMANLANDS LÄN</t>
        </is>
      </c>
      <c r="G295" t="inlineStr">
        <is>
          <t>ESKILSTUNA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44701</v>
      </c>
      <c r="E296" s="1" t="n">
        <v>46311</v>
      </c>
      <c r="F296" t="inlineStr">
        <is>
          <t>SÖDERMANLANDS LÄN</t>
        </is>
      </c>
      <c r="G296" t="inlineStr">
        <is>
          <t>ESKILSTUNA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4200-2025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45685</v>
      </c>
      <c r="E297" s="1" t="n">
        <v>46311</v>
      </c>
      <c r="F297" t="inlineStr">
        <is>
          <t>SÖDERMANLANDS LÄN</t>
        </is>
      </c>
      <c r="G297" t="inlineStr">
        <is>
          <t>ESKILSTUNA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44741</v>
      </c>
      <c r="E298" s="1" t="n">
        <v>46311</v>
      </c>
      <c r="F298" t="inlineStr">
        <is>
          <t>SÖDERMANLANDS LÄN</t>
        </is>
      </c>
      <c r="G298" t="inlineStr">
        <is>
          <t>ESKILSTUNA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44664</v>
      </c>
      <c r="E299" s="1" t="n">
        <v>46311</v>
      </c>
      <c r="F299" t="inlineStr">
        <is>
          <t>SÖDERMANLANDS LÄN</t>
        </is>
      </c>
      <c r="G299" t="inlineStr">
        <is>
          <t>ESKILSTUNA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45723</v>
      </c>
      <c r="E300" s="1" t="n">
        <v>46311</v>
      </c>
      <c r="F300" t="inlineStr">
        <is>
          <t>SÖDERMANLANDS LÄN</t>
        </is>
      </c>
      <c r="G300" t="inlineStr">
        <is>
          <t>ESKILSTUNA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61367-2021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44499</v>
      </c>
      <c r="E301" s="1" t="n">
        <v>46311</v>
      </c>
      <c r="F301" t="inlineStr">
        <is>
          <t>SÖDERMANLANDS LÄN</t>
        </is>
      </c>
      <c r="G301" t="inlineStr">
        <is>
          <t>ESKILSTUNA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65595-2021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44516</v>
      </c>
      <c r="E302" s="1" t="n">
        <v>46311</v>
      </c>
      <c r="F302" t="inlineStr">
        <is>
          <t>SÖDERMANLANDS LÄN</t>
        </is>
      </c>
      <c r="G302" t="inlineStr">
        <is>
          <t>ESKILSTUNA</t>
        </is>
      </c>
      <c r="I302" t="n">
        <v>9.5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45182</v>
      </c>
      <c r="E303" s="1" t="n">
        <v>46311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45670</v>
      </c>
      <c r="E304" s="1" t="n">
        <v>46311</v>
      </c>
      <c r="F304" t="inlineStr">
        <is>
          <t>SÖDERMANLANDS LÄN</t>
        </is>
      </c>
      <c r="G304" t="inlineStr">
        <is>
          <t>ESKILSTUNA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46311</v>
      </c>
      <c r="F305" t="inlineStr">
        <is>
          <t>SÖDERMANLANDS LÄN</t>
        </is>
      </c>
      <c r="G305" t="inlineStr">
        <is>
          <t>ESKILSTUNA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38895-2023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45163</v>
      </c>
      <c r="E306" s="1" t="n">
        <v>46311</v>
      </c>
      <c r="F306" t="inlineStr">
        <is>
          <t>SÖDERMANLANDS LÄN</t>
        </is>
      </c>
      <c r="G306" t="inlineStr">
        <is>
          <t>ESKILSTUNA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25229-2022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44729</v>
      </c>
      <c r="E307" s="1" t="n">
        <v>46311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46311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Allmännings- och besparingsskogar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61831-2023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45266</v>
      </c>
      <c r="E309" s="1" t="n">
        <v>46311</v>
      </c>
      <c r="F309" t="inlineStr">
        <is>
          <t>SÖDERMANLANDS LÄN</t>
        </is>
      </c>
      <c r="G309" t="inlineStr">
        <is>
          <t>ESKILSTUNA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44832</v>
      </c>
      <c r="E310" s="1" t="n">
        <v>46311</v>
      </c>
      <c r="F310" t="inlineStr">
        <is>
          <t>SÖDERMANLANDS LÄN</t>
        </is>
      </c>
      <c r="G310" t="inlineStr">
        <is>
          <t>ESKILSTUNA</t>
        </is>
      </c>
      <c r="I310" t="n">
        <v>19.9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29068-2022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46311</v>
      </c>
      <c r="F311" t="inlineStr">
        <is>
          <t>SÖDERMANLANDS LÄN</t>
        </is>
      </c>
      <c r="G311" t="inlineStr">
        <is>
          <t>ESKILSTUNA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46311</v>
      </c>
      <c r="F312" t="inlineStr">
        <is>
          <t>SÖDERMANLANDS LÄN</t>
        </is>
      </c>
      <c r="G312" t="inlineStr">
        <is>
          <t>ESKILSTUNA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1334-2024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45303</v>
      </c>
      <c r="E313" s="1" t="n">
        <v>46311</v>
      </c>
      <c r="F313" t="inlineStr">
        <is>
          <t>SÖDERMANLANDS LÄN</t>
        </is>
      </c>
      <c r="G313" t="inlineStr">
        <is>
          <t>ESKILSTUNA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46311</v>
      </c>
      <c r="F314" t="inlineStr">
        <is>
          <t>SÖDERMANLANDS LÄN</t>
        </is>
      </c>
      <c r="G314" t="inlineStr">
        <is>
          <t>ESKILSTUNA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46311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Kommuner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29750-2022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44755</v>
      </c>
      <c r="E316" s="1" t="n">
        <v>46311</v>
      </c>
      <c r="F316" t="inlineStr">
        <is>
          <t>SÖDERMANLANDS LÄN</t>
        </is>
      </c>
      <c r="G316" t="inlineStr">
        <is>
          <t>ESKILSTUNA</t>
        </is>
      </c>
      <c r="I316" t="n">
        <v>20.1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46311</v>
      </c>
      <c r="F317" t="inlineStr">
        <is>
          <t>SÖDERMANLANDS LÄN</t>
        </is>
      </c>
      <c r="G317" t="inlineStr">
        <is>
          <t>ESKILSTUNA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30968-2022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44768</v>
      </c>
      <c r="E318" s="1" t="n">
        <v>46311</v>
      </c>
      <c r="F318" t="inlineStr">
        <is>
          <t>SÖDERMANLANDS LÄN</t>
        </is>
      </c>
      <c r="G318" t="inlineStr">
        <is>
          <t>ESKILSTUNA</t>
        </is>
      </c>
      <c r="H318" t="inlineStr">
        <is>
          <t>Sveaskog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52663-2023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45225</v>
      </c>
      <c r="E319" s="1" t="n">
        <v>46311</v>
      </c>
      <c r="F319" t="inlineStr">
        <is>
          <t>SÖDERMANLANDS LÄN</t>
        </is>
      </c>
      <c r="G319" t="inlineStr">
        <is>
          <t>ESKILSTUNA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55812-2022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44886</v>
      </c>
      <c r="E320" s="1" t="n">
        <v>46311</v>
      </c>
      <c r="F320" t="inlineStr">
        <is>
          <t>SÖDERMANLANDS LÄN</t>
        </is>
      </c>
      <c r="G320" t="inlineStr">
        <is>
          <t>ESKILSTUNA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46311</v>
      </c>
      <c r="F321" t="inlineStr">
        <is>
          <t>SÖDERMANLANDS LÄN</t>
        </is>
      </c>
      <c r="G321" t="inlineStr">
        <is>
          <t>ESKILSTUNA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68022-2021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44525</v>
      </c>
      <c r="E322" s="1" t="n">
        <v>46311</v>
      </c>
      <c r="F322" t="inlineStr">
        <is>
          <t>SÖDERMANLANDS LÄN</t>
        </is>
      </c>
      <c r="G322" t="inlineStr">
        <is>
          <t>ESKILSTUNA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36636-2022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44804</v>
      </c>
      <c r="E323" s="1" t="n">
        <v>46311</v>
      </c>
      <c r="F323" t="inlineStr">
        <is>
          <t>SÖDERMANLANDS LÄN</t>
        </is>
      </c>
      <c r="G323" t="inlineStr">
        <is>
          <t>ESKILSTUNA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61861-2022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44917</v>
      </c>
      <c r="E324" s="1" t="n">
        <v>46311</v>
      </c>
      <c r="F324" t="inlineStr">
        <is>
          <t>SÖDERMANLANDS LÄN</t>
        </is>
      </c>
      <c r="G324" t="inlineStr">
        <is>
          <t>ESKILSTUNA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46157</v>
      </c>
      <c r="E325" s="1" t="n">
        <v>46311</v>
      </c>
      <c r="F325" t="inlineStr">
        <is>
          <t>SÖDERMANLANDS LÄN</t>
        </is>
      </c>
      <c r="G325" t="inlineStr">
        <is>
          <t>ESKILSTUNA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9711-2025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45715</v>
      </c>
      <c r="E326" s="1" t="n">
        <v>46311</v>
      </c>
      <c r="F326" t="inlineStr">
        <is>
          <t>SÖDERMANLANDS LÄN</t>
        </is>
      </c>
      <c r="G326" t="inlineStr">
        <is>
          <t>ESKILSTUNA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46311</v>
      </c>
      <c r="F327" t="inlineStr">
        <is>
          <t>SÖDERMANLANDS LÄN</t>
        </is>
      </c>
      <c r="G327" t="inlineStr">
        <is>
          <t>ESKILSTUNA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46311</v>
      </c>
      <c r="F328" t="inlineStr">
        <is>
          <t>SÖDERMANLANDS LÄN</t>
        </is>
      </c>
      <c r="G328" t="inlineStr">
        <is>
          <t>ESKILSTUNA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52203-2025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45953</v>
      </c>
      <c r="E329" s="1" t="n">
        <v>46311</v>
      </c>
      <c r="F329" t="inlineStr">
        <is>
          <t>SÖDERMANLANDS LÄN</t>
        </is>
      </c>
      <c r="G329" t="inlineStr">
        <is>
          <t>ESKILSTUNA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44998</v>
      </c>
      <c r="E330" s="1" t="n">
        <v>46311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Kommuner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61830-2023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45266</v>
      </c>
      <c r="E331" s="1" t="n">
        <v>46311</v>
      </c>
      <c r="F331" t="inlineStr">
        <is>
          <t>SÖDERMANLANDS LÄN</t>
        </is>
      </c>
      <c r="G331" t="inlineStr">
        <is>
          <t>ESKILSTUNA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46164</v>
      </c>
      <c r="E332" s="1" t="n">
        <v>46311</v>
      </c>
      <c r="F332" t="inlineStr">
        <is>
          <t>SÖDERMANLANDS LÄN</t>
        </is>
      </c>
      <c r="G332" t="inlineStr">
        <is>
          <t>ESKILSTUNA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35367-2024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45531</v>
      </c>
      <c r="E333" s="1" t="n">
        <v>46311</v>
      </c>
      <c r="F333" t="inlineStr">
        <is>
          <t>SÖDERMANLANDS LÄN</t>
        </is>
      </c>
      <c r="G333" t="inlineStr">
        <is>
          <t>ESKILSTUNA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45537</v>
      </c>
      <c r="E334" s="1" t="n">
        <v>46311</v>
      </c>
      <c r="F334" t="inlineStr">
        <is>
          <t>SÖDERMANLANDS LÄN</t>
        </is>
      </c>
      <c r="G334" t="inlineStr">
        <is>
          <t>ESKILSTUNA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44582</v>
      </c>
      <c r="E335" s="1" t="n">
        <v>46311</v>
      </c>
      <c r="F335" t="inlineStr">
        <is>
          <t>SÖDERMANLANDS LÄN</t>
        </is>
      </c>
      <c r="G335" t="inlineStr">
        <is>
          <t>ESKILSTUNA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36142-2022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44803</v>
      </c>
      <c r="E336" s="1" t="n">
        <v>46311</v>
      </c>
      <c r="F336" t="inlineStr">
        <is>
          <t>SÖDERMANLANDS LÄN</t>
        </is>
      </c>
      <c r="G336" t="inlineStr">
        <is>
          <t>ESKILSTUNA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44803</v>
      </c>
      <c r="E337" s="1" t="n">
        <v>46311</v>
      </c>
      <c r="F337" t="inlineStr">
        <is>
          <t>SÖDERMANLANDS LÄN</t>
        </is>
      </c>
      <c r="G337" t="inlineStr">
        <is>
          <t>ESKILSTUNA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46311</v>
      </c>
      <c r="F338" t="inlineStr">
        <is>
          <t>SÖDERMANLANDS LÄN</t>
        </is>
      </c>
      <c r="G338" t="inlineStr">
        <is>
          <t>ESKILSTUNA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70613-2021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44537</v>
      </c>
      <c r="E339" s="1" t="n">
        <v>46311</v>
      </c>
      <c r="F339" t="inlineStr">
        <is>
          <t>SÖDERMANLANDS LÄN</t>
        </is>
      </c>
      <c r="G339" t="inlineStr">
        <is>
          <t>ESKILSTUNA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45953</v>
      </c>
      <c r="E340" s="1" t="n">
        <v>46311</v>
      </c>
      <c r="F340" t="inlineStr">
        <is>
          <t>SÖDERMANLANDS LÄN</t>
        </is>
      </c>
      <c r="G340" t="inlineStr">
        <is>
          <t>ESKILSTUNA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46311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44615-2022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46311</v>
      </c>
      <c r="F342" t="inlineStr">
        <is>
          <t>SÖDERMANLANDS LÄN</t>
        </is>
      </c>
      <c r="G342" t="inlineStr">
        <is>
          <t>ESKILSTUNA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45763</v>
      </c>
      <c r="E343" s="1" t="n">
        <v>46311</v>
      </c>
      <c r="F343" t="inlineStr">
        <is>
          <t>SÖDERMANLANDS LÄN</t>
        </is>
      </c>
      <c r="G343" t="inlineStr">
        <is>
          <t>ESKILSTUNA</t>
        </is>
      </c>
      <c r="I343" t="n">
        <v>15.6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45931</v>
      </c>
      <c r="E344" s="1" t="n">
        <v>46311</v>
      </c>
      <c r="F344" t="inlineStr">
        <is>
          <t>SÖDERMANLANDS LÄN</t>
        </is>
      </c>
      <c r="G344" t="inlineStr">
        <is>
          <t>ESKILSTUNA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53374-2022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44874</v>
      </c>
      <c r="E345" s="1" t="n">
        <v>46311</v>
      </c>
      <c r="F345" t="inlineStr">
        <is>
          <t>SÖDERMANLANDS LÄN</t>
        </is>
      </c>
      <c r="G345" t="inlineStr">
        <is>
          <t>ESKILSTUNA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46177</v>
      </c>
      <c r="E346" s="1" t="n">
        <v>46311</v>
      </c>
      <c r="F346" t="inlineStr">
        <is>
          <t>SÖDERMANLANDS LÄN</t>
        </is>
      </c>
      <c r="G346" t="inlineStr">
        <is>
          <t>ESKILSTUNA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46311</v>
      </c>
      <c r="F347" t="inlineStr">
        <is>
          <t>SÖDERMANLANDS LÄN</t>
        </is>
      </c>
      <c r="G347" t="inlineStr">
        <is>
          <t>ESKILSTUNA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26022-2026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46311</v>
      </c>
      <c r="F348" t="inlineStr">
        <is>
          <t>SÖDERMANLANDS LÄN</t>
        </is>
      </c>
      <c r="G348" t="inlineStr">
        <is>
          <t>ESKILSTUNA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46311</v>
      </c>
      <c r="F349" t="inlineStr">
        <is>
          <t>SÖDERMANLANDS LÄN</t>
        </is>
      </c>
      <c r="G349" t="inlineStr">
        <is>
          <t>ESKILSTUNA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46311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13385-2023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45005</v>
      </c>
      <c r="E351" s="1" t="n">
        <v>46311</v>
      </c>
      <c r="F351" t="inlineStr">
        <is>
          <t>SÖDERMANLANDS LÄN</t>
        </is>
      </c>
      <c r="G351" t="inlineStr">
        <is>
          <t>ESKILSTUNA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39291-2023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45166</v>
      </c>
      <c r="E352" s="1" t="n">
        <v>46311</v>
      </c>
      <c r="F352" t="inlineStr">
        <is>
          <t>SÖDERMANLANDS LÄN</t>
        </is>
      </c>
      <c r="G352" t="inlineStr">
        <is>
          <t>ESKILSTUNA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26018-2026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46311</v>
      </c>
      <c r="F353" t="inlineStr">
        <is>
          <t>SÖDERMANLANDS LÄN</t>
        </is>
      </c>
      <c r="G353" t="inlineStr">
        <is>
          <t>ESKILSTUNA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44942</v>
      </c>
      <c r="E354" s="1" t="n">
        <v>46311</v>
      </c>
      <c r="F354" t="inlineStr">
        <is>
          <t>SÖDERMANLANDS LÄN</t>
        </is>
      </c>
      <c r="G354" t="inlineStr">
        <is>
          <t>ESKILSTUNA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40386-2022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46311</v>
      </c>
      <c r="F355" t="inlineStr">
        <is>
          <t>SÖDERMANLANDS LÄN</t>
        </is>
      </c>
      <c r="G355" t="inlineStr">
        <is>
          <t>ESKILSTUNA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52290-2024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45608</v>
      </c>
      <c r="E356" s="1" t="n">
        <v>46311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Övriga Aktiebolag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46311</v>
      </c>
      <c r="F357" t="inlineStr">
        <is>
          <t>SÖDERMANLANDS LÄN</t>
        </is>
      </c>
      <c r="G357" t="inlineStr">
        <is>
          <t>ESKILSTUNA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21133-2023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45062</v>
      </c>
      <c r="E358" s="1" t="n">
        <v>46311</v>
      </c>
      <c r="F358" t="inlineStr">
        <is>
          <t>SÖDERMANLANDS LÄN</t>
        </is>
      </c>
      <c r="G358" t="inlineStr">
        <is>
          <t>ESKILSTUNA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13626-2023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45006</v>
      </c>
      <c r="E359" s="1" t="n">
        <v>46311</v>
      </c>
      <c r="F359" t="inlineStr">
        <is>
          <t>SÖDERMANLANDS LÄN</t>
        </is>
      </c>
      <c r="G359" t="inlineStr">
        <is>
          <t>ESKILSTUNA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46191</v>
      </c>
      <c r="E360" s="1" t="n">
        <v>46311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27779-2026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46191</v>
      </c>
      <c r="E361" s="1" t="n">
        <v>46311</v>
      </c>
      <c r="F361" t="inlineStr">
        <is>
          <t>SÖDERMANLANDS LÄN</t>
        </is>
      </c>
      <c r="G361" t="inlineStr">
        <is>
          <t>ESKILSTUNA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46311</v>
      </c>
      <c r="F362" t="inlineStr">
        <is>
          <t>SÖDERMANLANDS LÄN</t>
        </is>
      </c>
      <c r="G362" t="inlineStr">
        <is>
          <t>ESKILSTUNA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55673-2024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45622</v>
      </c>
      <c r="E363" s="1" t="n">
        <v>46311</v>
      </c>
      <c r="F363" t="inlineStr">
        <is>
          <t>SÖDERMANLANDS LÄN</t>
        </is>
      </c>
      <c r="G363" t="inlineStr">
        <is>
          <t>ESKILSTUNA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44964</v>
      </c>
      <c r="E364" s="1" t="n">
        <v>46311</v>
      </c>
      <c r="F364" t="inlineStr">
        <is>
          <t>SÖDERMANLANDS LÄN</t>
        </is>
      </c>
      <c r="G364" t="inlineStr">
        <is>
          <t>ESKILSTUNA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29053-2026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46199</v>
      </c>
      <c r="E365" s="1" t="n">
        <v>46311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Sveaskog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13280-2023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45004</v>
      </c>
      <c r="E366" s="1" t="n">
        <v>46311</v>
      </c>
      <c r="F366" t="inlineStr">
        <is>
          <t>SÖDERMANLANDS LÄN</t>
        </is>
      </c>
      <c r="G366" t="inlineStr">
        <is>
          <t>ESKILSTUNA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29051-2026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46311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46872-2022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44851</v>
      </c>
      <c r="E368" s="1" t="n">
        <v>46311</v>
      </c>
      <c r="F368" t="inlineStr">
        <is>
          <t>SÖDERMANLANDS LÄN</t>
        </is>
      </c>
      <c r="G368" t="inlineStr">
        <is>
          <t>ESKILSTUNA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45198</v>
      </c>
      <c r="E369" s="1" t="n">
        <v>46311</v>
      </c>
      <c r="F369" t="inlineStr">
        <is>
          <t>SÖDERMANLANDS LÄN</t>
        </is>
      </c>
      <c r="G369" t="inlineStr">
        <is>
          <t>ESKILSTUNA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11522-2026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46311</v>
      </c>
      <c r="F370" t="inlineStr">
        <is>
          <t>SÖDERMANLANDS LÄN</t>
        </is>
      </c>
      <c r="G370" t="inlineStr">
        <is>
          <t>ESKILSTUNA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46164</v>
      </c>
      <c r="E371" s="1" t="n">
        <v>46311</v>
      </c>
      <c r="F371" t="inlineStr">
        <is>
          <t>SÖDERMANLANDS LÄN</t>
        </is>
      </c>
      <c r="G371" t="inlineStr">
        <is>
          <t>ESKILSTUNA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25071-2022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44729</v>
      </c>
      <c r="E372" s="1" t="n">
        <v>46311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22767-2026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46157</v>
      </c>
      <c r="E373" s="1" t="n">
        <v>46311</v>
      </c>
      <c r="F373" t="inlineStr">
        <is>
          <t>SÖDERMANLANDS LÄN</t>
        </is>
      </c>
      <c r="G373" t="inlineStr">
        <is>
          <t>ESKILSTUNA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51332-2025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45950</v>
      </c>
      <c r="E374" s="1" t="n">
        <v>46311</v>
      </c>
      <c r="F374" t="inlineStr">
        <is>
          <t>SÖDERMANLANDS LÄN</t>
        </is>
      </c>
      <c r="G374" t="inlineStr">
        <is>
          <t>ESKILSTUNA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44904</v>
      </c>
      <c r="E375" s="1" t="n">
        <v>46311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Allmännings- och besparingsskogar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44946</v>
      </c>
      <c r="E376" s="1" t="n">
        <v>46311</v>
      </c>
      <c r="F376" t="inlineStr">
        <is>
          <t>SÖDERMANLANDS LÄN</t>
        </is>
      </c>
      <c r="G376" t="inlineStr">
        <is>
          <t>ESKILSTUNA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57541-2022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44889</v>
      </c>
      <c r="E377" s="1" t="n">
        <v>46311</v>
      </c>
      <c r="F377" t="inlineStr">
        <is>
          <t>SÖDERMANLANDS LÄN</t>
        </is>
      </c>
      <c r="G377" t="inlineStr">
        <is>
          <t>ESKILSTUNA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44592</v>
      </c>
      <c r="E378" s="1" t="n">
        <v>46311</v>
      </c>
      <c r="F378" t="inlineStr">
        <is>
          <t>SÖDERMANLANDS LÄN</t>
        </is>
      </c>
      <c r="G378" t="inlineStr">
        <is>
          <t>ESKILSTUNA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20984-2023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45061</v>
      </c>
      <c r="E379" s="1" t="n">
        <v>46311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Allmännings- och besparingsskogar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35076-2022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44797</v>
      </c>
      <c r="E380" s="1" t="n">
        <v>46311</v>
      </c>
      <c r="F380" t="inlineStr">
        <is>
          <t>SÖDERMANLANDS LÄN</t>
        </is>
      </c>
      <c r="G380" t="inlineStr">
        <is>
          <t>ESKILSTUNA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46213</v>
      </c>
      <c r="E381" s="1" t="n">
        <v>46311</v>
      </c>
      <c r="F381" t="inlineStr">
        <is>
          <t>SÖDERMANLANDS LÄN</t>
        </is>
      </c>
      <c r="G381" t="inlineStr">
        <is>
          <t>ESKILSTUNA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46311</v>
      </c>
      <c r="F382" t="inlineStr">
        <is>
          <t>SÖDERMANLANDS LÄN</t>
        </is>
      </c>
      <c r="G382" t="inlineStr">
        <is>
          <t>ESKILSTUNA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4977-2024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45329</v>
      </c>
      <c r="E383" s="1" t="n">
        <v>46311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Kyrkan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52248-2025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45953</v>
      </c>
      <c r="E384" s="1" t="n">
        <v>46311</v>
      </c>
      <c r="F384" t="inlineStr">
        <is>
          <t>SÖDERMANLANDS LÄN</t>
        </is>
      </c>
      <c r="G384" t="inlineStr">
        <is>
          <t>ESKILSTUNA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31131-2026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46216</v>
      </c>
      <c r="E385" s="1" t="n">
        <v>46311</v>
      </c>
      <c r="F385" t="inlineStr">
        <is>
          <t>SÖDERMANLANDS LÄN</t>
        </is>
      </c>
      <c r="G385" t="inlineStr">
        <is>
          <t>ESKILSTUNA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46217</v>
      </c>
      <c r="E386" s="1" t="n">
        <v>46311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Kommuner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46311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Kommuner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46216</v>
      </c>
      <c r="E388" s="1" t="n">
        <v>46311</v>
      </c>
      <c r="F388" t="inlineStr">
        <is>
          <t>SÖDERMANLANDS LÄN</t>
        </is>
      </c>
      <c r="G388" t="inlineStr">
        <is>
          <t>ESKILSTUNA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44953</v>
      </c>
      <c r="E389" s="1" t="n">
        <v>46311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Allmännings- och besparingsskogar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46219</v>
      </c>
      <c r="E390" s="1" t="n">
        <v>46311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Sveaskog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1322-2024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45303</v>
      </c>
      <c r="E391" s="1" t="n">
        <v>46311</v>
      </c>
      <c r="F391" t="inlineStr">
        <is>
          <t>SÖDERMANLANDS LÄN</t>
        </is>
      </c>
      <c r="G391" t="inlineStr">
        <is>
          <t>ESKILSTUNA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45170</v>
      </c>
      <c r="E392" s="1" t="n">
        <v>46311</v>
      </c>
      <c r="F392" t="inlineStr">
        <is>
          <t>SÖDERMANLANDS LÄN</t>
        </is>
      </c>
      <c r="G392" t="inlineStr">
        <is>
          <t>ESKILSTUNA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1343-2024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45303</v>
      </c>
      <c r="E393" s="1" t="n">
        <v>46311</v>
      </c>
      <c r="F393" t="inlineStr">
        <is>
          <t>SÖDERMANLANDS LÄN</t>
        </is>
      </c>
      <c r="G393" t="inlineStr">
        <is>
          <t>ESKILSTUNA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44804</v>
      </c>
      <c r="E394" s="1" t="n">
        <v>46311</v>
      </c>
      <c r="F394" t="inlineStr">
        <is>
          <t>SÖDERMANLANDS LÄN</t>
        </is>
      </c>
      <c r="G394" t="inlineStr">
        <is>
          <t>ESKILSTUNA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39543-2023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45167</v>
      </c>
      <c r="E395" s="1" t="n">
        <v>46311</v>
      </c>
      <c r="F395" t="inlineStr">
        <is>
          <t>SÖDERMANLANDS LÄN</t>
        </is>
      </c>
      <c r="G395" t="inlineStr">
        <is>
          <t>ESKILSTUNA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13153-2026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46092</v>
      </c>
      <c r="E396" s="1" t="n">
        <v>46311</v>
      </c>
      <c r="F396" t="inlineStr">
        <is>
          <t>SÖDERMANLANDS LÄN</t>
        </is>
      </c>
      <c r="G396" t="inlineStr">
        <is>
          <t>ESKILSTUNA</t>
        </is>
      </c>
      <c r="I396" t="n">
        <v>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25668-2022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44732</v>
      </c>
      <c r="E397" s="1" t="n">
        <v>46311</v>
      </c>
      <c r="F397" t="inlineStr">
        <is>
          <t>SÖDERMANLANDS LÄN</t>
        </is>
      </c>
      <c r="G397" t="inlineStr">
        <is>
          <t>ESKILSTUNA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31002-2023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46311</v>
      </c>
      <c r="F398" t="inlineStr">
        <is>
          <t>SÖDERMANLANDS LÄN</t>
        </is>
      </c>
      <c r="G398" t="inlineStr">
        <is>
          <t>ESKILSTUNA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45664</v>
      </c>
      <c r="E399" s="1" t="n">
        <v>46311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61989-2023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45266</v>
      </c>
      <c r="E400" s="1" t="n">
        <v>46311</v>
      </c>
      <c r="F400" t="inlineStr">
        <is>
          <t>SÖDERMANLANDS LÄN</t>
        </is>
      </c>
      <c r="G400" t="inlineStr">
        <is>
          <t>ESKILSTUNA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45518</v>
      </c>
      <c r="E401" s="1" t="n">
        <v>46311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Övriga Aktiebolag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45708</v>
      </c>
      <c r="E402" s="1" t="n">
        <v>46311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45303</v>
      </c>
      <c r="E403" s="1" t="n">
        <v>46311</v>
      </c>
      <c r="F403" t="inlineStr">
        <is>
          <t>SÖDERMANLANDS LÄN</t>
        </is>
      </c>
      <c r="G403" t="inlineStr">
        <is>
          <t>ESKILSTUNA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1346-2024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45303</v>
      </c>
      <c r="E404" s="1" t="n">
        <v>46311</v>
      </c>
      <c r="F404" t="inlineStr">
        <is>
          <t>SÖDERMANLANDS LÄN</t>
        </is>
      </c>
      <c r="G404" t="inlineStr">
        <is>
          <t>ESKILSTUNA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32177-2026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46237</v>
      </c>
      <c r="E405" s="1" t="n">
        <v>46311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53098-2022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44873</v>
      </c>
      <c r="E406" s="1" t="n">
        <v>46311</v>
      </c>
      <c r="F406" t="inlineStr">
        <is>
          <t>SÖDERMANLANDS LÄN</t>
        </is>
      </c>
      <c r="G406" t="inlineStr">
        <is>
          <t>ESKILSTUNA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44965</v>
      </c>
      <c r="E407" s="1" t="n">
        <v>46311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Allmännings- och besparingsskogar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37882-2026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46279</v>
      </c>
      <c r="E408" s="1" t="n">
        <v>46311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46238</v>
      </c>
      <c r="E409" s="1" t="n">
        <v>46311</v>
      </c>
      <c r="F409" t="inlineStr">
        <is>
          <t>SÖDERMANLANDS LÄN</t>
        </is>
      </c>
      <c r="G409" t="inlineStr">
        <is>
          <t>ESKILSTUNA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44634</v>
      </c>
      <c r="E410" s="1" t="n">
        <v>46311</v>
      </c>
      <c r="F410" t="inlineStr">
        <is>
          <t>SÖDERMANLANDS LÄN</t>
        </is>
      </c>
      <c r="G410" t="inlineStr">
        <is>
          <t>ESKILSTUNA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48998-2023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45209</v>
      </c>
      <c r="E411" s="1" t="n">
        <v>46311</v>
      </c>
      <c r="F411" t="inlineStr">
        <is>
          <t>SÖDERMANLANDS LÄN</t>
        </is>
      </c>
      <c r="G411" t="inlineStr">
        <is>
          <t>ESKILSTUNA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56389-2025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46311</v>
      </c>
      <c r="F412" t="inlineStr">
        <is>
          <t>SÖDERMANLANDS LÄN</t>
        </is>
      </c>
      <c r="G412" t="inlineStr">
        <is>
          <t>ESKILSTUNA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46238</v>
      </c>
      <c r="E413" s="1" t="n">
        <v>46311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Sveaskog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44844</v>
      </c>
      <c r="E414" s="1" t="n">
        <v>46311</v>
      </c>
      <c r="F414" t="inlineStr">
        <is>
          <t>SÖDERMANLANDS LÄN</t>
        </is>
      </c>
      <c r="G414" t="inlineStr">
        <is>
          <t>ESKILSTUNA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45884-2022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44844</v>
      </c>
      <c r="E415" s="1" t="n">
        <v>46311</v>
      </c>
      <c r="F415" t="inlineStr">
        <is>
          <t>SÖDERMANLANDS LÄN</t>
        </is>
      </c>
      <c r="G415" t="inlineStr">
        <is>
          <t>ESKILSTUNA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32461-2026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46239</v>
      </c>
      <c r="E416" s="1" t="n">
        <v>46311</v>
      </c>
      <c r="F416" t="inlineStr">
        <is>
          <t>SÖDERMANLANDS LÄN</t>
        </is>
      </c>
      <c r="G416" t="inlineStr">
        <is>
          <t>ESKILSTUNA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44942</v>
      </c>
      <c r="E417" s="1" t="n">
        <v>46311</v>
      </c>
      <c r="F417" t="inlineStr">
        <is>
          <t>SÖDERMANLANDS LÄN</t>
        </is>
      </c>
      <c r="G417" t="inlineStr">
        <is>
          <t>ESKILSTUNA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32708-2024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45514</v>
      </c>
      <c r="E418" s="1" t="n">
        <v>46311</v>
      </c>
      <c r="F418" t="inlineStr">
        <is>
          <t>SÖDERMANLANDS LÄN</t>
        </is>
      </c>
      <c r="G418" t="inlineStr">
        <is>
          <t>ESKILSTUNA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57134-2025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46311</v>
      </c>
      <c r="F419" t="inlineStr">
        <is>
          <t>SÖDERMANLANDS LÄN</t>
        </is>
      </c>
      <c r="G419" t="inlineStr">
        <is>
          <t>ESKILSTUNA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46241</v>
      </c>
      <c r="E420" s="1" t="n">
        <v>46311</v>
      </c>
      <c r="F420" t="inlineStr">
        <is>
          <t>SÖDERMANLANDS LÄN</t>
        </is>
      </c>
      <c r="G420" t="inlineStr">
        <is>
          <t>ESKILSTUNA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45058</v>
      </c>
      <c r="E421" s="1" t="n">
        <v>46311</v>
      </c>
      <c r="F421" t="inlineStr">
        <is>
          <t>SÖDERMANLANDS LÄN</t>
        </is>
      </c>
      <c r="G421" t="inlineStr">
        <is>
          <t>ESKILSTUNA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33585-2022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44789</v>
      </c>
      <c r="E422" s="1" t="n">
        <v>46311</v>
      </c>
      <c r="F422" t="inlineStr">
        <is>
          <t>SÖDERMANLANDS LÄN</t>
        </is>
      </c>
      <c r="G422" t="inlineStr">
        <is>
          <t>ESKILSTUNA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45341</v>
      </c>
      <c r="E423" s="1" t="n">
        <v>46311</v>
      </c>
      <c r="F423" t="inlineStr">
        <is>
          <t>SÖDERMANLANDS LÄN</t>
        </is>
      </c>
      <c r="G423" t="inlineStr">
        <is>
          <t>ESKILSTUNA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57128-2025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45979</v>
      </c>
      <c r="E424" s="1" t="n">
        <v>46311</v>
      </c>
      <c r="F424" t="inlineStr">
        <is>
          <t>SÖDERMANLANDS LÄN</t>
        </is>
      </c>
      <c r="G424" t="inlineStr">
        <is>
          <t>ESKILSTUNA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46245</v>
      </c>
      <c r="E425" s="1" t="n">
        <v>46311</v>
      </c>
      <c r="F425" t="inlineStr">
        <is>
          <t>SÖDERMANLANDS LÄN</t>
        </is>
      </c>
      <c r="G425" t="inlineStr">
        <is>
          <t>ESKILSTUNA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33125-2026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46245</v>
      </c>
      <c r="E426" s="1" t="n">
        <v>46311</v>
      </c>
      <c r="F426" t="inlineStr">
        <is>
          <t>SÖDERMANLANDS LÄN</t>
        </is>
      </c>
      <c r="G426" t="inlineStr">
        <is>
          <t>ESKILSTUNA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39144-2026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46287</v>
      </c>
      <c r="E427" s="1" t="n">
        <v>46311</v>
      </c>
      <c r="F427" t="inlineStr">
        <is>
          <t>SÖDERMANLANDS LÄN</t>
        </is>
      </c>
      <c r="G427" t="inlineStr">
        <is>
          <t>ESKILSTUNA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57138-2025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46311</v>
      </c>
      <c r="F428" t="inlineStr">
        <is>
          <t>SÖDERMANLANDS LÄN</t>
        </is>
      </c>
      <c r="G428" t="inlineStr">
        <is>
          <t>ESKILSTUNA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32969-2026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46244</v>
      </c>
      <c r="E429" s="1" t="n">
        <v>46311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Kommuner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45695</v>
      </c>
      <c r="E430" s="1" t="n">
        <v>46311</v>
      </c>
      <c r="F430" t="inlineStr">
        <is>
          <t>SÖDERMANLANDS LÄN</t>
        </is>
      </c>
      <c r="G430" t="inlineStr">
        <is>
          <t>ESKILSTUNA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46287</v>
      </c>
      <c r="E431" s="1" t="n">
        <v>46311</v>
      </c>
      <c r="F431" t="inlineStr">
        <is>
          <t>SÖDERMANLANDS LÄN</t>
        </is>
      </c>
      <c r="G431" t="inlineStr">
        <is>
          <t>ESKILSTUNA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15592-2023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45020</v>
      </c>
      <c r="E432" s="1" t="n">
        <v>46311</v>
      </c>
      <c r="F432" t="inlineStr">
        <is>
          <t>SÖDERMANLANDS LÄN</t>
        </is>
      </c>
      <c r="G432" t="inlineStr">
        <is>
          <t>ESKILSTUNA</t>
        </is>
      </c>
      <c r="I432" t="n">
        <v>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6659-2024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45341</v>
      </c>
      <c r="E433" s="1" t="n">
        <v>46311</v>
      </c>
      <c r="F433" t="inlineStr">
        <is>
          <t>SÖDERMANLANDS LÄN</t>
        </is>
      </c>
      <c r="G433" t="inlineStr">
        <is>
          <t>ESKILSTUNA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5841-2025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45695</v>
      </c>
      <c r="E434" s="1" t="n">
        <v>46311</v>
      </c>
      <c r="F434" t="inlineStr">
        <is>
          <t>SÖDERMANLANDS LÄN</t>
        </is>
      </c>
      <c r="G434" t="inlineStr">
        <is>
          <t>ESKILSTUNA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45695</v>
      </c>
      <c r="E435" s="1" t="n">
        <v>46311</v>
      </c>
      <c r="F435" t="inlineStr">
        <is>
          <t>SÖDERMANLANDS LÄN</t>
        </is>
      </c>
      <c r="G435" t="inlineStr">
        <is>
          <t>ESKILSTUNA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45637</v>
      </c>
      <c r="E436" s="1" t="n">
        <v>46311</v>
      </c>
      <c r="F436" t="inlineStr">
        <is>
          <t>SÖDERMANLANDS LÄN</t>
        </is>
      </c>
      <c r="G436" t="inlineStr">
        <is>
          <t>ESKILSTUNA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46311</v>
      </c>
      <c r="F437" t="inlineStr">
        <is>
          <t>SÖDERMANLANDS LÄN</t>
        </is>
      </c>
      <c r="G437" t="inlineStr">
        <is>
          <t>ESKILSTUNA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46246</v>
      </c>
      <c r="E438" s="1" t="n">
        <v>46311</v>
      </c>
      <c r="F438" t="inlineStr">
        <is>
          <t>SÖDERMANLANDS LÄN</t>
        </is>
      </c>
      <c r="G438" t="inlineStr">
        <is>
          <t>ESKILSTUNA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53181-2024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45611</v>
      </c>
      <c r="E439" s="1" t="n">
        <v>46311</v>
      </c>
      <c r="F439" t="inlineStr">
        <is>
          <t>SÖDERMANLANDS LÄN</t>
        </is>
      </c>
      <c r="G439" t="inlineStr">
        <is>
          <t>ESKILSTUNA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45670</v>
      </c>
      <c r="E440" s="1" t="n">
        <v>46311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Sveaskog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70560-2021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44536</v>
      </c>
      <c r="E441" s="1" t="n">
        <v>46311</v>
      </c>
      <c r="F441" t="inlineStr">
        <is>
          <t>SÖDERMANLANDS LÄN</t>
        </is>
      </c>
      <c r="G441" t="inlineStr">
        <is>
          <t>ESKILSTUNA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53933-2024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46311</v>
      </c>
      <c r="F442" t="inlineStr">
        <is>
          <t>SÖDERMANLANDS LÄN</t>
        </is>
      </c>
      <c r="G442" t="inlineStr">
        <is>
          <t>ESKILSTUNA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45183</v>
      </c>
      <c r="E443" s="1" t="n">
        <v>46311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39700-2026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46289</v>
      </c>
      <c r="E444" s="1" t="n">
        <v>46311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Kyrkan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60326-2025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45994</v>
      </c>
      <c r="E445" s="1" t="n">
        <v>46311</v>
      </c>
      <c r="F445" t="inlineStr">
        <is>
          <t>SÖDERMANLANDS LÄN</t>
        </is>
      </c>
      <c r="G445" t="inlineStr">
        <is>
          <t>ESKILSTUNA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46311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44953</v>
      </c>
      <c r="E447" s="1" t="n">
        <v>46311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Allmännings- och besparingsskogar</t>
        </is>
      </c>
      <c r="I447" t="n">
        <v>9.6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60246-2024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45642</v>
      </c>
      <c r="E448" s="1" t="n">
        <v>46311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60754-2025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46311</v>
      </c>
      <c r="F449" t="inlineStr">
        <is>
          <t>SÖDERMANLANDS LÄN</t>
        </is>
      </c>
      <c r="G449" t="inlineStr">
        <is>
          <t>ESKILSTUNA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45737</v>
      </c>
      <c r="E450" s="1" t="n">
        <v>46311</v>
      </c>
      <c r="F450" t="inlineStr">
        <is>
          <t>SÖDERMANLANDS LÄN</t>
        </is>
      </c>
      <c r="G450" t="inlineStr">
        <is>
          <t>ESKILSTUNA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44593</v>
      </c>
      <c r="E451" s="1" t="n">
        <v>46311</v>
      </c>
      <c r="F451" t="inlineStr">
        <is>
          <t>SÖDERMANLANDS LÄN</t>
        </is>
      </c>
      <c r="G451" t="inlineStr">
        <is>
          <t>ESKILSTUNA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10352-2024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45365</v>
      </c>
      <c r="E452" s="1" t="n">
        <v>46311</v>
      </c>
      <c r="F452" t="inlineStr">
        <is>
          <t>SÖDERMANLANDS LÄN</t>
        </is>
      </c>
      <c r="G452" t="inlineStr">
        <is>
          <t>ESKILSTUNA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19285-2023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46311</v>
      </c>
      <c r="F453" t="inlineStr">
        <is>
          <t>SÖDERMANLANDS LÄN</t>
        </is>
      </c>
      <c r="G453" t="inlineStr">
        <is>
          <t>ESKILSTUNA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46311</v>
      </c>
      <c r="F454" t="inlineStr">
        <is>
          <t>SÖDERMANLANDS LÄN</t>
        </is>
      </c>
      <c r="G454" t="inlineStr">
        <is>
          <t>ESKILSTUNA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46254</v>
      </c>
      <c r="E455" s="1" t="n">
        <v>46311</v>
      </c>
      <c r="F455" t="inlineStr">
        <is>
          <t>SÖDERMANLANDS LÄN</t>
        </is>
      </c>
      <c r="G455" t="inlineStr">
        <is>
          <t>ESKILSTUNA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34485-2026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46254</v>
      </c>
      <c r="E456" s="1" t="n">
        <v>46311</v>
      </c>
      <c r="F456" t="inlineStr">
        <is>
          <t>SÖDERMANLANDS LÄN</t>
        </is>
      </c>
      <c r="G456" t="inlineStr">
        <is>
          <t>ESKILSTUNA</t>
        </is>
      </c>
      <c r="H456" t="inlineStr">
        <is>
          <t>Allmännings- och besparingsskogar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24537-2025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45798</v>
      </c>
      <c r="E457" s="1" t="n">
        <v>46311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24534-2025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45798</v>
      </c>
      <c r="E458" s="1" t="n">
        <v>46311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Sveaskog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24535-2025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45798</v>
      </c>
      <c r="E459" s="1" t="n">
        <v>46311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Sveaskog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24536-2025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45798</v>
      </c>
      <c r="E460" s="1" t="n">
        <v>46311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24652-2025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45798</v>
      </c>
      <c r="E461" s="1" t="n">
        <v>46311</v>
      </c>
      <c r="F461" t="inlineStr">
        <is>
          <t>SÖDERMANLANDS LÄN</t>
        </is>
      </c>
      <c r="G461" t="inlineStr">
        <is>
          <t>ESKILSTUNA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45798</v>
      </c>
      <c r="E462" s="1" t="n">
        <v>46311</v>
      </c>
      <c r="F462" t="inlineStr">
        <is>
          <t>SÖDERMANLANDS LÄN</t>
        </is>
      </c>
      <c r="G462" t="inlineStr">
        <is>
          <t>ESKILSTUNA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24667-2025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45798</v>
      </c>
      <c r="E463" s="1" t="n">
        <v>46311</v>
      </c>
      <c r="F463" t="inlineStr">
        <is>
          <t>SÖDERMANLANDS LÄN</t>
        </is>
      </c>
      <c r="G463" t="inlineStr">
        <is>
          <t>ESKILSTUNA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42545-2025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45905</v>
      </c>
      <c r="E464" s="1" t="n">
        <v>46311</v>
      </c>
      <c r="F464" t="inlineStr">
        <is>
          <t>SÖDERMANLANDS LÄN</t>
        </is>
      </c>
      <c r="G464" t="inlineStr">
        <is>
          <t>ESKILSTUNA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46311</v>
      </c>
      <c r="F465" t="inlineStr">
        <is>
          <t>SÖDERMANLANDS LÄN</t>
        </is>
      </c>
      <c r="G465" t="inlineStr">
        <is>
          <t>ESKILSTUNA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51801-2025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45950</v>
      </c>
      <c r="E466" s="1" t="n">
        <v>46311</v>
      </c>
      <c r="F466" t="inlineStr">
        <is>
          <t>SÖDERMANLANDS LÄN</t>
        </is>
      </c>
      <c r="G466" t="inlineStr">
        <is>
          <t>ESKILSTUNA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46310</v>
      </c>
      <c r="E467" s="1" t="n">
        <v>46311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46311</v>
      </c>
      <c r="F468" t="inlineStr">
        <is>
          <t>SÖDERMANLANDS LÄN</t>
        </is>
      </c>
      <c r="G468" t="inlineStr">
        <is>
          <t>ESKILSTUNA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46310</v>
      </c>
      <c r="E469" s="1" t="n">
        <v>46311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11.1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9133-2026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46069</v>
      </c>
      <c r="E470" s="1" t="n">
        <v>46311</v>
      </c>
      <c r="F470" t="inlineStr">
        <is>
          <t>SÖDERMANLANDS LÄN</t>
        </is>
      </c>
      <c r="G470" t="inlineStr">
        <is>
          <t>ESKILSTUNA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46085</v>
      </c>
      <c r="E471" s="1" t="n">
        <v>46311</v>
      </c>
      <c r="F471" t="inlineStr">
        <is>
          <t>SÖDERMANLANDS LÄN</t>
        </is>
      </c>
      <c r="G471" t="inlineStr">
        <is>
          <t>ESKILSTUNA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46311</v>
      </c>
      <c r="F472" t="inlineStr">
        <is>
          <t>SÖDERMANLANDS LÄN</t>
        </is>
      </c>
      <c r="G472" t="inlineStr">
        <is>
          <t>ESKILSTUNA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46311</v>
      </c>
      <c r="F473" t="inlineStr">
        <is>
          <t>SÖDERMANLANDS LÄN</t>
        </is>
      </c>
      <c r="G473" t="inlineStr">
        <is>
          <t>ESKILSTUNA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1333-2020</t>
        </is>
      </c>
      <c r="B474" t="inlineStr">
        <is>
          <t>samrådsanmälan</t>
        </is>
      </c>
      <c r="C474" t="inlineStr">
        <is>
          <t>Åtgärd i nyckelbiotop</t>
        </is>
      </c>
      <c r="D474" s="1" t="n">
        <v>43993</v>
      </c>
      <c r="E474" s="1" t="n">
        <v>46311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383-2023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44959</v>
      </c>
      <c r="E475" s="1" t="n">
        <v>46311</v>
      </c>
      <c r="F475" t="inlineStr">
        <is>
          <t>SÖDERMANLANDS LÄN</t>
        </is>
      </c>
      <c r="G475" t="inlineStr">
        <is>
          <t>ESKILSTUNA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3665-2023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45217</v>
      </c>
      <c r="E476" s="1" t="n">
        <v>46311</v>
      </c>
      <c r="F476" t="inlineStr">
        <is>
          <t>SÖDERMANLANDS LÄN</t>
        </is>
      </c>
      <c r="G476" t="inlineStr">
        <is>
          <t>ESKILSTUNA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4583-2023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45282</v>
      </c>
      <c r="E477" s="1" t="n">
        <v>46311</v>
      </c>
      <c r="F477" t="inlineStr">
        <is>
          <t>SÖDERMANLANDS LÄN</t>
        </is>
      </c>
      <c r="G477" t="inlineStr">
        <is>
          <t>ESKILSTUNA</t>
        </is>
      </c>
      <c r="I477" t="n">
        <v>31.4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1601-2025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45798</v>
      </c>
      <c r="E478" s="1" t="n">
        <v>46311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46311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291-2025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45686</v>
      </c>
      <c r="E480" s="1" t="n">
        <v>46311</v>
      </c>
      <c r="F480" t="inlineStr">
        <is>
          <t>SÖDERMANLANDS LÄN</t>
        </is>
      </c>
      <c r="G480" t="inlineStr">
        <is>
          <t>ESKILSTUNA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2917-2024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45504</v>
      </c>
      <c r="E481" s="1" t="n">
        <v>46311</v>
      </c>
      <c r="F481" t="inlineStr">
        <is>
          <t>SÖDERMANLANDS LÄN</t>
        </is>
      </c>
      <c r="G481" t="inlineStr">
        <is>
          <t>ESKILSTUNA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1920-2025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45826</v>
      </c>
      <c r="E482" s="1" t="n">
        <v>46311</v>
      </c>
      <c r="F482" t="inlineStr">
        <is>
          <t>SÖDERMANLANDS LÄN</t>
        </is>
      </c>
      <c r="G482" t="inlineStr">
        <is>
          <t>ESKILSTUNA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1030-2026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46125</v>
      </c>
      <c r="E483" s="1" t="n">
        <v>46311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1870-2026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46199</v>
      </c>
      <c r="E484" s="1" t="n">
        <v>46311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1871-2026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46311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2026-10-16T02:19:14Z</dcterms:created>
  <dcterms:modified xmlns:dcterms="http://purl.org/dc/terms/" xmlns:xsi="http://www.w3.org/2001/XMLSchema-instance" xsi:type="dcterms:W3CDTF">2026-10-16T02:19:14Z</dcterms:modified>
</cp:coreProperties>
</file>