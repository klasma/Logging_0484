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46321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21734-2023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45063</v>
      </c>
      <c r="E8" s="1" t="n">
        <v>46321</v>
      </c>
      <c r="F8" t="inlineStr">
        <is>
          <t>SÖDERMANLANDS LÄN</t>
        </is>
      </c>
      <c r="G8" t="inlineStr">
        <is>
          <t>ESKILSTUNA</t>
        </is>
      </c>
      <c r="I8" t="n">
        <v>10.5</v>
      </c>
      <c r="J8" t="n">
        <v>0</v>
      </c>
      <c r="K8" t="n">
        <v>1</v>
      </c>
      <c r="L8" t="n">
        <v>6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Dropptaggsvamp
Kryddspindling
Motaggsvamp
Skarp dropptaggsvamp
Svartvit taggsvamp
Talltaggsvamp
Grönpyrola</t>
        </is>
      </c>
      <c r="W8">
        <f>HYPERLINK("https://klasma.github.io/Logging_0484/artfynd/A 21734-2023 artfynd.xlsx", "A 21734-2023")</f>
        <v/>
      </c>
      <c r="X8">
        <f>HYPERLINK("https://klasma.github.io/Logging_0484/kartor/A 21734-2023 karta.png", "A 21734-2023")</f>
        <v/>
      </c>
      <c r="Y8">
        <f>HYPERLINK("https://klasma.github.io/Logging_0484/kartor_geotiff/A 21734-2023 georefererad karta.tif", "A 21734-2023")</f>
        <v/>
      </c>
      <c r="AA8">
        <f>HYPERLINK("https://klasma.github.io/Logging_0484/klagomål/A 21734-2023 FSC-klagomål.docx", "A 21734-2023")</f>
        <v/>
      </c>
      <c r="AB8">
        <f>HYPERLINK("https://klasma.github.io/Logging_0484/klagomålsmail/A 21734-2023 FSC-klagomål mail.docx", "A 21734-2023")</f>
        <v/>
      </c>
      <c r="AC8">
        <f>HYPERLINK("https://klasma.github.io/Logging_0484/tillsyn/A 21734-2023 tillsynsbegäran.docx", "A 21734-2023")</f>
        <v/>
      </c>
      <c r="AD8">
        <f>HYPERLINK("https://klasma.github.io/Logging_0484/tillsynsmail/A 21734-2023 tillsynsbegäran mail.docx", "A 21734-2023")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46321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46321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46321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46321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46321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40831-2026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46296</v>
      </c>
      <c r="E14" s="1" t="n">
        <v>46321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Sveaskog</t>
        </is>
      </c>
      <c r="I14" t="n">
        <v>0.8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Mindre hackspett
Grov baronmossa
Piskbaronmossa
Platt fjädermossa
Blåsippa</t>
        </is>
      </c>
      <c r="W14">
        <f>HYPERLINK("https://klasma.github.io/Logging_0484/artfynd/A 40831-2026 artfynd.xlsx", "A 40831-2026")</f>
        <v/>
      </c>
      <c r="X14">
        <f>HYPERLINK("https://klasma.github.io/Logging_0484/kartor/A 40831-2026 karta.png", "A 40831-2026")</f>
        <v/>
      </c>
      <c r="Y14">
        <f>HYPERLINK("https://klasma.github.io/Logging_0484/kartor_geotiff/A 40831-2026 georefererad karta.tif", "A 40831-2026")</f>
        <v/>
      </c>
      <c r="AA14">
        <f>HYPERLINK("https://klasma.github.io/Logging_0484/klagomål/A 40831-2026 FSC-klagomål.docx", "A 40831-2026")</f>
        <v/>
      </c>
      <c r="AB14">
        <f>HYPERLINK("https://klasma.github.io/Logging_0484/klagomålsmail/A 40831-2026 FSC-klagomål mail.docx", "A 40831-2026")</f>
        <v/>
      </c>
      <c r="AC14">
        <f>HYPERLINK("https://klasma.github.io/Logging_0484/tillsyn/A 40831-2026 tillsynsbegäran.docx", "A 40831-2026")</f>
        <v/>
      </c>
      <c r="AD14">
        <f>HYPERLINK("https://klasma.github.io/Logging_0484/tillsynsmail/A 40831-2026 tillsynsbegäran mail.docx", "A 40831-2026")</f>
        <v/>
      </c>
      <c r="AE14">
        <f>HYPERLINK("https://klasma.github.io/Logging_0484/fåglar/A 40831-2026 prioriterade fågelarter.docx", "A 40831-2026")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46321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46321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46321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46321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46321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46321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46321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46321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46321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46321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46321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46321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46321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46321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2.1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Gullpudra
Tibast
Blåsippa</t>
        </is>
      </c>
      <c r="W32">
        <f>HYPERLINK("https://klasma.github.io/Logging_0484/artfynd/A 40844-2026 artfynd.xlsx", "A 40844-2026")</f>
        <v/>
      </c>
      <c r="X32">
        <f>HYPERLINK("https://klasma.github.io/Logging_0484/kartor/A 40844-2026 karta.png", "A 40844-2026")</f>
        <v/>
      </c>
      <c r="Y32">
        <f>HYPERLINK("https://klasma.github.io/Logging_0484/kartor_geotiff/A 40844-2026 georefererad karta.tif", "A 40844-2026")</f>
        <v/>
      </c>
      <c r="AA32">
        <f>HYPERLINK("https://klasma.github.io/Logging_0484/klagomål/A 40844-2026 FSC-klagomål.docx", "A 40844-2026")</f>
        <v/>
      </c>
      <c r="AB32">
        <f>HYPERLINK("https://klasma.github.io/Logging_0484/klagomålsmail/A 40844-2026 FSC-klagomål mail.docx", "A 40844-2026")</f>
        <v/>
      </c>
      <c r="AC32">
        <f>HYPERLINK("https://klasma.github.io/Logging_0484/tillsyn/A 40844-2026 tillsynsbegäran.docx", "A 40844-2026")</f>
        <v/>
      </c>
      <c r="AD32">
        <f>HYPERLINK("https://klasma.github.io/Logging_0484/tillsynsmail/A 40844-2026 tillsynsbegäran mail.docx", "A 40844-2026")</f>
        <v/>
      </c>
    </row>
    <row r="33" ht="15" customHeight="1">
      <c r="A33" t="inlineStr">
        <is>
          <t>A 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46321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2.6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Spillkråka
Trädlärka
Revlummer</t>
        </is>
      </c>
      <c r="W33">
        <f>HYPERLINK("https://klasma.github.io/Logging_0484/artfynd/A 571-2023 artfynd.xlsx", "A 571-2023")</f>
        <v/>
      </c>
      <c r="X33">
        <f>HYPERLINK("https://klasma.github.io/Logging_0484/kartor/A 571-2023 karta.png", "A 571-2023")</f>
        <v/>
      </c>
      <c r="Y33">
        <f>HYPERLINK("https://klasma.github.io/Logging_0484/kartor_geotiff/A 571-2023 georefererad karta.tif", "A 571-2023")</f>
        <v/>
      </c>
      <c r="AA33">
        <f>HYPERLINK("https://klasma.github.io/Logging_0484/klagomål/A 571-2023 FSC-klagomål.docx", "A 571-2023")</f>
        <v/>
      </c>
      <c r="AB33">
        <f>HYPERLINK("https://klasma.github.io/Logging_0484/klagomålsmail/A 571-2023 FSC-klagomål mail.docx", "A 571-2023")</f>
        <v/>
      </c>
      <c r="AC33">
        <f>HYPERLINK("https://klasma.github.io/Logging_0484/tillsyn/A 571-2023 tillsynsbegäran.docx", "A 571-2023")</f>
        <v/>
      </c>
      <c r="AD33">
        <f>HYPERLINK("https://klasma.github.io/Logging_0484/tillsynsmail/A 571-2023 tillsynsbegäran mail.docx", "A 571-2023")</f>
        <v/>
      </c>
      <c r="AE33">
        <f>HYPERLINK("https://klasma.github.io/Logging_0484/fåglar/A 571-2023 prioriterade fågelarter.docx", "A 571-2023")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46321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46321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46321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46321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26095-2026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46321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Svinrot
Spillkråka</t>
        </is>
      </c>
      <c r="W39">
        <f>HYPERLINK("https://klasma.github.io/Logging_0484/artfynd/A 26095-2026 artfynd.xlsx", "A 26095-2026")</f>
        <v/>
      </c>
      <c r="X39">
        <f>HYPERLINK("https://klasma.github.io/Logging_0484/kartor/A 26095-2026 karta.png", "A 26095-2026")</f>
        <v/>
      </c>
      <c r="Y39">
        <f>HYPERLINK("https://klasma.github.io/Logging_0484/kartor_geotiff/A 26095-2026 georefererad karta.tif", "A 26095-2026")</f>
        <v/>
      </c>
      <c r="AA39">
        <f>HYPERLINK("https://klasma.github.io/Logging_0484/klagomål/A 26095-2026 FSC-klagomål.docx", "A 26095-2026")</f>
        <v/>
      </c>
      <c r="AB39">
        <f>HYPERLINK("https://klasma.github.io/Logging_0484/klagomålsmail/A 26095-2026 FSC-klagomål mail.docx", "A 26095-2026")</f>
        <v/>
      </c>
      <c r="AC39">
        <f>HYPERLINK("https://klasma.github.io/Logging_0484/tillsyn/A 26095-2026 tillsynsbegäran.docx", "A 26095-2026")</f>
        <v/>
      </c>
      <c r="AD39">
        <f>HYPERLINK("https://klasma.github.io/Logging_0484/tillsynsmail/A 26095-2026 tillsynsbegäran mail.docx", "A 26095-2026")</f>
        <v/>
      </c>
      <c r="AE39">
        <f>HYPERLINK("https://klasma.github.io/Logging_0484/fåglar/A 26095-2026 prioriterade fågelarter.docx", "A 26095-2026")</f>
        <v/>
      </c>
    </row>
    <row r="40" ht="15" customHeight="1">
      <c r="A40" t="inlineStr">
        <is>
          <t>A 26105-2026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46321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Backsippa
Backtimjan</t>
        </is>
      </c>
      <c r="W40">
        <f>HYPERLINK("https://klasma.github.io/Logging_0484/artfynd/A 26105-2026 artfynd.xlsx", "A 26105-2026")</f>
        <v/>
      </c>
      <c r="X40">
        <f>HYPERLINK("https://klasma.github.io/Logging_0484/kartor/A 26105-2026 karta.png", "A 26105-2026")</f>
        <v/>
      </c>
      <c r="Y40">
        <f>HYPERLINK("https://klasma.github.io/Logging_0484/kartor_geotiff/A 26105-2026 georefererad karta.tif", "A 26105-2026")</f>
        <v/>
      </c>
      <c r="AA40">
        <f>HYPERLINK("https://klasma.github.io/Logging_0484/klagomål/A 26105-2026 FSC-klagomål.docx", "A 26105-2026")</f>
        <v/>
      </c>
      <c r="AB40">
        <f>HYPERLINK("https://klasma.github.io/Logging_0484/klagomålsmail/A 26105-2026 FSC-klagomål mail.docx", "A 26105-2026")</f>
        <v/>
      </c>
      <c r="AC40">
        <f>HYPERLINK("https://klasma.github.io/Logging_0484/tillsyn/A 26105-2026 tillsynsbegäran.docx", "A 26105-2026")</f>
        <v/>
      </c>
      <c r="AD40">
        <f>HYPERLINK("https://klasma.github.io/Logging_0484/tillsynsmail/A 26105-2026 tillsynsbegäran mail.docx", "A 26105-2026")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46321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46321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62009-2024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45655</v>
      </c>
      <c r="E43" s="1" t="n">
        <v>46321</v>
      </c>
      <c r="F43" t="inlineStr">
        <is>
          <t>SÖDERMANLANDS LÄN</t>
        </is>
      </c>
      <c r="G43" t="inlineStr">
        <is>
          <t>ESKILSTUNA</t>
        </is>
      </c>
      <c r="H43" t="inlineStr">
        <is>
          <t>Holmen skog AB</t>
        </is>
      </c>
      <c r="I43" t="n">
        <v>11.9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1</v>
      </c>
      <c r="V43" s="2" t="inlineStr">
        <is>
          <t>Mattlummer
Revlummer</t>
        </is>
      </c>
      <c r="W43">
        <f>HYPERLINK("https://klasma.github.io/Logging_0484/artfynd/A 62009-2024 artfynd.xlsx", "A 62009-2024")</f>
        <v/>
      </c>
      <c r="X43">
        <f>HYPERLINK("https://klasma.github.io/Logging_0484/kartor/A 62009-2024 karta.png", "A 62009-2024")</f>
        <v/>
      </c>
      <c r="Y43">
        <f>HYPERLINK("https://klasma.github.io/Logging_0484/kartor_geotiff/A 62009-2024 georefererad karta.tif", "A 62009-2024")</f>
        <v/>
      </c>
      <c r="AA43">
        <f>HYPERLINK("https://klasma.github.io/Logging_0484/klagomål/A 62009-2024 FSC-klagomål.docx", "A 62009-2024")</f>
        <v/>
      </c>
      <c r="AB43">
        <f>HYPERLINK("https://klasma.github.io/Logging_0484/klagomålsmail/A 62009-2024 FSC-klagomål mail.docx", "A 62009-2024")</f>
        <v/>
      </c>
      <c r="AC43">
        <f>HYPERLINK("https://klasma.github.io/Logging_0484/tillsyn/A 62009-2024 tillsynsbegäran.docx", "A 62009-2024")</f>
        <v/>
      </c>
      <c r="AD43">
        <f>HYPERLINK("https://klasma.github.io/Logging_0484/tillsynsmail/A 62009-2024 tillsynsbegäran mail.docx", "A 62009-2024")</f>
        <v/>
      </c>
    </row>
    <row r="44" ht="15" customHeight="1">
      <c r="A44" t="inlineStr">
        <is>
          <t>A 19494-2024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45429</v>
      </c>
      <c r="E44" s="1" t="n">
        <v>46321</v>
      </c>
      <c r="F44" t="inlineStr">
        <is>
          <t>SÖDERMANLANDS LÄN</t>
        </is>
      </c>
      <c r="G44" t="inlineStr">
        <is>
          <t>ESKILSTUNA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 trolldruva
Blåsippa</t>
        </is>
      </c>
      <c r="W44">
        <f>HYPERLINK("https://klasma.github.io/Logging_0484/artfynd/A 19494-2024 artfynd.xlsx", "A 19494-2024")</f>
        <v/>
      </c>
      <c r="X44">
        <f>HYPERLINK("https://klasma.github.io/Logging_0484/kartor/A 19494-2024 karta.png", "A 19494-2024")</f>
        <v/>
      </c>
      <c r="Y44">
        <f>HYPERLINK("https://klasma.github.io/Logging_0484/kartor_geotiff/A 19494-2024 georefererad karta.tif", "A 19494-2024")</f>
        <v/>
      </c>
      <c r="AA44">
        <f>HYPERLINK("https://klasma.github.io/Logging_0484/klagomål/A 19494-2024 FSC-klagomål.docx", "A 19494-2024")</f>
        <v/>
      </c>
      <c r="AB44">
        <f>HYPERLINK("https://klasma.github.io/Logging_0484/klagomålsmail/A 19494-2024 FSC-klagomål mail.docx", "A 19494-2024")</f>
        <v/>
      </c>
      <c r="AC44">
        <f>HYPERLINK("https://klasma.github.io/Logging_0484/tillsyn/A 19494-2024 tillsynsbegäran.docx", "A 19494-2024")</f>
        <v/>
      </c>
      <c r="AD44">
        <f>HYPERLINK("https://klasma.github.io/Logging_0484/tillsynsmail/A 19494-2024 tillsynsbegäran mail.docx", "A 19494-2024")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46321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51326-2024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46321</v>
      </c>
      <c r="F46" t="inlineStr">
        <is>
          <t>SÖDERMANLANDS LÄN</t>
        </is>
      </c>
      <c r="G46" t="inlineStr">
        <is>
          <t>ESKILSTUNA</t>
        </is>
      </c>
      <c r="I46" t="n">
        <v>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Myskbock
Blåsippa</t>
        </is>
      </c>
      <c r="W46">
        <f>HYPERLINK("https://klasma.github.io/Logging_0484/artfynd/A 51326-2024 artfynd.xlsx", "A 51326-2024")</f>
        <v/>
      </c>
      <c r="X46">
        <f>HYPERLINK("https://klasma.github.io/Logging_0484/kartor/A 51326-2024 karta.png", "A 51326-2024")</f>
        <v/>
      </c>
      <c r="Y46">
        <f>HYPERLINK("https://klasma.github.io/Logging_0484/kartor_geotiff/A 51326-2024 georefererad karta.tif", "A 51326-2024")</f>
        <v/>
      </c>
      <c r="AA46">
        <f>HYPERLINK("https://klasma.github.io/Logging_0484/klagomål/A 51326-2024 FSC-klagomål.docx", "A 51326-2024")</f>
        <v/>
      </c>
      <c r="AB46">
        <f>HYPERLINK("https://klasma.github.io/Logging_0484/klagomålsmail/A 51326-2024 FSC-klagomål mail.docx", "A 51326-2024")</f>
        <v/>
      </c>
      <c r="AC46">
        <f>HYPERLINK("https://klasma.github.io/Logging_0484/tillsyn/A 51326-2024 tillsynsbegäran.docx", "A 51326-2024")</f>
        <v/>
      </c>
      <c r="AD46">
        <f>HYPERLINK("https://klasma.github.io/Logging_0484/tillsynsmail/A 51326-2024 tillsynsbegäran mail.docx", "A 51326-2024")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46321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Krusfrö
Tibast</t>
        </is>
      </c>
      <c r="W47">
        <f>HYPERLINK("https://klasma.github.io/Logging_0484/artfynd/A 61105-2025 artfynd.xlsx", "A 61105-2025")</f>
        <v/>
      </c>
      <c r="X47">
        <f>HYPERLINK("https://klasma.github.io/Logging_0484/kartor/A 61105-2025 karta.png", "A 61105-2025")</f>
        <v/>
      </c>
      <c r="Y47">
        <f>HYPERLINK("https://klasma.github.io/Logging_0484/kartor_geotiff/A 61105-2025 georefererad karta.tif", "A 61105-2025")</f>
        <v/>
      </c>
      <c r="AA47">
        <f>HYPERLINK("https://klasma.github.io/Logging_0484/klagomål/A 61105-2025 FSC-klagomål.docx", "A 61105-2025")</f>
        <v/>
      </c>
      <c r="AB47">
        <f>HYPERLINK("https://klasma.github.io/Logging_0484/klagomålsmail/A 61105-2025 FSC-klagomål mail.docx", "A 61105-2025")</f>
        <v/>
      </c>
      <c r="AC47">
        <f>HYPERLINK("https://klasma.github.io/Logging_0484/tillsyn/A 61105-2025 tillsynsbegäran.docx", "A 61105-2025")</f>
        <v/>
      </c>
      <c r="AD47">
        <f>HYPERLINK("https://klasma.github.io/Logging_0484/tillsynsmail/A 61105-2025 tillsynsbegäran mail.docx", "A 61105-2025")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46321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34986-2025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46321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Svart trolldruva
Spillkråka</t>
        </is>
      </c>
      <c r="W49">
        <f>HYPERLINK("https://klasma.github.io/Logging_0484/artfynd/A 34986-2025 artfynd.xlsx", "A 34986-2025")</f>
        <v/>
      </c>
      <c r="X49">
        <f>HYPERLINK("https://klasma.github.io/Logging_0484/kartor/A 34986-2025 karta.png", "A 34986-2025")</f>
        <v/>
      </c>
      <c r="Y49">
        <f>HYPERLINK("https://klasma.github.io/Logging_0484/kartor_geotiff/A 34986-2025 georefererad karta.tif", "A 34986-2025")</f>
        <v/>
      </c>
      <c r="AA49">
        <f>HYPERLINK("https://klasma.github.io/Logging_0484/klagomål/A 34986-2025 FSC-klagomål.docx", "A 34986-2025")</f>
        <v/>
      </c>
      <c r="AB49">
        <f>HYPERLINK("https://klasma.github.io/Logging_0484/klagomålsmail/A 34986-2025 FSC-klagomål mail.docx", "A 34986-2025")</f>
        <v/>
      </c>
      <c r="AC49">
        <f>HYPERLINK("https://klasma.github.io/Logging_0484/tillsyn/A 34986-2025 tillsynsbegäran.docx", "A 34986-2025")</f>
        <v/>
      </c>
      <c r="AD49">
        <f>HYPERLINK("https://klasma.github.io/Logging_0484/tillsynsmail/A 34986-2025 tillsynsbegäran mail.docx", "A 34986-2025")</f>
        <v/>
      </c>
      <c r="AE49">
        <f>HYPERLINK("https://klasma.github.io/Logging_0484/fåglar/A 34986-2025 prioriterade fågelarter.docx", "A 34986-2025")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46321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17362-2024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45414</v>
      </c>
      <c r="E51" s="1" t="n">
        <v>46321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3.4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 dropplav
Sotlav</t>
        </is>
      </c>
      <c r="W51">
        <f>HYPERLINK("https://klasma.github.io/Logging_0484/artfynd/A 17362-2024 artfynd.xlsx", "A 17362-2024")</f>
        <v/>
      </c>
      <c r="X51">
        <f>HYPERLINK("https://klasma.github.io/Logging_0484/kartor/A 17362-2024 karta.png", "A 17362-2024")</f>
        <v/>
      </c>
      <c r="Y51">
        <f>HYPERLINK("https://klasma.github.io/Logging_0484/kartor_geotiff/A 17362-2024 georefererad karta.tif", "A 17362-2024")</f>
        <v/>
      </c>
      <c r="AA51">
        <f>HYPERLINK("https://klasma.github.io/Logging_0484/klagomål/A 17362-2024 FSC-klagomål.docx", "A 17362-2024")</f>
        <v/>
      </c>
      <c r="AB51">
        <f>HYPERLINK("https://klasma.github.io/Logging_0484/klagomålsmail/A 17362-2024 FSC-klagomål mail.docx", "A 17362-2024")</f>
        <v/>
      </c>
      <c r="AC51">
        <f>HYPERLINK("https://klasma.github.io/Logging_0484/tillsyn/A 17362-2024 tillsynsbegäran.docx", "A 17362-2024")</f>
        <v/>
      </c>
      <c r="AD51">
        <f>HYPERLINK("https://klasma.github.io/Logging_0484/tillsynsmail/A 17362-2024 tillsynsbegäran mail.docx", "A 17362-2024")</f>
        <v/>
      </c>
    </row>
    <row r="52" ht="15" customHeight="1">
      <c r="A52" t="inlineStr">
        <is>
          <t>A 61987-2022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46321</v>
      </c>
      <c r="F52" t="inlineStr">
        <is>
          <t>SÖDERMANLANDS LÄN</t>
        </is>
      </c>
      <c r="G52" t="inlineStr">
        <is>
          <t>ESKILSTUNA</t>
        </is>
      </c>
      <c r="I52" t="n">
        <v>4.3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Svinrot
Mattlummer</t>
        </is>
      </c>
      <c r="W52">
        <f>HYPERLINK("https://klasma.github.io/Logging_0484/artfynd/A 61987-2022 artfynd.xlsx", "A 61987-2022")</f>
        <v/>
      </c>
      <c r="X52">
        <f>HYPERLINK("https://klasma.github.io/Logging_0484/kartor/A 61987-2022 karta.png", "A 61987-2022")</f>
        <v/>
      </c>
      <c r="Y52">
        <f>HYPERLINK("https://klasma.github.io/Logging_0484/kartor_geotiff/A 61987-2022 georefererad karta.tif", "A 61987-2022")</f>
        <v/>
      </c>
      <c r="AA52">
        <f>HYPERLINK("https://klasma.github.io/Logging_0484/klagomål/A 61987-2022 FSC-klagomål.docx", "A 61987-2022")</f>
        <v/>
      </c>
      <c r="AB52">
        <f>HYPERLINK("https://klasma.github.io/Logging_0484/klagomålsmail/A 61987-2022 FSC-klagomål mail.docx", "A 61987-2022")</f>
        <v/>
      </c>
      <c r="AC52">
        <f>HYPERLINK("https://klasma.github.io/Logging_0484/tillsyn/A 61987-2022 tillsynsbegäran.docx", "A 61987-2022")</f>
        <v/>
      </c>
      <c r="AD52">
        <f>HYPERLINK("https://klasma.github.io/Logging_0484/tillsynsmail/A 61987-2022 tillsynsbegäran mail.docx", "A 61987-2022")</f>
        <v/>
      </c>
    </row>
    <row r="53" ht="15" customHeight="1">
      <c r="A53" t="inlineStr">
        <is>
          <t>A 44664-2022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46321</v>
      </c>
      <c r="F53" t="inlineStr">
        <is>
          <t>SÖDERMANLANDS LÄN</t>
        </is>
      </c>
      <c r="G53" t="inlineStr">
        <is>
          <t>ESKILSTUNA</t>
        </is>
      </c>
      <c r="I53" t="n">
        <v>20.8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5</v>
      </c>
      <c r="U53" t="n">
        <v>1</v>
      </c>
      <c r="V53" s="2" t="inlineStr">
        <is>
          <t>Knärot
Blåmossa</t>
        </is>
      </c>
      <c r="W53">
        <f>HYPERLINK("https://klasma.github.io/Logging_0484/artfynd/A 44664-2022 artfynd.xlsx", "A 44664-2022")</f>
        <v/>
      </c>
      <c r="X53">
        <f>HYPERLINK("https://klasma.github.io/Logging_0484/kartor/A 44664-2022 karta.png", "A 44664-2022")</f>
        <v/>
      </c>
      <c r="Y53">
        <f>HYPERLINK("https://klasma.github.io/Logging_0484/kartor_geotiff/A 44664-2022 georefererad karta.tif", "A 44664-2022")</f>
        <v/>
      </c>
      <c r="Z53">
        <f>HYPERLINK("https://klasma.github.io/Logging_0484/knärot/A 44664-2022 karta knärot.png", "A 44664-2022")</f>
        <v/>
      </c>
      <c r="AA53">
        <f>HYPERLINK("https://klasma.github.io/Logging_0484/klagomål/A 44664-2022 FSC-klagomål.docx", "A 44664-2022")</f>
        <v/>
      </c>
      <c r="AB53">
        <f>HYPERLINK("https://klasma.github.io/Logging_0484/klagomålsmail/A 44664-2022 FSC-klagomål mail.docx", "A 44664-2022")</f>
        <v/>
      </c>
      <c r="AC53">
        <f>HYPERLINK("https://klasma.github.io/Logging_0484/tillsyn/A 44664-2022 tillsynsbegäran.docx", "A 44664-2022")</f>
        <v/>
      </c>
      <c r="AD53">
        <f>HYPERLINK("https://klasma.github.io/Logging_0484/tillsynsmail/A 44664-2022 tillsynsbegäran mail.docx", "A 44664-2022")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46321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46321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46321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46321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46321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46321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46321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23637-2023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46321</v>
      </c>
      <c r="F62" t="inlineStr">
        <is>
          <t>SÖDERMANLANDS LÄN</t>
        </is>
      </c>
      <c r="G62" t="inlineStr">
        <is>
          <t>ESKILSTUNA</t>
        </is>
      </c>
      <c r="I62" t="n">
        <v>15.8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Violett fingersvamp</t>
        </is>
      </c>
      <c r="W62">
        <f>HYPERLINK("https://klasma.github.io/Logging_0484/artfynd/A 23637-2023 artfynd.xlsx", "A 23637-2023")</f>
        <v/>
      </c>
      <c r="X62">
        <f>HYPERLINK("https://klasma.github.io/Logging_0484/kartor/A 23637-2023 karta.png", "A 23637-2023")</f>
        <v/>
      </c>
      <c r="Y62">
        <f>HYPERLINK("https://klasma.github.io/Logging_0484/kartor_geotiff/A 23637-2023 georefererad karta.tif", "A 23637-2023")</f>
        <v/>
      </c>
      <c r="AA62">
        <f>HYPERLINK("https://klasma.github.io/Logging_0484/klagomål/A 23637-2023 FSC-klagomål.docx", "A 23637-2023")</f>
        <v/>
      </c>
      <c r="AB62">
        <f>HYPERLINK("https://klasma.github.io/Logging_0484/klagomålsmail/A 23637-2023 FSC-klagomål mail.docx", "A 23637-2023")</f>
        <v/>
      </c>
      <c r="AC62">
        <f>HYPERLINK("https://klasma.github.io/Logging_0484/tillsyn/A 23637-2023 tillsynsbegäran.docx", "A 23637-2023")</f>
        <v/>
      </c>
      <c r="AD62">
        <f>HYPERLINK("https://klasma.github.io/Logging_0484/tillsynsmail/A 23637-2023 tillsynsbegäran mail.docx", "A 23637-2023")</f>
        <v/>
      </c>
    </row>
    <row r="63" ht="15" customHeight="1">
      <c r="A63" t="inlineStr">
        <is>
          <t>A 12984-2024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46321</v>
      </c>
      <c r="F63" t="inlineStr">
        <is>
          <t>SÖDERMANLANDS LÄN</t>
        </is>
      </c>
      <c r="G63" t="inlineStr">
        <is>
          <t>ESKILSTUNA</t>
        </is>
      </c>
      <c r="H63" t="inlineStr">
        <is>
          <t>Allmännings- och besparingsskogar</t>
        </is>
      </c>
      <c r="I63" t="n">
        <v>6.4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HYPERLINK("https://klasma.github.io/Logging_0484/artfynd/A 12984-2024 artfynd.xlsx", "A 12984-2024")</f>
        <v/>
      </c>
      <c r="X63">
        <f>HYPERLINK("https://klasma.github.io/Logging_0484/kartor/A 12984-2024 karta.png", "A 12984-2024")</f>
        <v/>
      </c>
      <c r="Y63">
        <f>HYPERLINK("https://klasma.github.io/Logging_0484/kartor_geotiff/A 12984-2024 georefererad karta.tif", "A 12984-2024")</f>
        <v/>
      </c>
      <c r="AA63">
        <f>HYPERLINK("https://klasma.github.io/Logging_0484/klagomål/A 12984-2024 FSC-klagomål.docx", "A 12984-2024")</f>
        <v/>
      </c>
      <c r="AB63">
        <f>HYPERLINK("https://klasma.github.io/Logging_0484/klagomålsmail/A 12984-2024 FSC-klagomål mail.docx", "A 12984-2024")</f>
        <v/>
      </c>
      <c r="AC63">
        <f>HYPERLINK("https://klasma.github.io/Logging_0484/tillsyn/A 12984-2024 tillsynsbegäran.docx", "A 12984-2024")</f>
        <v/>
      </c>
      <c r="AD63">
        <f>HYPERLINK("https://klasma.github.io/Logging_0484/tillsynsmail/A 12984-2024 tillsynsbegäran mail.docx", "A 12984-2024")</f>
        <v/>
      </c>
    </row>
    <row r="64" ht="15" customHeight="1">
      <c r="A64" t="inlineStr">
        <is>
          <t>A 53399-2023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46321</v>
      </c>
      <c r="F64" t="inlineStr">
        <is>
          <t>SÖDERMANLANDS LÄN</t>
        </is>
      </c>
      <c r="G64" t="inlineStr">
        <is>
          <t>ESKILSTUNA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HYPERLINK("https://klasma.github.io/Logging_0484/artfynd/A 53399-2023 artfynd.xlsx", "A 53399-2023")</f>
        <v/>
      </c>
      <c r="X64">
        <f>HYPERLINK("https://klasma.github.io/Logging_0484/kartor/A 53399-2023 karta.png", "A 53399-2023")</f>
        <v/>
      </c>
      <c r="Y64">
        <f>HYPERLINK("https://klasma.github.io/Logging_0484/kartor_geotiff/A 53399-2023 georefererad karta.tif", "A 53399-2023")</f>
        <v/>
      </c>
      <c r="AA64">
        <f>HYPERLINK("https://klasma.github.io/Logging_0484/klagomål/A 53399-2023 FSC-klagomål.docx", "A 53399-2023")</f>
        <v/>
      </c>
      <c r="AB64">
        <f>HYPERLINK("https://klasma.github.io/Logging_0484/klagomålsmail/A 53399-2023 FSC-klagomål mail.docx", "A 53399-2023")</f>
        <v/>
      </c>
      <c r="AC64">
        <f>HYPERLINK("https://klasma.github.io/Logging_0484/tillsyn/A 53399-2023 tillsynsbegäran.docx", "A 53399-2023")</f>
        <v/>
      </c>
      <c r="AD64">
        <f>HYPERLINK("https://klasma.github.io/Logging_0484/tillsynsmail/A 53399-2023 tillsynsbegäran mail.docx", "A 53399-2023")</f>
        <v/>
      </c>
    </row>
    <row r="65" ht="15" customHeight="1">
      <c r="A65" t="inlineStr">
        <is>
          <t>A 26097-2026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46321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HYPERLINK("https://klasma.github.io/Logging_0484/artfynd/A 26097-2026 artfynd.xlsx", "A 26097-2026")</f>
        <v/>
      </c>
      <c r="X65">
        <f>HYPERLINK("https://klasma.github.io/Logging_0484/kartor/A 26097-2026 karta.png", "A 26097-2026")</f>
        <v/>
      </c>
      <c r="Y65">
        <f>HYPERLINK("https://klasma.github.io/Logging_0484/kartor_geotiff/A 26097-2026 georefererad karta.tif", "A 26097-2026")</f>
        <v/>
      </c>
      <c r="AA65">
        <f>HYPERLINK("https://klasma.github.io/Logging_0484/klagomål/A 26097-2026 FSC-klagomål.docx", "A 26097-2026")</f>
        <v/>
      </c>
      <c r="AB65">
        <f>HYPERLINK("https://klasma.github.io/Logging_0484/klagomålsmail/A 26097-2026 FSC-klagomål mail.docx", "A 26097-2026")</f>
        <v/>
      </c>
      <c r="AC65">
        <f>HYPERLINK("https://klasma.github.io/Logging_0484/tillsyn/A 26097-2026 tillsynsbegäran.docx", "A 26097-2026")</f>
        <v/>
      </c>
      <c r="AD65">
        <f>HYPERLINK("https://klasma.github.io/Logging_0484/tillsynsmail/A 26097-2026 tillsynsbegäran mail.docx", "A 26097-2026")</f>
        <v/>
      </c>
    </row>
    <row r="66" ht="15" customHeight="1">
      <c r="A66" t="inlineStr">
        <is>
          <t>A 26008-2026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46321</v>
      </c>
      <c r="F66" t="inlineStr">
        <is>
          <t>SÖDERMANLANDS LÄN</t>
        </is>
      </c>
      <c r="G66" t="inlineStr">
        <is>
          <t>ESKILSTUNA</t>
        </is>
      </c>
      <c r="I66" t="n">
        <v>2.8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8</v>
      </c>
      <c r="U66" t="n">
        <v>0</v>
      </c>
      <c r="V66" s="2" t="inlineStr">
        <is>
          <t>Svart trolldruva</t>
        </is>
      </c>
      <c r="W66">
        <f>HYPERLINK("https://klasma.github.io/Logging_0484/artfynd/A 26008-2026 artfynd.xlsx", "A 26008-2026")</f>
        <v/>
      </c>
      <c r="X66">
        <f>HYPERLINK("https://klasma.github.io/Logging_0484/kartor/A 26008-2026 karta.png", "A 26008-2026")</f>
        <v/>
      </c>
      <c r="Y66">
        <f>HYPERLINK("https://klasma.github.io/Logging_0484/kartor_geotiff/A 26008-2026 georefererad karta.tif", "A 26008-2026")</f>
        <v/>
      </c>
      <c r="AA66">
        <f>HYPERLINK("https://klasma.github.io/Logging_0484/klagomål/A 26008-2026 FSC-klagomål.docx", "A 26008-2026")</f>
        <v/>
      </c>
      <c r="AB66">
        <f>HYPERLINK("https://klasma.github.io/Logging_0484/klagomålsmail/A 26008-2026 FSC-klagomål mail.docx", "A 26008-2026")</f>
        <v/>
      </c>
      <c r="AC66">
        <f>HYPERLINK("https://klasma.github.io/Logging_0484/tillsyn/A 26008-2026 tillsynsbegäran.docx", "A 26008-2026")</f>
        <v/>
      </c>
      <c r="AD66">
        <f>HYPERLINK("https://klasma.github.io/Logging_0484/tillsynsmail/A 26008-2026 tillsynsbegäran mail.docx", "A 26008-2026")</f>
        <v/>
      </c>
    </row>
    <row r="67" ht="15" customHeight="1">
      <c r="A67" t="inlineStr">
        <is>
          <t>A 26094-2026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46321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3.4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HYPERLINK("https://klasma.github.io/Logging_0484/artfynd/A 26094-2026 artfynd.xlsx", "A 26094-2026")</f>
        <v/>
      </c>
      <c r="X67">
        <f>HYPERLINK("https://klasma.github.io/Logging_0484/kartor/A 26094-2026 karta.png", "A 26094-2026")</f>
        <v/>
      </c>
      <c r="Y67">
        <f>HYPERLINK("https://klasma.github.io/Logging_0484/kartor_geotiff/A 26094-2026 georefererad karta.tif", "A 26094-2026")</f>
        <v/>
      </c>
      <c r="AA67">
        <f>HYPERLINK("https://klasma.github.io/Logging_0484/klagomål/A 26094-2026 FSC-klagomål.docx", "A 26094-2026")</f>
        <v/>
      </c>
      <c r="AB67">
        <f>HYPERLINK("https://klasma.github.io/Logging_0484/klagomålsmail/A 26094-2026 FSC-klagomål mail.docx", "A 26094-2026")</f>
        <v/>
      </c>
      <c r="AC67">
        <f>HYPERLINK("https://klasma.github.io/Logging_0484/tillsyn/A 26094-2026 tillsynsbegäran.docx", "A 26094-2026")</f>
        <v/>
      </c>
      <c r="AD67">
        <f>HYPERLINK("https://klasma.github.io/Logging_0484/tillsynsmail/A 26094-2026 tillsynsbegäran mail.docx", "A 26094-2026")</f>
        <v/>
      </c>
      <c r="AE67">
        <f>HYPERLINK("https://klasma.github.io/Logging_0484/fåglar/A 26094-2026 prioriterade fågelarter.docx", "A 26094-2026")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46321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14327-2023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46321</v>
      </c>
      <c r="F69" t="inlineStr">
        <is>
          <t>SÖDERMANLANDS LÄN</t>
        </is>
      </c>
      <c r="G69" t="inlineStr">
        <is>
          <t>ESKILSTUNA</t>
        </is>
      </c>
      <c r="H69" t="inlineStr">
        <is>
          <t>Kommuner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Mattlummer</t>
        </is>
      </c>
      <c r="W69">
        <f>HYPERLINK("https://klasma.github.io/Logging_0484/artfynd/A 14327-2023 artfynd.xlsx", "A 14327-2023")</f>
        <v/>
      </c>
      <c r="X69">
        <f>HYPERLINK("https://klasma.github.io/Logging_0484/kartor/A 14327-2023 karta.png", "A 14327-2023")</f>
        <v/>
      </c>
      <c r="Y69">
        <f>HYPERLINK("https://klasma.github.io/Logging_0484/kartor_geotiff/A 14327-2023 georefererad karta.tif", "A 14327-2023")</f>
        <v/>
      </c>
      <c r="AA69">
        <f>HYPERLINK("https://klasma.github.io/Logging_0484/klagomål/A 14327-2023 FSC-klagomål.docx", "A 14327-2023")</f>
        <v/>
      </c>
      <c r="AB69">
        <f>HYPERLINK("https://klasma.github.io/Logging_0484/klagomålsmail/A 14327-2023 FSC-klagomål mail.docx", "A 14327-2023")</f>
        <v/>
      </c>
      <c r="AC69">
        <f>HYPERLINK("https://klasma.github.io/Logging_0484/tillsyn/A 14327-2023 tillsynsbegäran.docx", "A 14327-2023")</f>
        <v/>
      </c>
      <c r="AD69">
        <f>HYPERLINK("https://klasma.github.io/Logging_0484/tillsynsmail/A 14327-2023 tillsynsbegäran mail.docx", "A 14327-2023")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46321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29047-2026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46199</v>
      </c>
      <c r="E71" s="1" t="n">
        <v>46321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Kandelabersvamp</t>
        </is>
      </c>
      <c r="W71">
        <f>HYPERLINK("https://klasma.github.io/Logging_0484/artfynd/A 29047-2026 artfynd.xlsx", "A 29047-2026")</f>
        <v/>
      </c>
      <c r="X71">
        <f>HYPERLINK("https://klasma.github.io/Logging_0484/kartor/A 29047-2026 karta.png", "A 29047-2026")</f>
        <v/>
      </c>
      <c r="Y71">
        <f>HYPERLINK("https://klasma.github.io/Logging_0484/kartor_geotiff/A 29047-2026 georefererad karta.tif", "A 29047-2026")</f>
        <v/>
      </c>
      <c r="AA71">
        <f>HYPERLINK("https://klasma.github.io/Logging_0484/klagomål/A 29047-2026 FSC-klagomål.docx", "A 29047-2026")</f>
        <v/>
      </c>
      <c r="AB71">
        <f>HYPERLINK("https://klasma.github.io/Logging_0484/klagomålsmail/A 29047-2026 FSC-klagomål mail.docx", "A 29047-2026")</f>
        <v/>
      </c>
      <c r="AC71">
        <f>HYPERLINK("https://klasma.github.io/Logging_0484/tillsyn/A 29047-2026 tillsynsbegäran.docx", "A 29047-2026")</f>
        <v/>
      </c>
      <c r="AD71">
        <f>HYPERLINK("https://klasma.github.io/Logging_0484/tillsynsmail/A 29047-2026 tillsynsbegäran mail.docx", "A 29047-2026")</f>
        <v/>
      </c>
    </row>
    <row r="72" ht="15" customHeight="1">
      <c r="A72" t="inlineStr">
        <is>
          <t>A 43547-2022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46321</v>
      </c>
      <c r="F72" t="inlineStr">
        <is>
          <t>SÖDERMANLANDS LÄN</t>
        </is>
      </c>
      <c r="G72" t="inlineStr">
        <is>
          <t>ESKILSTUNA</t>
        </is>
      </c>
      <c r="I72" t="n">
        <v>3.2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HYPERLINK("https://klasma.github.io/Logging_0484/artfynd/A 43547-2022 artfynd.xlsx", "A 43547-2022")</f>
        <v/>
      </c>
      <c r="X72">
        <f>HYPERLINK("https://klasma.github.io/Logging_0484/kartor/A 43547-2022 karta.png", "A 43547-2022")</f>
        <v/>
      </c>
      <c r="Y72">
        <f>HYPERLINK("https://klasma.github.io/Logging_0484/kartor_geotiff/A 43547-2022 georefererad karta.tif", "A 43547-2022")</f>
        <v/>
      </c>
      <c r="Z72">
        <f>HYPERLINK("https://klasma.github.io/Logging_0484/knärot/A 43547-2022 karta knärot.png", "A 43547-2022")</f>
        <v/>
      </c>
      <c r="AA72">
        <f>HYPERLINK("https://klasma.github.io/Logging_0484/klagomål/A 43547-2022 FSC-klagomål.docx", "A 43547-2022")</f>
        <v/>
      </c>
      <c r="AB72">
        <f>HYPERLINK("https://klasma.github.io/Logging_0484/klagomålsmail/A 43547-2022 FSC-klagomål mail.docx", "A 43547-2022")</f>
        <v/>
      </c>
      <c r="AC72">
        <f>HYPERLINK("https://klasma.github.io/Logging_0484/tillsyn/A 43547-2022 tillsynsbegäran.docx", "A 43547-2022")</f>
        <v/>
      </c>
      <c r="AD72">
        <f>HYPERLINK("https://klasma.github.io/Logging_0484/tillsynsmail/A 43547-2022 tillsynsbegäran mail.docx", "A 43547-2022")</f>
        <v/>
      </c>
    </row>
    <row r="73" ht="15" customHeight="1">
      <c r="A73" t="inlineStr">
        <is>
          <t>A 2512-2025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45674</v>
      </c>
      <c r="E73" s="1" t="n">
        <v>46321</v>
      </c>
      <c r="F73" t="inlineStr">
        <is>
          <t>SÖDERMANLANDS LÄN</t>
        </is>
      </c>
      <c r="G73" t="inlineStr">
        <is>
          <t>ESKILSTUNA</t>
        </is>
      </c>
      <c r="I73" t="n">
        <v>3.9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 trolldruva</t>
        </is>
      </c>
      <c r="W73">
        <f>HYPERLINK("https://klasma.github.io/Logging_0484/artfynd/A 2512-2025 artfynd.xlsx", "A 2512-2025")</f>
        <v/>
      </c>
      <c r="X73">
        <f>HYPERLINK("https://klasma.github.io/Logging_0484/kartor/A 2512-2025 karta.png", "A 2512-2025")</f>
        <v/>
      </c>
      <c r="Y73">
        <f>HYPERLINK("https://klasma.github.io/Logging_0484/kartor_geotiff/A 2512-2025 georefererad karta.tif", "A 2512-2025")</f>
        <v/>
      </c>
      <c r="AA73">
        <f>HYPERLINK("https://klasma.github.io/Logging_0484/klagomål/A 2512-2025 FSC-klagomål.docx", "A 2512-2025")</f>
        <v/>
      </c>
      <c r="AB73">
        <f>HYPERLINK("https://klasma.github.io/Logging_0484/klagomålsmail/A 2512-2025 FSC-klagomål mail.docx", "A 2512-2025")</f>
        <v/>
      </c>
      <c r="AC73">
        <f>HYPERLINK("https://klasma.github.io/Logging_0484/tillsyn/A 2512-2025 tillsynsbegäran.docx", "A 2512-2025")</f>
        <v/>
      </c>
      <c r="AD73">
        <f>HYPERLINK("https://klasma.github.io/Logging_0484/tillsynsmail/A 2512-2025 tillsynsbegäran mail.docx", "A 2512-2025")</f>
        <v/>
      </c>
    </row>
    <row r="74" ht="15" customHeight="1">
      <c r="A74" t="inlineStr">
        <is>
          <t>A 39011-2026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46321</v>
      </c>
      <c r="F74" t="inlineStr">
        <is>
          <t>SÖDERMANLANDS LÄN</t>
        </is>
      </c>
      <c r="G74" t="inlineStr">
        <is>
          <t>ESKILSTUNA</t>
        </is>
      </c>
      <c r="I74" t="n">
        <v>10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Blåsippa</t>
        </is>
      </c>
      <c r="W74">
        <f>HYPERLINK("https://klasma.github.io/Logging_0484/artfynd/A 39011-2026 artfynd.xlsx", "A 39011-2026")</f>
        <v/>
      </c>
      <c r="X74">
        <f>HYPERLINK("https://klasma.github.io/Logging_0484/kartor/A 39011-2026 karta.png", "A 39011-2026")</f>
        <v/>
      </c>
      <c r="Y74">
        <f>HYPERLINK("https://klasma.github.io/Logging_0484/kartor_geotiff/A 39011-2026 georefererad karta.tif", "A 39011-2026")</f>
        <v/>
      </c>
      <c r="AA74">
        <f>HYPERLINK("https://klasma.github.io/Logging_0484/klagomål/A 39011-2026 FSC-klagomål.docx", "A 39011-2026")</f>
        <v/>
      </c>
      <c r="AB74">
        <f>HYPERLINK("https://klasma.github.io/Logging_0484/klagomålsmail/A 39011-2026 FSC-klagomål mail.docx", "A 39011-2026")</f>
        <v/>
      </c>
      <c r="AC74">
        <f>HYPERLINK("https://klasma.github.io/Logging_0484/tillsyn/A 39011-2026 tillsynsbegäran.docx", "A 39011-2026")</f>
        <v/>
      </c>
      <c r="AD74">
        <f>HYPERLINK("https://klasma.github.io/Logging_0484/tillsynsmail/A 39011-2026 tillsynsbegäran mail.docx", "A 39011-2026")</f>
        <v/>
      </c>
    </row>
    <row r="75" ht="15" customHeight="1">
      <c r="A75" t="inlineStr">
        <is>
          <t>A 47648-2022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46321</v>
      </c>
      <c r="F75" t="inlineStr">
        <is>
          <t>SÖDERMANLANDS LÄN</t>
        </is>
      </c>
      <c r="G75" t="inlineStr">
        <is>
          <t>ESKILSTUNA</t>
        </is>
      </c>
      <c r="I75" t="n">
        <v>1.8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Grönsångare</t>
        </is>
      </c>
      <c r="W75">
        <f>HYPERLINK("https://klasma.github.io/Logging_0484/artfynd/A 47648-2022 artfynd.xlsx", "A 47648-2022")</f>
        <v/>
      </c>
      <c r="X75">
        <f>HYPERLINK("https://klasma.github.io/Logging_0484/kartor/A 47648-2022 karta.png", "A 47648-2022")</f>
        <v/>
      </c>
      <c r="Y75">
        <f>HYPERLINK("https://klasma.github.io/Logging_0484/kartor_geotiff/A 47648-2022 georefererad karta.tif", "A 47648-2022")</f>
        <v/>
      </c>
      <c r="AA75">
        <f>HYPERLINK("https://klasma.github.io/Logging_0484/klagomål/A 47648-2022 FSC-klagomål.docx", "A 47648-2022")</f>
        <v/>
      </c>
      <c r="AB75">
        <f>HYPERLINK("https://klasma.github.io/Logging_0484/klagomålsmail/A 47648-2022 FSC-klagomål mail.docx", "A 47648-2022")</f>
        <v/>
      </c>
      <c r="AC75">
        <f>HYPERLINK("https://klasma.github.io/Logging_0484/tillsyn/A 47648-2022 tillsynsbegäran.docx", "A 47648-2022")</f>
        <v/>
      </c>
      <c r="AD75">
        <f>HYPERLINK("https://klasma.github.io/Logging_0484/tillsynsmail/A 47648-2022 tillsynsbegäran mail.docx", "A 47648-2022")</f>
        <v/>
      </c>
      <c r="AE75">
        <f>HYPERLINK("https://klasma.github.io/Logging_0484/fåglar/A 47648-2022 prioriterade fågelarter.docx", "A 47648-2022")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46321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31056-2025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46321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HYPERLINK("https://klasma.github.io/Logging_0484/artfynd/A 31056-2025 artfynd.xlsx", "A 31056-2025")</f>
        <v/>
      </c>
      <c r="X77">
        <f>HYPERLINK("https://klasma.github.io/Logging_0484/kartor/A 31056-2025 karta.png", "A 31056-2025")</f>
        <v/>
      </c>
      <c r="Y77">
        <f>HYPERLINK("https://klasma.github.io/Logging_0484/kartor_geotiff/A 31056-2025 georefererad karta.tif", "A 31056-2025")</f>
        <v/>
      </c>
      <c r="AA77">
        <f>HYPERLINK("https://klasma.github.io/Logging_0484/klagomål/A 31056-2025 FSC-klagomål.docx", "A 31056-2025")</f>
        <v/>
      </c>
      <c r="AB77">
        <f>HYPERLINK("https://klasma.github.io/Logging_0484/klagomålsmail/A 31056-2025 FSC-klagomål mail.docx", "A 31056-2025")</f>
        <v/>
      </c>
      <c r="AC77">
        <f>HYPERLINK("https://klasma.github.io/Logging_0484/tillsyn/A 31056-2025 tillsynsbegäran.docx", "A 31056-2025")</f>
        <v/>
      </c>
      <c r="AD77">
        <f>HYPERLINK("https://klasma.github.io/Logging_0484/tillsynsmail/A 31056-2025 tillsynsbegäran mail.docx", "A 31056-2025")</f>
        <v/>
      </c>
    </row>
    <row r="78" ht="15" customHeight="1">
      <c r="A78" t="inlineStr">
        <is>
          <t>A 15608-2026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46321</v>
      </c>
      <c r="F78" t="inlineStr">
        <is>
          <t>SÖDERMANLANDS LÄN</t>
        </is>
      </c>
      <c r="G78" t="inlineStr">
        <is>
          <t>ESKILSTUNA</t>
        </is>
      </c>
      <c r="I78" t="n">
        <v>9.6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15608-2026 artfynd.xlsx", "A 15608-2026")</f>
        <v/>
      </c>
      <c r="X78">
        <f>HYPERLINK("https://klasma.github.io/Logging_0484/kartor/A 15608-2026 karta.png", "A 15608-2026")</f>
        <v/>
      </c>
      <c r="Y78">
        <f>HYPERLINK("https://klasma.github.io/Logging_0484/kartor_geotiff/A 15608-2026 georefererad karta.tif", "A 15608-2026")</f>
        <v/>
      </c>
      <c r="AA78">
        <f>HYPERLINK("https://klasma.github.io/Logging_0484/klagomål/A 15608-2026 FSC-klagomål.docx", "A 15608-2026")</f>
        <v/>
      </c>
      <c r="AB78">
        <f>HYPERLINK("https://klasma.github.io/Logging_0484/klagomålsmail/A 15608-2026 FSC-klagomål mail.docx", "A 15608-2026")</f>
        <v/>
      </c>
      <c r="AC78">
        <f>HYPERLINK("https://klasma.github.io/Logging_0484/tillsyn/A 15608-2026 tillsynsbegäran.docx", "A 15608-2026")</f>
        <v/>
      </c>
      <c r="AD78">
        <f>HYPERLINK("https://klasma.github.io/Logging_0484/tillsynsmail/A 15608-2026 tillsynsbegäran mail.docx", "A 15608-2026")</f>
        <v/>
      </c>
    </row>
    <row r="79" ht="15" customHeight="1">
      <c r="A79" t="inlineStr">
        <is>
          <t>A 36216-2025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45867</v>
      </c>
      <c r="E79" s="1" t="n">
        <v>46321</v>
      </c>
      <c r="F79" t="inlineStr">
        <is>
          <t>SÖDERMANLANDS LÄN</t>
        </is>
      </c>
      <c r="G79" t="inlineStr">
        <is>
          <t>ESKILSTUNA</t>
        </is>
      </c>
      <c r="I79" t="n">
        <v>18.7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Blomkålssvamp</t>
        </is>
      </c>
      <c r="W79">
        <f>HYPERLINK("https://klasma.github.io/Logging_0484/artfynd/A 36216-2025 artfynd.xlsx", "A 36216-2025")</f>
        <v/>
      </c>
      <c r="X79">
        <f>HYPERLINK("https://klasma.github.io/Logging_0484/kartor/A 36216-2025 karta.png", "A 36216-2025")</f>
        <v/>
      </c>
      <c r="Y79">
        <f>HYPERLINK("https://klasma.github.io/Logging_0484/kartor_geotiff/A 36216-2025 georefererad karta.tif", "A 36216-2025")</f>
        <v/>
      </c>
      <c r="AA79">
        <f>HYPERLINK("https://klasma.github.io/Logging_0484/klagomål/A 36216-2025 FSC-klagomål.docx", "A 36216-2025")</f>
        <v/>
      </c>
      <c r="AB79">
        <f>HYPERLINK("https://klasma.github.io/Logging_0484/klagomålsmail/A 36216-2025 FSC-klagomål mail.docx", "A 36216-2025")</f>
        <v/>
      </c>
      <c r="AC79">
        <f>HYPERLINK("https://klasma.github.io/Logging_0484/tillsyn/A 36216-2025 tillsynsbegäran.docx", "A 36216-2025")</f>
        <v/>
      </c>
      <c r="AD79">
        <f>HYPERLINK("https://klasma.github.io/Logging_0484/tillsynsmail/A 36216-2025 tillsynsbegäran mail.docx", "A 36216-2025")</f>
        <v/>
      </c>
    </row>
    <row r="80" ht="15" customHeight="1">
      <c r="A80" t="inlineStr">
        <is>
          <t>A 26148-2022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46321</v>
      </c>
      <c r="F80" t="inlineStr">
        <is>
          <t>SÖDERMANLANDS LÄN</t>
        </is>
      </c>
      <c r="G80" t="inlineStr">
        <is>
          <t>ESKILSTUNA</t>
        </is>
      </c>
      <c r="I80" t="n">
        <v>3.3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26148-2022 artfynd.xlsx", "A 26148-2022")</f>
        <v/>
      </c>
      <c r="X80">
        <f>HYPERLINK("https://klasma.github.io/Logging_0484/kartor/A 26148-2022 karta.png", "A 26148-2022")</f>
        <v/>
      </c>
      <c r="Y80">
        <f>HYPERLINK("https://klasma.github.io/Logging_0484/kartor_geotiff/A 26148-2022 georefererad karta.tif", "A 26148-2022")</f>
        <v/>
      </c>
      <c r="AA80">
        <f>HYPERLINK("https://klasma.github.io/Logging_0484/klagomål/A 26148-2022 FSC-klagomål.docx", "A 26148-2022")</f>
        <v/>
      </c>
      <c r="AB80">
        <f>HYPERLINK("https://klasma.github.io/Logging_0484/klagomålsmail/A 26148-2022 FSC-klagomål mail.docx", "A 26148-2022")</f>
        <v/>
      </c>
      <c r="AC80">
        <f>HYPERLINK("https://klasma.github.io/Logging_0484/tillsyn/A 26148-2022 tillsynsbegäran.docx", "A 26148-2022")</f>
        <v/>
      </c>
      <c r="AD80">
        <f>HYPERLINK("https://klasma.github.io/Logging_0484/tillsynsmail/A 26148-2022 tillsynsbegäran mail.docx", "A 26148-2022")</f>
        <v/>
      </c>
      <c r="AE80">
        <f>HYPERLINK("https://klasma.github.io/Logging_0484/fåglar/A 26148-2022 prioriterade fågelarter.docx", "A 26148-2022")</f>
        <v/>
      </c>
    </row>
    <row r="81" ht="15" customHeight="1">
      <c r="A81" t="inlineStr">
        <is>
          <t>A 59070-2022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44904</v>
      </c>
      <c r="E81" s="1" t="n">
        <v>46321</v>
      </c>
      <c r="F81" t="inlineStr">
        <is>
          <t>SÖDERMANLANDS LÄN</t>
        </is>
      </c>
      <c r="G81" t="inlineStr">
        <is>
          <t>ESKILSTUNA</t>
        </is>
      </c>
      <c r="I81" t="n">
        <v>6.6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HYPERLINK("https://klasma.github.io/Logging_0484/artfynd/A 59070-2022 artfynd.xlsx", "A 59070-2022")</f>
        <v/>
      </c>
      <c r="X81">
        <f>HYPERLINK("https://klasma.github.io/Logging_0484/kartor/A 59070-2022 karta.png", "A 59070-2022")</f>
        <v/>
      </c>
      <c r="Y81">
        <f>HYPERLINK("https://klasma.github.io/Logging_0484/kartor_geotiff/A 59070-2022 georefererad karta.tif", "A 59070-2022")</f>
        <v/>
      </c>
      <c r="AA81">
        <f>HYPERLINK("https://klasma.github.io/Logging_0484/klagomål/A 59070-2022 FSC-klagomål.docx", "A 59070-2022")</f>
        <v/>
      </c>
      <c r="AB81">
        <f>HYPERLINK("https://klasma.github.io/Logging_0484/klagomålsmail/A 59070-2022 FSC-klagomål mail.docx", "A 59070-2022")</f>
        <v/>
      </c>
      <c r="AC81">
        <f>HYPERLINK("https://klasma.github.io/Logging_0484/tillsyn/A 59070-2022 tillsynsbegäran.docx", "A 59070-2022")</f>
        <v/>
      </c>
      <c r="AD81">
        <f>HYPERLINK("https://klasma.github.io/Logging_0484/tillsynsmail/A 59070-2022 tillsynsbegäran mail.docx", "A 59070-2022")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46321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68018-2021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46321</v>
      </c>
      <c r="F83" t="inlineStr">
        <is>
          <t>SÖDERMANLANDS LÄN</t>
        </is>
      </c>
      <c r="G83" t="inlineStr">
        <is>
          <t>ESKILSTUNA</t>
        </is>
      </c>
      <c r="I83" t="n">
        <v>0.8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Motaggsvamp</t>
        </is>
      </c>
      <c r="W83">
        <f>HYPERLINK("https://klasma.github.io/Logging_0484/artfynd/A 68018-2021 artfynd.xlsx", "A 68018-2021")</f>
        <v/>
      </c>
      <c r="X83">
        <f>HYPERLINK("https://klasma.github.io/Logging_0484/kartor/A 68018-2021 karta.png", "A 68018-2021")</f>
        <v/>
      </c>
      <c r="Y83">
        <f>HYPERLINK("https://klasma.github.io/Logging_0484/kartor_geotiff/A 68018-2021 georefererad karta.tif", "A 68018-2021")</f>
        <v/>
      </c>
      <c r="AA83">
        <f>HYPERLINK("https://klasma.github.io/Logging_0484/klagomål/A 68018-2021 FSC-klagomål.docx", "A 68018-2021")</f>
        <v/>
      </c>
      <c r="AB83">
        <f>HYPERLINK("https://klasma.github.io/Logging_0484/klagomålsmail/A 68018-2021 FSC-klagomål mail.docx", "A 68018-2021")</f>
        <v/>
      </c>
      <c r="AC83">
        <f>HYPERLINK("https://klasma.github.io/Logging_0484/tillsyn/A 68018-2021 tillsynsbegäran.docx", "A 68018-2021")</f>
        <v/>
      </c>
      <c r="AD83">
        <f>HYPERLINK("https://klasma.github.io/Logging_0484/tillsynsmail/A 68018-2021 tillsynsbegäran mail.docx", "A 68018-2021")</f>
        <v/>
      </c>
    </row>
    <row r="84" ht="15" customHeight="1">
      <c r="A84" t="inlineStr">
        <is>
          <t>A 51345-2024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45603</v>
      </c>
      <c r="E84" s="1" t="n">
        <v>46321</v>
      </c>
      <c r="F84" t="inlineStr">
        <is>
          <t>SÖDERMANLANDS LÄN</t>
        </is>
      </c>
      <c r="G84" t="inlineStr">
        <is>
          <t>ESKILSTUNA</t>
        </is>
      </c>
      <c r="I84" t="n">
        <v>4.9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HYPERLINK("https://klasma.github.io/Logging_0484/artfynd/A 51345-2024 artfynd.xlsx", "A 51345-2024")</f>
        <v/>
      </c>
      <c r="X84">
        <f>HYPERLINK("https://klasma.github.io/Logging_0484/kartor/A 51345-2024 karta.png", "A 51345-2024")</f>
        <v/>
      </c>
      <c r="Y84">
        <f>HYPERLINK("https://klasma.github.io/Logging_0484/kartor_geotiff/A 51345-2024 georefererad karta.tif", "A 51345-2024")</f>
        <v/>
      </c>
      <c r="AA84">
        <f>HYPERLINK("https://klasma.github.io/Logging_0484/klagomål/A 51345-2024 FSC-klagomål.docx", "A 51345-2024")</f>
        <v/>
      </c>
      <c r="AB84">
        <f>HYPERLINK("https://klasma.github.io/Logging_0484/klagomålsmail/A 51345-2024 FSC-klagomål mail.docx", "A 51345-2024")</f>
        <v/>
      </c>
      <c r="AC84">
        <f>HYPERLINK("https://klasma.github.io/Logging_0484/tillsyn/A 51345-2024 tillsynsbegäran.docx", "A 51345-2024")</f>
        <v/>
      </c>
      <c r="AD84">
        <f>HYPERLINK("https://klasma.github.io/Logging_0484/tillsynsmail/A 51345-2024 tillsynsbegäran mail.docx", "A 51345-2024")</f>
        <v/>
      </c>
    </row>
    <row r="85" ht="15" customHeight="1">
      <c r="A85" t="inlineStr">
        <is>
          <t>A 29647-2023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46321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0.9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Rödvingetrast</t>
        </is>
      </c>
      <c r="W85">
        <f>HYPERLINK("https://klasma.github.io/Logging_0484/artfynd/A 29647-2023 artfynd.xlsx", "A 29647-2023")</f>
        <v/>
      </c>
      <c r="X85">
        <f>HYPERLINK("https://klasma.github.io/Logging_0484/kartor/A 29647-2023 karta.png", "A 29647-2023")</f>
        <v/>
      </c>
      <c r="Y85">
        <f>HYPERLINK("https://klasma.github.io/Logging_0484/kartor_geotiff/A 29647-2023 georefererad karta.tif", "A 29647-2023")</f>
        <v/>
      </c>
      <c r="AA85">
        <f>HYPERLINK("https://klasma.github.io/Logging_0484/klagomål/A 29647-2023 FSC-klagomål.docx", "A 29647-2023")</f>
        <v/>
      </c>
      <c r="AB85">
        <f>HYPERLINK("https://klasma.github.io/Logging_0484/klagomålsmail/A 29647-2023 FSC-klagomål mail.docx", "A 29647-2023")</f>
        <v/>
      </c>
      <c r="AC85">
        <f>HYPERLINK("https://klasma.github.io/Logging_0484/tillsyn/A 29647-2023 tillsynsbegäran.docx", "A 29647-2023")</f>
        <v/>
      </c>
      <c r="AD85">
        <f>HYPERLINK("https://klasma.github.io/Logging_0484/tillsynsmail/A 29647-2023 tillsynsbegäran mail.docx", "A 29647-2023")</f>
        <v/>
      </c>
      <c r="AE85">
        <f>HYPERLINK("https://klasma.github.io/Logging_0484/fåglar/A 29647-2023 prioriterade fågelarter.docx", "A 29647-2023")</f>
        <v/>
      </c>
    </row>
    <row r="86" ht="15" customHeight="1">
      <c r="A86" t="inlineStr">
        <is>
          <t>A 30975-2023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46321</v>
      </c>
      <c r="F86" t="inlineStr">
        <is>
          <t>SÖDERMANLANDS LÄN</t>
        </is>
      </c>
      <c r="G86" t="inlineStr">
        <is>
          <t>ESKILSTUNA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Bombmurkla</t>
        </is>
      </c>
      <c r="W86">
        <f>HYPERLINK("https://klasma.github.io/Logging_0484/artfynd/A 30975-2023 artfynd.xlsx", "A 30975-2023")</f>
        <v/>
      </c>
      <c r="X86">
        <f>HYPERLINK("https://klasma.github.io/Logging_0484/kartor/A 30975-2023 karta.png", "A 30975-2023")</f>
        <v/>
      </c>
      <c r="Y86">
        <f>HYPERLINK("https://klasma.github.io/Logging_0484/kartor_geotiff/A 30975-2023 georefererad karta.tif", "A 30975-2023")</f>
        <v/>
      </c>
      <c r="AA86">
        <f>HYPERLINK("https://klasma.github.io/Logging_0484/klagomål/A 30975-2023 FSC-klagomål.docx", "A 30975-2023")</f>
        <v/>
      </c>
      <c r="AB86">
        <f>HYPERLINK("https://klasma.github.io/Logging_0484/klagomålsmail/A 30975-2023 FSC-klagomål mail.docx", "A 30975-2023")</f>
        <v/>
      </c>
      <c r="AC86">
        <f>HYPERLINK("https://klasma.github.io/Logging_0484/tillsyn/A 30975-2023 tillsynsbegäran.docx", "A 30975-2023")</f>
        <v/>
      </c>
      <c r="AD86">
        <f>HYPERLINK("https://klasma.github.io/Logging_0484/tillsynsmail/A 30975-2023 tillsynsbegäran mail.docx", "A 30975-2023")</f>
        <v/>
      </c>
    </row>
    <row r="87" ht="15" customHeight="1">
      <c r="A87" t="inlineStr">
        <is>
          <t>A 50760-2023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46321</v>
      </c>
      <c r="F87" t="inlineStr">
        <is>
          <t>SÖDERMANLANDS LÄN</t>
        </is>
      </c>
      <c r="G87" t="inlineStr">
        <is>
          <t>ESKILSTUNA</t>
        </is>
      </c>
      <c r="I87" t="n">
        <v>4.1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Pärluggla</t>
        </is>
      </c>
      <c r="W87">
        <f>HYPERLINK("https://klasma.github.io/Logging_0484/artfynd/A 50760-2023 artfynd.xlsx", "A 50760-2023")</f>
        <v/>
      </c>
      <c r="X87">
        <f>HYPERLINK("https://klasma.github.io/Logging_0484/kartor/A 50760-2023 karta.png", "A 50760-2023")</f>
        <v/>
      </c>
      <c r="Y87">
        <f>HYPERLINK("https://klasma.github.io/Logging_0484/kartor_geotiff/A 50760-2023 georefererad karta.tif", "A 50760-2023")</f>
        <v/>
      </c>
      <c r="AA87">
        <f>HYPERLINK("https://klasma.github.io/Logging_0484/klagomål/A 50760-2023 FSC-klagomål.docx", "A 50760-2023")</f>
        <v/>
      </c>
      <c r="AB87">
        <f>HYPERLINK("https://klasma.github.io/Logging_0484/klagomålsmail/A 50760-2023 FSC-klagomål mail.docx", "A 50760-2023")</f>
        <v/>
      </c>
      <c r="AC87">
        <f>HYPERLINK("https://klasma.github.io/Logging_0484/tillsyn/A 50760-2023 tillsynsbegäran.docx", "A 50760-2023")</f>
        <v/>
      </c>
      <c r="AD87">
        <f>HYPERLINK("https://klasma.github.io/Logging_0484/tillsynsmail/A 50760-2023 tillsynsbegäran mail.docx", "A 50760-2023")</f>
        <v/>
      </c>
      <c r="AE87">
        <f>HYPERLINK("https://klasma.github.io/Logging_0484/fåglar/A 50760-2023 prioriterade fågelarter.docx", "A 50760-2023")</f>
        <v/>
      </c>
    </row>
    <row r="88" ht="15" customHeight="1">
      <c r="A88" t="inlineStr">
        <is>
          <t>A 55087-2022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46321</v>
      </c>
      <c r="F88" t="inlineStr">
        <is>
          <t>SÖDERMANLANDS LÄN</t>
        </is>
      </c>
      <c r="G88" t="inlineStr">
        <is>
          <t>ESKILSTUNA</t>
        </is>
      </c>
      <c r="I88" t="n">
        <v>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HYPERLINK("https://klasma.github.io/Logging_0484/artfynd/A 55087-2022 artfynd.xlsx", "A 55087-2022")</f>
        <v/>
      </c>
      <c r="X88">
        <f>HYPERLINK("https://klasma.github.io/Logging_0484/kartor/A 55087-2022 karta.png", "A 55087-2022")</f>
        <v/>
      </c>
      <c r="Y88">
        <f>HYPERLINK("https://klasma.github.io/Logging_0484/kartor_geotiff/A 55087-2022 georefererad karta.tif", "A 55087-2022")</f>
        <v/>
      </c>
      <c r="AA88">
        <f>HYPERLINK("https://klasma.github.io/Logging_0484/klagomål/A 55087-2022 FSC-klagomål.docx", "A 55087-2022")</f>
        <v/>
      </c>
      <c r="AB88">
        <f>HYPERLINK("https://klasma.github.io/Logging_0484/klagomålsmail/A 55087-2022 FSC-klagomål mail.docx", "A 55087-2022")</f>
        <v/>
      </c>
      <c r="AC88">
        <f>HYPERLINK("https://klasma.github.io/Logging_0484/tillsyn/A 55087-2022 tillsynsbegäran.docx", "A 55087-2022")</f>
        <v/>
      </c>
      <c r="AD88">
        <f>HYPERLINK("https://klasma.github.io/Logging_0484/tillsynsmail/A 55087-2022 tillsynsbegäran mail.docx", "A 55087-2022")</f>
        <v/>
      </c>
      <c r="AE88">
        <f>HYPERLINK("https://klasma.github.io/Logging_0484/fåglar/A 55087-2022 prioriterade fågelarter.docx", "A 55087-2022")</f>
        <v/>
      </c>
    </row>
    <row r="89" ht="15" customHeight="1">
      <c r="A89" t="inlineStr">
        <is>
          <t>A 71976-2021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46321</v>
      </c>
      <c r="F89" t="inlineStr">
        <is>
          <t>SÖDERMANLANDS LÄN</t>
        </is>
      </c>
      <c r="G89" t="inlineStr">
        <is>
          <t>ESKILSTUNA</t>
        </is>
      </c>
      <c r="I89" t="n">
        <v>19.6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Jungfrulin</t>
        </is>
      </c>
      <c r="W89">
        <f>HYPERLINK("https://klasma.github.io/Logging_0484/artfynd/A 71976-2021 artfynd.xlsx", "A 71976-2021")</f>
        <v/>
      </c>
      <c r="X89">
        <f>HYPERLINK("https://klasma.github.io/Logging_0484/kartor/A 71976-2021 karta.png", "A 71976-2021")</f>
        <v/>
      </c>
      <c r="Y89">
        <f>HYPERLINK("https://klasma.github.io/Logging_0484/kartor_geotiff/A 71976-2021 georefererad karta.tif", "A 71976-2021")</f>
        <v/>
      </c>
      <c r="AA89">
        <f>HYPERLINK("https://klasma.github.io/Logging_0484/klagomål/A 71976-2021 FSC-klagomål.docx", "A 71976-2021")</f>
        <v/>
      </c>
      <c r="AB89">
        <f>HYPERLINK("https://klasma.github.io/Logging_0484/klagomålsmail/A 71976-2021 FSC-klagomål mail.docx", "A 71976-2021")</f>
        <v/>
      </c>
      <c r="AC89">
        <f>HYPERLINK("https://klasma.github.io/Logging_0484/tillsyn/A 71976-2021 tillsynsbegäran.docx", "A 71976-2021")</f>
        <v/>
      </c>
      <c r="AD89">
        <f>HYPERLINK("https://klasma.github.io/Logging_0484/tillsynsmail/A 71976-2021 tillsynsbegäran mail.docx", "A 71976-2021")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46321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38361-2024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45545</v>
      </c>
      <c r="E91" s="1" t="n">
        <v>46321</v>
      </c>
      <c r="F91" t="inlineStr">
        <is>
          <t>SÖDERMANLANDS LÄN</t>
        </is>
      </c>
      <c r="G91" t="inlineStr">
        <is>
          <t>ESKILSTUNA</t>
        </is>
      </c>
      <c r="I91" t="n">
        <v>0.4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HYPERLINK("https://klasma.github.io/Logging_0484/artfynd/A 38361-2024 artfynd.xlsx", "A 38361-2024")</f>
        <v/>
      </c>
      <c r="X91">
        <f>HYPERLINK("https://klasma.github.io/Logging_0484/kartor/A 38361-2024 karta.png", "A 38361-2024")</f>
        <v/>
      </c>
      <c r="Y91">
        <f>HYPERLINK("https://klasma.github.io/Logging_0484/kartor_geotiff/A 38361-2024 georefererad karta.tif", "A 38361-2024")</f>
        <v/>
      </c>
      <c r="AA91">
        <f>HYPERLINK("https://klasma.github.io/Logging_0484/klagomål/A 38361-2024 FSC-klagomål.docx", "A 38361-2024")</f>
        <v/>
      </c>
      <c r="AB91">
        <f>HYPERLINK("https://klasma.github.io/Logging_0484/klagomålsmail/A 38361-2024 FSC-klagomål mail.docx", "A 38361-2024")</f>
        <v/>
      </c>
      <c r="AC91">
        <f>HYPERLINK("https://klasma.github.io/Logging_0484/tillsyn/A 38361-2024 tillsynsbegäran.docx", "A 38361-2024")</f>
        <v/>
      </c>
      <c r="AD91">
        <f>HYPERLINK("https://klasma.github.io/Logging_0484/tillsynsmail/A 38361-2024 tillsynsbegäran mail.docx", "A 38361-2024")</f>
        <v/>
      </c>
      <c r="AE91">
        <f>HYPERLINK("https://klasma.github.io/Logging_0484/fåglar/A 38361-2024 prioriterade fågelarter.docx", "A 38361-2024")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46321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46321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46321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46321</v>
      </c>
      <c r="F95" t="inlineStr">
        <is>
          <t>SÖDERMANLANDS LÄN</t>
        </is>
      </c>
      <c r="G95" t="inlineStr">
        <is>
          <t>ESKILSTUNA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46321</v>
      </c>
      <c r="F96" t="inlineStr">
        <is>
          <t>SÖDERMANLANDS LÄN</t>
        </is>
      </c>
      <c r="G96" t="inlineStr">
        <is>
          <t>ESKILSTUNA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46321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46321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46321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46321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46321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46321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46321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46321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46321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46321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46321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46321</v>
      </c>
      <c r="F108" t="inlineStr">
        <is>
          <t>SÖDERMANLANDS LÄN</t>
        </is>
      </c>
      <c r="G108" t="inlineStr">
        <is>
          <t>ESKILSTUNA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46321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46321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46321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46321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46321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46321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46321</v>
      </c>
      <c r="F115" t="inlineStr">
        <is>
          <t>SÖDERMANLANDS LÄN</t>
        </is>
      </c>
      <c r="G115" t="inlineStr">
        <is>
          <t>ESKILSTUNA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46321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46321</v>
      </c>
      <c r="F117" t="inlineStr">
        <is>
          <t>SÖDERMANLANDS LÄN</t>
        </is>
      </c>
      <c r="G117" t="inlineStr">
        <is>
          <t>ESKILSTUNA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46321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46321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46321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46321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46321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46321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46321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46321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46321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46321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46321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46321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46321</v>
      </c>
      <c r="F130" t="inlineStr">
        <is>
          <t>SÖDERMANLANDS LÄN</t>
        </is>
      </c>
      <c r="G130" t="inlineStr">
        <is>
          <t>ESKILSTUNA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46321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46321</v>
      </c>
      <c r="F132" t="inlineStr">
        <is>
          <t>SÖDERMANLANDS LÄN</t>
        </is>
      </c>
      <c r="G132" t="inlineStr">
        <is>
          <t>ESKILSTUNA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46321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46321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46321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46321</v>
      </c>
      <c r="F136" t="inlineStr">
        <is>
          <t>SÖDERMANLANDS LÄN</t>
        </is>
      </c>
      <c r="G136" t="inlineStr">
        <is>
          <t>ESKILSTUNA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46321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46321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46321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44643</v>
      </c>
      <c r="E140" s="1" t="n">
        <v>46321</v>
      </c>
      <c r="F140" t="inlineStr">
        <is>
          <t>SÖDERMANLANDS LÄN</t>
        </is>
      </c>
      <c r="G140" t="inlineStr">
        <is>
          <t>ESKILSTUNA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46321</v>
      </c>
      <c r="F141" t="inlineStr">
        <is>
          <t>SÖDERMANLANDS LÄN</t>
        </is>
      </c>
      <c r="G141" t="inlineStr">
        <is>
          <t>ESKILSTUNA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46321</v>
      </c>
      <c r="F142" t="inlineStr">
        <is>
          <t>SÖDERMANLANDS LÄN</t>
        </is>
      </c>
      <c r="G142" t="inlineStr">
        <is>
          <t>ESKILSTUNA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46321</v>
      </c>
      <c r="F143" t="inlineStr">
        <is>
          <t>SÖDERMANLANDS LÄN</t>
        </is>
      </c>
      <c r="G143" t="inlineStr">
        <is>
          <t>ESKILSTUNA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46321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Allmännings- och besparingsskogar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46321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46321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46321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46321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46321</v>
      </c>
      <c r="F149" t="inlineStr">
        <is>
          <t>SÖDERMANLANDS LÄN</t>
        </is>
      </c>
      <c r="G149" t="inlineStr">
        <is>
          <t>ESKILSTUNA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46321</v>
      </c>
      <c r="F150" t="inlineStr">
        <is>
          <t>SÖDERMANLANDS LÄN</t>
        </is>
      </c>
      <c r="G150" t="inlineStr">
        <is>
          <t>ESKILSTUNA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46321</v>
      </c>
      <c r="F151" t="inlineStr">
        <is>
          <t>SÖDERMANLANDS LÄN</t>
        </is>
      </c>
      <c r="G151" t="inlineStr">
        <is>
          <t>ESKILSTUNA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46321</v>
      </c>
      <c r="F152" t="inlineStr">
        <is>
          <t>SÖDERMANLANDS LÄN</t>
        </is>
      </c>
      <c r="G152" t="inlineStr">
        <is>
          <t>ESKILSTUNA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46321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46321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Kyrkan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46321</v>
      </c>
      <c r="F155" t="inlineStr">
        <is>
          <t>SÖDERMANLANDS LÄN</t>
        </is>
      </c>
      <c r="G155" t="inlineStr">
        <is>
          <t>ESKILSTUNA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46321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46321</v>
      </c>
      <c r="F157" t="inlineStr">
        <is>
          <t>SÖDERMANLANDS LÄN</t>
        </is>
      </c>
      <c r="G157" t="inlineStr">
        <is>
          <t>ESKILSTUNA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46321</v>
      </c>
      <c r="F158" t="inlineStr">
        <is>
          <t>SÖDERMANLANDS LÄN</t>
        </is>
      </c>
      <c r="G158" t="inlineStr">
        <is>
          <t>ESKILSTUNA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46321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Övriga Aktiebolag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46321</v>
      </c>
      <c r="F160" t="inlineStr">
        <is>
          <t>SÖDERMANLANDS LÄN</t>
        </is>
      </c>
      <c r="G160" t="inlineStr">
        <is>
          <t>ESKILSTUNA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46321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46321</v>
      </c>
      <c r="F162" t="inlineStr">
        <is>
          <t>SÖDERMANLANDS LÄN</t>
        </is>
      </c>
      <c r="G162" t="inlineStr">
        <is>
          <t>ESKILSTUNA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44626</v>
      </c>
      <c r="E163" s="1" t="n">
        <v>46321</v>
      </c>
      <c r="F163" t="inlineStr">
        <is>
          <t>SÖDERMANLANDS LÄN</t>
        </is>
      </c>
      <c r="G163" t="inlineStr">
        <is>
          <t>ESKILSTUNA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44499</v>
      </c>
      <c r="E164" s="1" t="n">
        <v>46321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46321</v>
      </c>
      <c r="F165" t="inlineStr">
        <is>
          <t>SÖDERMANLANDS LÄN</t>
        </is>
      </c>
      <c r="G165" t="inlineStr">
        <is>
          <t>ESKILSTUNA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46321</v>
      </c>
      <c r="F166" t="inlineStr">
        <is>
          <t>SÖDERMANLANDS LÄN</t>
        </is>
      </c>
      <c r="G166" t="inlineStr">
        <is>
          <t>ESKILSTUNA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9711-2025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45715</v>
      </c>
      <c r="E167" s="1" t="n">
        <v>46321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46321</v>
      </c>
      <c r="F168" t="inlineStr">
        <is>
          <t>SÖDERMANLANDS LÄN</t>
        </is>
      </c>
      <c r="G168" t="inlineStr">
        <is>
          <t>ESKILSTUNA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46321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52203-2025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45953</v>
      </c>
      <c r="E170" s="1" t="n">
        <v>46321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46321</v>
      </c>
      <c r="F171" t="inlineStr">
        <is>
          <t>SÖDERMANLANDS LÄN</t>
        </is>
      </c>
      <c r="G171" t="inlineStr">
        <is>
          <t>ESKILSTUNA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46164</v>
      </c>
      <c r="E172" s="1" t="n">
        <v>46321</v>
      </c>
      <c r="F172" t="inlineStr">
        <is>
          <t>SÖDERMANLANDS LÄN</t>
        </is>
      </c>
      <c r="G172" t="inlineStr">
        <is>
          <t>ESKILSTUNA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45004</v>
      </c>
      <c r="E173" s="1" t="n">
        <v>46321</v>
      </c>
      <c r="F173" t="inlineStr">
        <is>
          <t>SÖDERMANLANDS LÄN</t>
        </is>
      </c>
      <c r="G173" t="inlineStr">
        <is>
          <t>ESKILSTUNA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46321</v>
      </c>
      <c r="F174" t="inlineStr">
        <is>
          <t>SÖDERMANLANDS LÄN</t>
        </is>
      </c>
      <c r="G174" t="inlineStr">
        <is>
          <t>ESKILSTUNA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46321</v>
      </c>
      <c r="F175" t="inlineStr">
        <is>
          <t>SÖDERMANLANDS LÄN</t>
        </is>
      </c>
      <c r="G175" t="inlineStr">
        <is>
          <t>ESKILSTUNA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46321</v>
      </c>
      <c r="F176" t="inlineStr">
        <is>
          <t>SÖDERMANLANDS LÄN</t>
        </is>
      </c>
      <c r="G176" t="inlineStr">
        <is>
          <t>ESKILSTUNA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46321</v>
      </c>
      <c r="F177" t="inlineStr">
        <is>
          <t>SÖDERMANLANDS LÄN</t>
        </is>
      </c>
      <c r="G177" t="inlineStr">
        <is>
          <t>ESKILSTUNA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46321</v>
      </c>
      <c r="F178" t="inlineStr">
        <is>
          <t>SÖDERMANLANDS LÄN</t>
        </is>
      </c>
      <c r="G178" t="inlineStr">
        <is>
          <t>ESKILSTUNA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46321</v>
      </c>
      <c r="F179" t="inlineStr">
        <is>
          <t>SÖDERMANLANDS LÄN</t>
        </is>
      </c>
      <c r="G179" t="inlineStr">
        <is>
          <t>ESKILSTUNA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46321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46321</v>
      </c>
      <c r="F181" t="inlineStr">
        <is>
          <t>SÖDERMANLANDS LÄN</t>
        </is>
      </c>
      <c r="G181" t="inlineStr">
        <is>
          <t>ESKILSTUNA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46321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46321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46321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46321</v>
      </c>
      <c r="F185" t="inlineStr">
        <is>
          <t>SÖDERMANLANDS LÄN</t>
        </is>
      </c>
      <c r="G185" t="inlineStr">
        <is>
          <t>ESKILSTUNA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46321</v>
      </c>
      <c r="F186" t="inlineStr">
        <is>
          <t>SÖDERMANLANDS LÄN</t>
        </is>
      </c>
      <c r="G186" t="inlineStr">
        <is>
          <t>ESKILSTUNA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46321</v>
      </c>
      <c r="F187" t="inlineStr">
        <is>
          <t>SÖDERMANLANDS LÄN</t>
        </is>
      </c>
      <c r="G187" t="inlineStr">
        <is>
          <t>ESKILSTUNA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46321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46321</v>
      </c>
      <c r="F189" t="inlineStr">
        <is>
          <t>SÖDERMANLANDS LÄN</t>
        </is>
      </c>
      <c r="G189" t="inlineStr">
        <is>
          <t>ESKILSTUNA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57304-2023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45245</v>
      </c>
      <c r="E190" s="1" t="n">
        <v>46321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35076-2022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46321</v>
      </c>
      <c r="F191" t="inlineStr">
        <is>
          <t>SÖDERMANLANDS LÄN</t>
        </is>
      </c>
      <c r="G191" t="inlineStr">
        <is>
          <t>ESKILSTUNA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46321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12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46321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44799</v>
      </c>
      <c r="E194" s="1" t="n">
        <v>46321</v>
      </c>
      <c r="F194" t="inlineStr">
        <is>
          <t>SÖDERMANLANDS LÄN</t>
        </is>
      </c>
      <c r="G194" t="inlineStr">
        <is>
          <t>ESKILSTUNA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46321</v>
      </c>
      <c r="F195" t="inlineStr">
        <is>
          <t>SÖDERMANLANDS LÄN</t>
        </is>
      </c>
      <c r="G195" t="inlineStr">
        <is>
          <t>ESKILSTUNA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46321</v>
      </c>
      <c r="F196" t="inlineStr">
        <is>
          <t>SÖDERMANLANDS LÄN</t>
        </is>
      </c>
      <c r="G196" t="inlineStr">
        <is>
          <t>ESKILSTUNA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46321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49469-2022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46321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46181</v>
      </c>
      <c r="E199" s="1" t="n">
        <v>46321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46321</v>
      </c>
      <c r="F200" t="inlineStr">
        <is>
          <t>SÖDERMANLANDS LÄN</t>
        </is>
      </c>
      <c r="G200" t="inlineStr">
        <is>
          <t>ESKILSTUNA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45303</v>
      </c>
      <c r="E201" s="1" t="n">
        <v>46321</v>
      </c>
      <c r="F201" t="inlineStr">
        <is>
          <t>SÖDERMANLANDS LÄN</t>
        </is>
      </c>
      <c r="G201" t="inlineStr">
        <is>
          <t>ESKILSTUNA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46321</v>
      </c>
      <c r="F202" t="inlineStr">
        <is>
          <t>SÖDERMANLANDS LÄN</t>
        </is>
      </c>
      <c r="G202" t="inlineStr">
        <is>
          <t>ESKILSTUNA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46321</v>
      </c>
      <c r="F203" t="inlineStr">
        <is>
          <t>SÖDERMANLANDS LÄN</t>
        </is>
      </c>
      <c r="G203" t="inlineStr">
        <is>
          <t>ESKILSTUNA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46321</v>
      </c>
      <c r="F204" t="inlineStr">
        <is>
          <t>SÖDERMANLANDS LÄN</t>
        </is>
      </c>
      <c r="G204" t="inlineStr">
        <is>
          <t>ESKILSTUNA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46321</v>
      </c>
      <c r="F205" t="inlineStr">
        <is>
          <t>SÖDERMANLANDS LÄN</t>
        </is>
      </c>
      <c r="G205" t="inlineStr">
        <is>
          <t>ESKILSTUNA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46321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46321</v>
      </c>
      <c r="F207" t="inlineStr">
        <is>
          <t>SÖDERMANLANDS LÄN</t>
        </is>
      </c>
      <c r="G207" t="inlineStr">
        <is>
          <t>ESKILSTUNA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46321</v>
      </c>
      <c r="F208" t="inlineStr">
        <is>
          <t>SÖDERMANLANDS LÄN</t>
        </is>
      </c>
      <c r="G208" t="inlineStr">
        <is>
          <t>ESKILSTUNA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46321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46321</v>
      </c>
      <c r="F210" t="inlineStr">
        <is>
          <t>SÖDERMANLANDS LÄN</t>
        </is>
      </c>
      <c r="G210" t="inlineStr">
        <is>
          <t>ESKILSTUNA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46321</v>
      </c>
      <c r="F211" t="inlineStr">
        <is>
          <t>SÖDERMANLANDS LÄN</t>
        </is>
      </c>
      <c r="G211" t="inlineStr">
        <is>
          <t>ESKILSTUNA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46321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46321</v>
      </c>
      <c r="F213" t="inlineStr">
        <is>
          <t>SÖDERMANLANDS LÄN</t>
        </is>
      </c>
      <c r="G213" t="inlineStr">
        <is>
          <t>ESKILSTUNA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45518</v>
      </c>
      <c r="E214" s="1" t="n">
        <v>46321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46321</v>
      </c>
      <c r="F215" t="inlineStr">
        <is>
          <t>SÖDERMANLANDS LÄN</t>
        </is>
      </c>
      <c r="G215" t="inlineStr">
        <is>
          <t>ESKILSTUNA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46321</v>
      </c>
      <c r="F216" t="inlineStr">
        <is>
          <t>SÖDERMANLANDS LÄN</t>
        </is>
      </c>
      <c r="G216" t="inlineStr">
        <is>
          <t>ESKILSTUNA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46321</v>
      </c>
      <c r="F217" t="inlineStr">
        <is>
          <t>SÖDERMANLANDS LÄN</t>
        </is>
      </c>
      <c r="G217" t="inlineStr">
        <is>
          <t>ESKILSTUNA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45387</v>
      </c>
      <c r="E218" s="1" t="n">
        <v>46321</v>
      </c>
      <c r="F218" t="inlineStr">
        <is>
          <t>SÖDERMANLANDS LÄN</t>
        </is>
      </c>
      <c r="G218" t="inlineStr">
        <is>
          <t>ESKILSTUNA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27779-2026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46191</v>
      </c>
      <c r="E219" s="1" t="n">
        <v>46321</v>
      </c>
      <c r="F219" t="inlineStr">
        <is>
          <t>SÖDERMANLANDS LÄN</t>
        </is>
      </c>
      <c r="G219" t="inlineStr">
        <is>
          <t>ESKILSTUNA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46321</v>
      </c>
      <c r="F220" t="inlineStr">
        <is>
          <t>SÖDERMANLANDS LÄN</t>
        </is>
      </c>
      <c r="G220" t="inlineStr">
        <is>
          <t>ESKILSTUNA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45303</v>
      </c>
      <c r="E221" s="1" t="n">
        <v>46321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1346-2024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45303</v>
      </c>
      <c r="E222" s="1" t="n">
        <v>46321</v>
      </c>
      <c r="F222" t="inlineStr">
        <is>
          <t>SÖDERMANLANDS LÄN</t>
        </is>
      </c>
      <c r="G222" t="inlineStr">
        <is>
          <t>ESKILSTUNA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46321</v>
      </c>
      <c r="F223" t="inlineStr">
        <is>
          <t>SÖDERMANLANDS LÄN</t>
        </is>
      </c>
      <c r="G223" t="inlineStr">
        <is>
          <t>ESKILSTUNA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46321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Allmännings- och besparingsskogar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46321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29053-2026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46199</v>
      </c>
      <c r="E226" s="1" t="n">
        <v>46321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46321</v>
      </c>
      <c r="F227" t="inlineStr">
        <is>
          <t>SÖDERMANLANDS LÄN</t>
        </is>
      </c>
      <c r="G227" t="inlineStr">
        <is>
          <t>ESKILSTUNA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46321</v>
      </c>
      <c r="F228" t="inlineStr">
        <is>
          <t>SÖDERMANLANDS LÄN</t>
        </is>
      </c>
      <c r="G228" t="inlineStr">
        <is>
          <t>ESKILSTUNA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46321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46321</v>
      </c>
      <c r="F230" t="inlineStr">
        <is>
          <t>SÖDERMANLANDS LÄN</t>
        </is>
      </c>
      <c r="G230" t="inlineStr">
        <is>
          <t>ESKILSTUNA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29051-2026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46199</v>
      </c>
      <c r="E231" s="1" t="n">
        <v>46321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46321</v>
      </c>
      <c r="F232" t="inlineStr">
        <is>
          <t>SÖDERMANLANDS LÄN</t>
        </is>
      </c>
      <c r="G232" t="inlineStr">
        <is>
          <t>ESKILSTUNA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46321</v>
      </c>
      <c r="F233" t="inlineStr">
        <is>
          <t>SÖDERMANLANDS LÄN</t>
        </is>
      </c>
      <c r="G233" t="inlineStr">
        <is>
          <t>ESKILSTUNA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46321</v>
      </c>
      <c r="F234" t="inlineStr">
        <is>
          <t>SÖDERMANLANDS LÄN</t>
        </is>
      </c>
      <c r="G234" t="inlineStr">
        <is>
          <t>ESKILSTUNA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46321</v>
      </c>
      <c r="F235" t="inlineStr">
        <is>
          <t>SÖDERMANLANDS LÄN</t>
        </is>
      </c>
      <c r="G235" t="inlineStr">
        <is>
          <t>ESKILSTUNA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46321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46321</v>
      </c>
      <c r="F237" t="inlineStr">
        <is>
          <t>SÖDERMANLANDS LÄN</t>
        </is>
      </c>
      <c r="G237" t="inlineStr">
        <is>
          <t>ESKILSTUNA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46321</v>
      </c>
      <c r="F238" t="inlineStr">
        <is>
          <t>SÖDERMANLANDS LÄN</t>
        </is>
      </c>
      <c r="G238" t="inlineStr">
        <is>
          <t>ESKILSTUNA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45464</v>
      </c>
      <c r="E239" s="1" t="n">
        <v>46321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46321</v>
      </c>
      <c r="F240" t="inlineStr">
        <is>
          <t>SÖDERMANLANDS LÄN</t>
        </is>
      </c>
      <c r="G240" t="inlineStr">
        <is>
          <t>ESKILSTUNA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45514</v>
      </c>
      <c r="E241" s="1" t="n">
        <v>46321</v>
      </c>
      <c r="F241" t="inlineStr">
        <is>
          <t>SÖDERMANLANDS LÄN</t>
        </is>
      </c>
      <c r="G241" t="inlineStr">
        <is>
          <t>ESKILSTUNA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46321</v>
      </c>
      <c r="F242" t="inlineStr">
        <is>
          <t>SÖDERMANLANDS LÄN</t>
        </is>
      </c>
      <c r="G242" t="inlineStr">
        <is>
          <t>ESKILSTUNA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44789</v>
      </c>
      <c r="E243" s="1" t="n">
        <v>46321</v>
      </c>
      <c r="F243" t="inlineStr">
        <is>
          <t>SÖDERMANLANDS LÄN</t>
        </is>
      </c>
      <c r="G243" t="inlineStr">
        <is>
          <t>ESKILSTUNA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46321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46321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46321</v>
      </c>
      <c r="F246" t="inlineStr">
        <is>
          <t>SÖDERMANLANDS LÄN</t>
        </is>
      </c>
      <c r="G246" t="inlineStr">
        <is>
          <t>ESKILSTUNA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46321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46321</v>
      </c>
      <c r="F248" t="inlineStr">
        <is>
          <t>SÖDERMANLANDS LÄN</t>
        </is>
      </c>
      <c r="G248" t="inlineStr">
        <is>
          <t>ESKILSTUNA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45464</v>
      </c>
      <c r="E249" s="1" t="n">
        <v>46321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15592-2023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45020</v>
      </c>
      <c r="E250" s="1" t="n">
        <v>46321</v>
      </c>
      <c r="F250" t="inlineStr">
        <is>
          <t>SÖDERMANLANDS LÄN</t>
        </is>
      </c>
      <c r="G250" t="inlineStr">
        <is>
          <t>ESKILSTUNA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46321</v>
      </c>
      <c r="F251" t="inlineStr">
        <is>
          <t>SÖDERMANLANDS LÄN</t>
        </is>
      </c>
      <c r="G251" t="inlineStr">
        <is>
          <t>ESKILSTUNA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46321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46321</v>
      </c>
      <c r="F253" t="inlineStr">
        <is>
          <t>SÖDERMANLANDS LÄN</t>
        </is>
      </c>
      <c r="G253" t="inlineStr">
        <is>
          <t>ESKILSTUNA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46321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31131-2026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46216</v>
      </c>
      <c r="E255" s="1" t="n">
        <v>46321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46217</v>
      </c>
      <c r="E256" s="1" t="n">
        <v>46321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46321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46321</v>
      </c>
      <c r="F258" t="inlineStr">
        <is>
          <t>SÖDERMANLANDS LÄN</t>
        </is>
      </c>
      <c r="G258" t="inlineStr">
        <is>
          <t>ESKILSTUNA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46321</v>
      </c>
      <c r="F259" t="inlineStr">
        <is>
          <t>SÖDERMANLANDS LÄN</t>
        </is>
      </c>
      <c r="G259" t="inlineStr">
        <is>
          <t>ESKILSTUNA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45301</v>
      </c>
      <c r="E260" s="1" t="n">
        <v>46321</v>
      </c>
      <c r="F260" t="inlineStr">
        <is>
          <t>SÖDERMANLANDS LÄN</t>
        </is>
      </c>
      <c r="G260" t="inlineStr">
        <is>
          <t>ESKILSTUNA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46321</v>
      </c>
      <c r="F261" t="inlineStr">
        <is>
          <t>SÖDERMANLANDS LÄN</t>
        </is>
      </c>
      <c r="G261" t="inlineStr">
        <is>
          <t>ESKILSTUNA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46321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45670</v>
      </c>
      <c r="E263" s="1" t="n">
        <v>46321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46321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70560-2021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44536</v>
      </c>
      <c r="E265" s="1" t="n">
        <v>46321</v>
      </c>
      <c r="F265" t="inlineStr">
        <is>
          <t>SÖDERMANLANDS LÄN</t>
        </is>
      </c>
      <c r="G265" t="inlineStr">
        <is>
          <t>ESKILSTUNA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46321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46321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13153-2026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46092</v>
      </c>
      <c r="E268" s="1" t="n">
        <v>46321</v>
      </c>
      <c r="F268" t="inlineStr">
        <is>
          <t>SÖDERMANLANDS LÄN</t>
        </is>
      </c>
      <c r="G268" t="inlineStr">
        <is>
          <t>ESKILSTUNA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46321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44953</v>
      </c>
      <c r="E270" s="1" t="n">
        <v>46321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46321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46237</v>
      </c>
      <c r="E272" s="1" t="n">
        <v>46321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Sveaskog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46321</v>
      </c>
      <c r="F273" t="inlineStr">
        <is>
          <t>SÖDERMANLANDS LÄN</t>
        </is>
      </c>
      <c r="G273" t="inlineStr">
        <is>
          <t>ESKILSTUNA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46321</v>
      </c>
      <c r="F274" t="inlineStr">
        <is>
          <t>SÖDERMANLANDS LÄN</t>
        </is>
      </c>
      <c r="G274" t="inlineStr">
        <is>
          <t>ESKILSTUNA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46279</v>
      </c>
      <c r="E275" s="1" t="n">
        <v>46321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46321</v>
      </c>
      <c r="F276" t="inlineStr">
        <is>
          <t>SÖDERMANLANDS LÄN</t>
        </is>
      </c>
      <c r="G276" t="inlineStr">
        <is>
          <t>ESKILSTUNA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46321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46321</v>
      </c>
      <c r="F278" t="inlineStr">
        <is>
          <t>SÖDERMANLANDS LÄN</t>
        </is>
      </c>
      <c r="G278" t="inlineStr">
        <is>
          <t>ESKILSTUNA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46321</v>
      </c>
      <c r="F279" t="inlineStr">
        <is>
          <t>SÖDERMANLANDS LÄN</t>
        </is>
      </c>
      <c r="G279" t="inlineStr">
        <is>
          <t>ESKILSTUNA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46321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46321</v>
      </c>
      <c r="F281" t="inlineStr">
        <is>
          <t>SÖDERMANLANDS LÄN</t>
        </is>
      </c>
      <c r="G281" t="inlineStr">
        <is>
          <t>ESKILSTUNA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46239</v>
      </c>
      <c r="E282" s="1" t="n">
        <v>46321</v>
      </c>
      <c r="F282" t="inlineStr">
        <is>
          <t>SÖDERMANLANDS LÄN</t>
        </is>
      </c>
      <c r="G282" t="inlineStr">
        <is>
          <t>ESKILSTUNA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46241</v>
      </c>
      <c r="E283" s="1" t="n">
        <v>46321</v>
      </c>
      <c r="F283" t="inlineStr">
        <is>
          <t>SÖDERMANLANDS LÄN</t>
        </is>
      </c>
      <c r="G283" t="inlineStr">
        <is>
          <t>ESKILSTUNA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46321</v>
      </c>
      <c r="F284" t="inlineStr">
        <is>
          <t>SÖDERMANLANDS LÄN</t>
        </is>
      </c>
      <c r="G284" t="inlineStr">
        <is>
          <t>ESKILSTUNA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46321</v>
      </c>
      <c r="F285" t="inlineStr">
        <is>
          <t>SÖDERMANLANDS LÄN</t>
        </is>
      </c>
      <c r="G285" t="inlineStr">
        <is>
          <t>ESKILSTUNA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24537-2025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45798</v>
      </c>
      <c r="E286" s="1" t="n">
        <v>46321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24534-2025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45798</v>
      </c>
      <c r="E287" s="1" t="n">
        <v>46321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46321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24536-2025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45798</v>
      </c>
      <c r="E289" s="1" t="n">
        <v>46321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46321</v>
      </c>
      <c r="F290" t="inlineStr">
        <is>
          <t>SÖDERMANLANDS LÄN</t>
        </is>
      </c>
      <c r="G290" t="inlineStr">
        <is>
          <t>ESKILSTUNA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46321</v>
      </c>
      <c r="F291" t="inlineStr">
        <is>
          <t>SÖDERMANLANDS LÄN</t>
        </is>
      </c>
      <c r="G291" t="inlineStr">
        <is>
          <t>ESKILSTUNA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46321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46321</v>
      </c>
      <c r="F293" t="inlineStr">
        <is>
          <t>SÖDERMANLANDS LÄN</t>
        </is>
      </c>
      <c r="G293" t="inlineStr">
        <is>
          <t>ESKILSTUNA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46244</v>
      </c>
      <c r="E294" s="1" t="n">
        <v>46321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46321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46321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46321</v>
      </c>
      <c r="F297" t="inlineStr">
        <is>
          <t>SÖDERMANLANDS LÄN</t>
        </is>
      </c>
      <c r="G297" t="inlineStr">
        <is>
          <t>ESKILSTUNA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45568</v>
      </c>
      <c r="E298" s="1" t="n">
        <v>46321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45950</v>
      </c>
      <c r="E299" s="1" t="n">
        <v>46321</v>
      </c>
      <c r="F299" t="inlineStr">
        <is>
          <t>SÖDERMANLANDS LÄN</t>
        </is>
      </c>
      <c r="G299" t="inlineStr">
        <is>
          <t>ESKILSTUNA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46321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39700-2026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46289</v>
      </c>
      <c r="E301" s="1" t="n">
        <v>46321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46321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55741-2022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46321</v>
      </c>
      <c r="F303" t="inlineStr">
        <is>
          <t>SÖDERMANLANDS LÄN</t>
        </is>
      </c>
      <c r="G303" t="inlineStr">
        <is>
          <t>ESKILSTUNA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30096-2025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45826</v>
      </c>
      <c r="E304" s="1" t="n">
        <v>46321</v>
      </c>
      <c r="F304" t="inlineStr">
        <is>
          <t>SÖDERMANLANDS LÄN</t>
        </is>
      </c>
      <c r="G304" t="inlineStr">
        <is>
          <t>ESKILSTUNA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46321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46321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46321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46321</v>
      </c>
      <c r="F308" t="inlineStr">
        <is>
          <t>SÖDERMANLANDS LÄN</t>
        </is>
      </c>
      <c r="G308" t="inlineStr">
        <is>
          <t>ESKILSTUNA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46321</v>
      </c>
      <c r="F309" t="inlineStr">
        <is>
          <t>SÖDERMANLANDS LÄN</t>
        </is>
      </c>
      <c r="G309" t="inlineStr">
        <is>
          <t>ESKILSTUNA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46321</v>
      </c>
      <c r="F310" t="inlineStr">
        <is>
          <t>SÖDERMANLANDS LÄN</t>
        </is>
      </c>
      <c r="G310" t="inlineStr">
        <is>
          <t>ESKILSTUNA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46321</v>
      </c>
      <c r="F311" t="inlineStr">
        <is>
          <t>SÖDERMANLANDS LÄN</t>
        </is>
      </c>
      <c r="G311" t="inlineStr">
        <is>
          <t>ESKILSTUNA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46321</v>
      </c>
      <c r="F312" t="inlineStr">
        <is>
          <t>SÖDERMANLANDS LÄN</t>
        </is>
      </c>
      <c r="G312" t="inlineStr">
        <is>
          <t>ESKILSTUNA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46254</v>
      </c>
      <c r="E313" s="1" t="n">
        <v>46321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46321</v>
      </c>
      <c r="F314" t="inlineStr">
        <is>
          <t>SÖDERMANLANDS LÄN</t>
        </is>
      </c>
      <c r="G314" t="inlineStr">
        <is>
          <t>ESKILSTUNA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46321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65349-2021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44515</v>
      </c>
      <c r="E316" s="1" t="n">
        <v>46321</v>
      </c>
      <c r="F316" t="inlineStr">
        <is>
          <t>SÖDERMANLANDS LÄN</t>
        </is>
      </c>
      <c r="G316" t="inlineStr">
        <is>
          <t>ESKILSTUNA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46321</v>
      </c>
      <c r="F317" t="inlineStr">
        <is>
          <t>SÖDERMANLANDS LÄN</t>
        </is>
      </c>
      <c r="G317" t="inlineStr">
        <is>
          <t>ESKILSTUNA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46321</v>
      </c>
      <c r="F318" t="inlineStr">
        <is>
          <t>SÖDERMANLANDS LÄN</t>
        </is>
      </c>
      <c r="G318" t="inlineStr">
        <is>
          <t>ESKILSTUNA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46321</v>
      </c>
      <c r="F319" t="inlineStr">
        <is>
          <t>SÖDERMANLANDS LÄN</t>
        </is>
      </c>
      <c r="G319" t="inlineStr">
        <is>
          <t>ESKILSTUNA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44886</v>
      </c>
      <c r="E320" s="1" t="n">
        <v>46321</v>
      </c>
      <c r="F320" t="inlineStr">
        <is>
          <t>SÖDERMANLANDS LÄN</t>
        </is>
      </c>
      <c r="G320" t="inlineStr">
        <is>
          <t>ESKILSTUNA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46321</v>
      </c>
      <c r="F321" t="inlineStr">
        <is>
          <t>SÖDERMANLANDS LÄN</t>
        </is>
      </c>
      <c r="G321" t="inlineStr">
        <is>
          <t>ESKILSTUNA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46321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44571</v>
      </c>
      <c r="E323" s="1" t="n">
        <v>46321</v>
      </c>
      <c r="F323" t="inlineStr">
        <is>
          <t>SÖDERMANLANDS LÄN</t>
        </is>
      </c>
      <c r="G323" t="inlineStr">
        <is>
          <t>ESKILSTUNA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46321</v>
      </c>
      <c r="F324" t="inlineStr">
        <is>
          <t>SÖDERMANLANDS LÄN</t>
        </is>
      </c>
      <c r="G324" t="inlineStr">
        <is>
          <t>ESKILSTUNA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44837</v>
      </c>
      <c r="E325" s="1" t="n">
        <v>46321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18105-2026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46125</v>
      </c>
      <c r="E326" s="1" t="n">
        <v>46321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46321</v>
      </c>
      <c r="F327" t="inlineStr">
        <is>
          <t>SÖDERMANLANDS LÄN</t>
        </is>
      </c>
      <c r="G327" t="inlineStr">
        <is>
          <t>ESKILSTUNA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44634</v>
      </c>
      <c r="E328" s="1" t="n">
        <v>46321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46321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46321</v>
      </c>
      <c r="F330" t="inlineStr">
        <is>
          <t>SÖDERMANLANDS LÄN</t>
        </is>
      </c>
      <c r="G330" t="inlineStr">
        <is>
          <t>ESKILSTUNA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46321</v>
      </c>
      <c r="F331" t="inlineStr">
        <is>
          <t>SÖDERMANLANDS LÄN</t>
        </is>
      </c>
      <c r="G331" t="inlineStr">
        <is>
          <t>ESKILSTUNA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46321</v>
      </c>
      <c r="F332" t="inlineStr">
        <is>
          <t>SÖDERMANLANDS LÄN</t>
        </is>
      </c>
      <c r="G332" t="inlineStr">
        <is>
          <t>ESKILSTUNA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46321</v>
      </c>
      <c r="F333" t="inlineStr">
        <is>
          <t>SÖDERMANLANDS LÄN</t>
        </is>
      </c>
      <c r="G333" t="inlineStr">
        <is>
          <t>ESKILSTUNA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46321</v>
      </c>
      <c r="F334" t="inlineStr">
        <is>
          <t>SÖDERMANLANDS LÄN</t>
        </is>
      </c>
      <c r="G334" t="inlineStr">
        <is>
          <t>ESKILSTUNA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46321</v>
      </c>
      <c r="F335" t="inlineStr">
        <is>
          <t>SÖDERMANLANDS LÄN</t>
        </is>
      </c>
      <c r="G335" t="inlineStr">
        <is>
          <t>ESKILSTUNA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46321</v>
      </c>
      <c r="F336" t="inlineStr">
        <is>
          <t>SÖDERMANLANDS LÄN</t>
        </is>
      </c>
      <c r="G336" t="inlineStr">
        <is>
          <t>ESKILSTUNA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46321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46310</v>
      </c>
      <c r="E338" s="1" t="n">
        <v>46321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45833</v>
      </c>
      <c r="E339" s="1" t="n">
        <v>46321</v>
      </c>
      <c r="F339" t="inlineStr">
        <is>
          <t>SÖDERMANLANDS LÄN</t>
        </is>
      </c>
      <c r="G339" t="inlineStr">
        <is>
          <t>ESKILSTUNA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46321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46321</v>
      </c>
      <c r="F341" t="inlineStr">
        <is>
          <t>SÖDERMANLANDS LÄN</t>
        </is>
      </c>
      <c r="G341" t="inlineStr">
        <is>
          <t>ESKILSTUNA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46321</v>
      </c>
      <c r="F342" t="inlineStr">
        <is>
          <t>SÖDERMANLANDS LÄN</t>
        </is>
      </c>
      <c r="G342" t="inlineStr">
        <is>
          <t>ESKILSTUNA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44804</v>
      </c>
      <c r="E343" s="1" t="n">
        <v>46321</v>
      </c>
      <c r="F343" t="inlineStr">
        <is>
          <t>SÖDERMANLANDS LÄN</t>
        </is>
      </c>
      <c r="G343" t="inlineStr">
        <is>
          <t>ESKILSTUNA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46321</v>
      </c>
      <c r="F344" t="inlineStr">
        <is>
          <t>SÖDERMANLANDS LÄN</t>
        </is>
      </c>
      <c r="G344" t="inlineStr">
        <is>
          <t>ESKILSTUNA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46321</v>
      </c>
      <c r="F345" t="inlineStr">
        <is>
          <t>SÖDERMANLANDS LÄN</t>
        </is>
      </c>
      <c r="G345" t="inlineStr">
        <is>
          <t>ESKILSTUNA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46311</v>
      </c>
      <c r="E346" s="1" t="n">
        <v>46321</v>
      </c>
      <c r="F346" t="inlineStr">
        <is>
          <t>SÖDERMANLANDS LÄN</t>
        </is>
      </c>
      <c r="G346" t="inlineStr">
        <is>
          <t>ESKILSTUNA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46321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46321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44889</v>
      </c>
      <c r="E349" s="1" t="n">
        <v>46321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46321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46321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12547-2022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44638</v>
      </c>
      <c r="E352" s="1" t="n">
        <v>46321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46321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44701</v>
      </c>
      <c r="E354" s="1" t="n">
        <v>46321</v>
      </c>
      <c r="F354" t="inlineStr">
        <is>
          <t>SÖDERMANLANDS LÄN</t>
        </is>
      </c>
      <c r="G354" t="inlineStr">
        <is>
          <t>ESKILSTUNA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45036</v>
      </c>
      <c r="E355" s="1" t="n">
        <v>46321</v>
      </c>
      <c r="F355" t="inlineStr">
        <is>
          <t>SÖDERMANLANDS LÄN</t>
        </is>
      </c>
      <c r="G355" t="inlineStr">
        <is>
          <t>ESKILSTUNA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46321</v>
      </c>
      <c r="F356" t="inlineStr">
        <is>
          <t>SÖDERMANLANDS LÄN</t>
        </is>
      </c>
      <c r="G356" t="inlineStr">
        <is>
          <t>ESKILSTUNA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45363</v>
      </c>
      <c r="E357" s="1" t="n">
        <v>46321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46321</v>
      </c>
      <c r="F358" t="inlineStr">
        <is>
          <t>SÖDERMANLANDS LÄN</t>
        </is>
      </c>
      <c r="G358" t="inlineStr">
        <is>
          <t>ESKILSTUNA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61829-2023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46321</v>
      </c>
      <c r="F359" t="inlineStr">
        <is>
          <t>SÖDERMANLANDS LÄN</t>
        </is>
      </c>
      <c r="G359" t="inlineStr">
        <is>
          <t>ESKILSTUNA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46150</v>
      </c>
      <c r="E360" s="1" t="n">
        <v>46321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26535-2022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46321</v>
      </c>
      <c r="F361" t="inlineStr">
        <is>
          <t>SÖDERMANLANDS LÄN</t>
        </is>
      </c>
      <c r="G361" t="inlineStr">
        <is>
          <t>ESKILSTUNA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46321</v>
      </c>
      <c r="F362" t="inlineStr">
        <is>
          <t>SÖDERMANLANDS LÄN</t>
        </is>
      </c>
      <c r="G362" t="inlineStr">
        <is>
          <t>ESKILSTUNA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44956</v>
      </c>
      <c r="E363" s="1" t="n">
        <v>46321</v>
      </c>
      <c r="F363" t="inlineStr">
        <is>
          <t>SÖDERMANLANDS LÄN</t>
        </is>
      </c>
      <c r="G363" t="inlineStr">
        <is>
          <t>ESKILSTUNA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46321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46321</v>
      </c>
      <c r="F365" t="inlineStr">
        <is>
          <t>SÖDERMANLANDS LÄN</t>
        </is>
      </c>
      <c r="G365" t="inlineStr">
        <is>
          <t>ESKILSTUNA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46321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46321</v>
      </c>
      <c r="F367" t="inlineStr">
        <is>
          <t>SÖDERMANLANDS LÄN</t>
        </is>
      </c>
      <c r="G367" t="inlineStr">
        <is>
          <t>ESKILSTUNA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46157</v>
      </c>
      <c r="E368" s="1" t="n">
        <v>46321</v>
      </c>
      <c r="F368" t="inlineStr">
        <is>
          <t>SÖDERMANLANDS LÄN</t>
        </is>
      </c>
      <c r="G368" t="inlineStr">
        <is>
          <t>ESKILSTUNA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44746</v>
      </c>
      <c r="E369" s="1" t="n">
        <v>46321</v>
      </c>
      <c r="F369" t="inlineStr">
        <is>
          <t>SÖDERMANLANDS LÄN</t>
        </is>
      </c>
      <c r="G369" t="inlineStr">
        <is>
          <t>ESKILSTUNA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45365</v>
      </c>
      <c r="E370" s="1" t="n">
        <v>46321</v>
      </c>
      <c r="F370" t="inlineStr">
        <is>
          <t>SÖDERMANLANDS LÄN</t>
        </is>
      </c>
      <c r="G370" t="inlineStr">
        <is>
          <t>ESKILSTUNA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46321</v>
      </c>
      <c r="F371" t="inlineStr">
        <is>
          <t>SÖDERMANLANDS LÄN</t>
        </is>
      </c>
      <c r="G371" t="inlineStr">
        <is>
          <t>ESKILSTUNA</t>
        </is>
      </c>
      <c r="I371" t="n">
        <v>16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46321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46321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44983</v>
      </c>
      <c r="E374" s="1" t="n">
        <v>46321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61866-2022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46321</v>
      </c>
      <c r="F375" t="inlineStr">
        <is>
          <t>SÖDERMANLANDS LÄN</t>
        </is>
      </c>
      <c r="G375" t="inlineStr">
        <is>
          <t>ESKILSTUNA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46321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46321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44741</v>
      </c>
      <c r="E378" s="1" t="n">
        <v>46321</v>
      </c>
      <c r="F378" t="inlineStr">
        <is>
          <t>SÖDERMANLANDS LÄN</t>
        </is>
      </c>
      <c r="G378" t="inlineStr">
        <is>
          <t>ESKILSTUNA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44499</v>
      </c>
      <c r="E379" s="1" t="n">
        <v>46321</v>
      </c>
      <c r="F379" t="inlineStr">
        <is>
          <t>SÖDERMANLANDS LÄN</t>
        </is>
      </c>
      <c r="G379" t="inlineStr">
        <is>
          <t>ESKILSTUNA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46321</v>
      </c>
      <c r="F380" t="inlineStr">
        <is>
          <t>SÖDERMANLANDS LÄN</t>
        </is>
      </c>
      <c r="G380" t="inlineStr">
        <is>
          <t>ESKILSTUNA</t>
        </is>
      </c>
      <c r="I380" t="n">
        <v>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46321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46321</v>
      </c>
      <c r="F382" t="inlineStr">
        <is>
          <t>SÖDERMANLANDS LÄN</t>
        </is>
      </c>
      <c r="G382" t="inlineStr">
        <is>
          <t>ESKILSTUNA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38895-2023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45163</v>
      </c>
      <c r="E383" s="1" t="n">
        <v>46321</v>
      </c>
      <c r="F383" t="inlineStr">
        <is>
          <t>SÖDERMANLANDS LÄN</t>
        </is>
      </c>
      <c r="G383" t="inlineStr">
        <is>
          <t>ESKILSTUNA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45713</v>
      </c>
      <c r="E384" s="1" t="n">
        <v>46321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Allmännings- och besparingsskogar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44832</v>
      </c>
      <c r="E385" s="1" t="n">
        <v>46321</v>
      </c>
      <c r="F385" t="inlineStr">
        <is>
          <t>SÖDERMANLANDS LÄN</t>
        </is>
      </c>
      <c r="G385" t="inlineStr">
        <is>
          <t>ESKILSTUNA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46321</v>
      </c>
      <c r="F386" t="inlineStr">
        <is>
          <t>SÖDERMANLANDS LÄN</t>
        </is>
      </c>
      <c r="G386" t="inlineStr">
        <is>
          <t>ESKILSTUNA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68022-2021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44525</v>
      </c>
      <c r="E387" s="1" t="n">
        <v>46321</v>
      </c>
      <c r="F387" t="inlineStr">
        <is>
          <t>SÖDERMANLANDS LÄN</t>
        </is>
      </c>
      <c r="G387" t="inlineStr">
        <is>
          <t>ESKILSTUNA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46321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46321</v>
      </c>
      <c r="F389" t="inlineStr">
        <is>
          <t>SÖDERMANLANDS LÄN</t>
        </is>
      </c>
      <c r="G389" t="inlineStr">
        <is>
          <t>ESKILSTUNA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46321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46321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46321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46321</v>
      </c>
      <c r="F393" t="inlineStr">
        <is>
          <t>SÖDERMANLANDS LÄN</t>
        </is>
      </c>
      <c r="G393" t="inlineStr">
        <is>
          <t>ESKILSTUNA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44965</v>
      </c>
      <c r="E394" s="1" t="n">
        <v>46321</v>
      </c>
      <c r="F394" t="inlineStr">
        <is>
          <t>SÖDERMANLANDS LÄN</t>
        </is>
      </c>
      <c r="G394" t="inlineStr">
        <is>
          <t>ESKILSTUNA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45587</v>
      </c>
      <c r="E395" s="1" t="n">
        <v>46321</v>
      </c>
      <c r="F395" t="inlineStr">
        <is>
          <t>SÖDERMANLANDS LÄN</t>
        </is>
      </c>
      <c r="G395" t="inlineStr">
        <is>
          <t>ESKILSTUNA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65614-2021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46321</v>
      </c>
      <c r="F396" t="inlineStr">
        <is>
          <t>SÖDERMANLANDS LÄN</t>
        </is>
      </c>
      <c r="G396" t="inlineStr">
        <is>
          <t>ESKILSTUNA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46321</v>
      </c>
      <c r="F397" t="inlineStr">
        <is>
          <t>SÖDERMANLANDS LÄN</t>
        </is>
      </c>
      <c r="G397" t="inlineStr">
        <is>
          <t>ESKILSTUNA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44888</v>
      </c>
      <c r="E398" s="1" t="n">
        <v>46321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44865</v>
      </c>
      <c r="E399" s="1" t="n">
        <v>46321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45756</v>
      </c>
      <c r="E400" s="1" t="n">
        <v>46321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Allmännings- och besparingsskogar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44664</v>
      </c>
      <c r="E401" s="1" t="n">
        <v>46321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25227-2022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44729</v>
      </c>
      <c r="E402" s="1" t="n">
        <v>46321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46321</v>
      </c>
      <c r="F403" t="inlineStr">
        <is>
          <t>SÖDERMANLANDS LÄN</t>
        </is>
      </c>
      <c r="G403" t="inlineStr">
        <is>
          <t>ESKILSTUNA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46321</v>
      </c>
      <c r="F404" t="inlineStr">
        <is>
          <t>SÖDERMANLANDS LÄN</t>
        </is>
      </c>
      <c r="G404" t="inlineStr">
        <is>
          <t>ESKILSTUNA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46321</v>
      </c>
      <c r="F405" t="inlineStr">
        <is>
          <t>SÖDERMANLANDS LÄN</t>
        </is>
      </c>
      <c r="G405" t="inlineStr">
        <is>
          <t>ESKILSTUNA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45056</v>
      </c>
      <c r="E406" s="1" t="n">
        <v>46321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45079</v>
      </c>
      <c r="E407" s="1" t="n">
        <v>46321</v>
      </c>
      <c r="F407" t="inlineStr">
        <is>
          <t>SÖDERMANLANDS LÄN</t>
        </is>
      </c>
      <c r="G407" t="inlineStr">
        <is>
          <t>ESKILSTUNA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46321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44889</v>
      </c>
      <c r="E409" s="1" t="n">
        <v>46321</v>
      </c>
      <c r="F409" t="inlineStr">
        <is>
          <t>SÖDERMANLANDS LÄN</t>
        </is>
      </c>
      <c r="G409" t="inlineStr">
        <is>
          <t>ESKILSTUNA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46321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46321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61170-2021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44497</v>
      </c>
      <c r="E412" s="1" t="n">
        <v>46321</v>
      </c>
      <c r="F412" t="inlineStr">
        <is>
          <t>SÖDERMANLANDS LÄN</t>
        </is>
      </c>
      <c r="G412" t="inlineStr">
        <is>
          <t>ESKILSTUNA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46321</v>
      </c>
      <c r="F413" t="inlineStr">
        <is>
          <t>SÖDERMANLANDS LÄN</t>
        </is>
      </c>
      <c r="G413" t="inlineStr">
        <is>
          <t>ESKILSTUNA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46321</v>
      </c>
      <c r="F414" t="inlineStr">
        <is>
          <t>SÖDERMANLANDS LÄN</t>
        </is>
      </c>
      <c r="G414" t="inlineStr">
        <is>
          <t>ESKILSTUNA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46321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46321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46321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45007</v>
      </c>
      <c r="E418" s="1" t="n">
        <v>46321</v>
      </c>
      <c r="F418" t="inlineStr">
        <is>
          <t>SÖDERMANLANDS LÄN</t>
        </is>
      </c>
      <c r="G418" t="inlineStr">
        <is>
          <t>ESKILSTUNA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46321</v>
      </c>
      <c r="F419" t="inlineStr">
        <is>
          <t>SÖDERMANLANDS LÄN</t>
        </is>
      </c>
      <c r="G419" t="inlineStr">
        <is>
          <t>ESKILSTUNA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70265-2021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46321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46608-2024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45582</v>
      </c>
      <c r="E421" s="1" t="n">
        <v>46321</v>
      </c>
      <c r="F421" t="inlineStr">
        <is>
          <t>SÖDERMANLANDS LÄN</t>
        </is>
      </c>
      <c r="G421" t="inlineStr">
        <is>
          <t>ESKILSTUNA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68020-2021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46321</v>
      </c>
      <c r="F422" t="inlineStr">
        <is>
          <t>SÖDERMANLANDS LÄN</t>
        </is>
      </c>
      <c r="G422" t="inlineStr">
        <is>
          <t>ESKILSTUNA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46321</v>
      </c>
      <c r="F423" t="inlineStr">
        <is>
          <t>SÖDERMANLANDS LÄN</t>
        </is>
      </c>
      <c r="G423" t="inlineStr">
        <is>
          <t>ESKILSTUNA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46321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Kyrkan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46321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10715-2022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44626</v>
      </c>
      <c r="E426" s="1" t="n">
        <v>46321</v>
      </c>
      <c r="F426" t="inlineStr">
        <is>
          <t>SÖDERMANLANDS LÄN</t>
        </is>
      </c>
      <c r="G426" t="inlineStr">
        <is>
          <t>ESKILSTUNA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46321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45435</v>
      </c>
      <c r="E428" s="1" t="n">
        <v>46321</v>
      </c>
      <c r="F428" t="inlineStr">
        <is>
          <t>SÖDERMANLANDS LÄN</t>
        </is>
      </c>
      <c r="G428" t="inlineStr">
        <is>
          <t>ESKILSTUNA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22605-2023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45071</v>
      </c>
      <c r="E429" s="1" t="n">
        <v>46321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46321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44606</v>
      </c>
      <c r="E431" s="1" t="n">
        <v>46321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Kyrkan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46321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60533-2024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45643</v>
      </c>
      <c r="E433" s="1" t="n">
        <v>46321</v>
      </c>
      <c r="F433" t="inlineStr">
        <is>
          <t>SÖDERMANLANDS LÄN</t>
        </is>
      </c>
      <c r="G433" t="inlineStr">
        <is>
          <t>ESKILSTUNA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45387</v>
      </c>
      <c r="E434" s="1" t="n">
        <v>46321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46321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46321</v>
      </c>
      <c r="F436" t="inlineStr">
        <is>
          <t>SÖDERMANLANDS LÄN</t>
        </is>
      </c>
      <c r="G436" t="inlineStr">
        <is>
          <t>ESKILSTUNA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46321</v>
      </c>
      <c r="F437" t="inlineStr">
        <is>
          <t>SÖDERMANLANDS LÄN</t>
        </is>
      </c>
      <c r="G437" t="inlineStr">
        <is>
          <t>ESKILSTUNA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44886</v>
      </c>
      <c r="E438" s="1" t="n">
        <v>46321</v>
      </c>
      <c r="F438" t="inlineStr">
        <is>
          <t>SÖDERMANLANDS LÄN</t>
        </is>
      </c>
      <c r="G438" t="inlineStr">
        <is>
          <t>ESKILSTUNA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45183</v>
      </c>
      <c r="E439" s="1" t="n">
        <v>46321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45237</v>
      </c>
      <c r="E440" s="1" t="n">
        <v>46321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4200-2025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45685</v>
      </c>
      <c r="E441" s="1" t="n">
        <v>46321</v>
      </c>
      <c r="F441" t="inlineStr">
        <is>
          <t>SÖDERMANLANDS LÄN</t>
        </is>
      </c>
      <c r="G441" t="inlineStr">
        <is>
          <t>ESKILSTUNA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46321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46321</v>
      </c>
      <c r="F443" t="inlineStr">
        <is>
          <t>SÖDERMANLANDS LÄN</t>
        </is>
      </c>
      <c r="G443" t="inlineStr">
        <is>
          <t>ESKILSTUNA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46321</v>
      </c>
      <c r="F444" t="inlineStr">
        <is>
          <t>SÖDERMANLANDS LÄN</t>
        </is>
      </c>
      <c r="G444" t="inlineStr">
        <is>
          <t>ESKILSTUNA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44729</v>
      </c>
      <c r="E445" s="1" t="n">
        <v>46321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61831-2023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45266</v>
      </c>
      <c r="E446" s="1" t="n">
        <v>46321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46321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45303</v>
      </c>
      <c r="E448" s="1" t="n">
        <v>46321</v>
      </c>
      <c r="F448" t="inlineStr">
        <is>
          <t>SÖDERMANLANDS LÄN</t>
        </is>
      </c>
      <c r="G448" t="inlineStr">
        <is>
          <t>ESKILSTUNA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1334-2024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46321</v>
      </c>
      <c r="F449" t="inlineStr">
        <is>
          <t>SÖDERMANLANDS LÄN</t>
        </is>
      </c>
      <c r="G449" t="inlineStr">
        <is>
          <t>ESKILSTUNA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45159</v>
      </c>
      <c r="E450" s="1" t="n">
        <v>46321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Kommuner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29750-2022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44755</v>
      </c>
      <c r="E451" s="1" t="n">
        <v>46321</v>
      </c>
      <c r="F451" t="inlineStr">
        <is>
          <t>SÖDERMANLANDS LÄN</t>
        </is>
      </c>
      <c r="G451" t="inlineStr">
        <is>
          <t>ESKILSTUNA</t>
        </is>
      </c>
      <c r="I451" t="n">
        <v>20.1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46321</v>
      </c>
      <c r="F452" t="inlineStr">
        <is>
          <t>SÖDERMANLANDS LÄN</t>
        </is>
      </c>
      <c r="G452" t="inlineStr">
        <is>
          <t>ESKILSTUNA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30968-2022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44768</v>
      </c>
      <c r="E453" s="1" t="n">
        <v>46321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52663-2023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46321</v>
      </c>
      <c r="F454" t="inlineStr">
        <is>
          <t>SÖDERMANLANDS LÄN</t>
        </is>
      </c>
      <c r="G454" t="inlineStr">
        <is>
          <t>ESKILSTUNA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46321</v>
      </c>
      <c r="F455" t="inlineStr">
        <is>
          <t>SÖDERMANLANDS LÄN</t>
        </is>
      </c>
      <c r="G455" t="inlineStr">
        <is>
          <t>ESKILSTUNA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36636-2022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44804</v>
      </c>
      <c r="E456" s="1" t="n">
        <v>46321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46321</v>
      </c>
      <c r="F457" t="inlineStr">
        <is>
          <t>SÖDERMANLANDS LÄN</t>
        </is>
      </c>
      <c r="G457" t="inlineStr">
        <is>
          <t>ESKILSTUNA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46321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61830-2023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45266</v>
      </c>
      <c r="E459" s="1" t="n">
        <v>46321</v>
      </c>
      <c r="F459" t="inlineStr">
        <is>
          <t>SÖDERMANLANDS LÄN</t>
        </is>
      </c>
      <c r="G459" t="inlineStr">
        <is>
          <t>ESKILSTUNA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46321</v>
      </c>
      <c r="F460" t="inlineStr">
        <is>
          <t>SÖDERMANLANDS LÄN</t>
        </is>
      </c>
      <c r="G460" t="inlineStr">
        <is>
          <t>ESKILSTUNA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46321</v>
      </c>
      <c r="F461" t="inlineStr">
        <is>
          <t>SÖDERMANLANDS LÄN</t>
        </is>
      </c>
      <c r="G461" t="inlineStr">
        <is>
          <t>ESKILSTUNA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44582</v>
      </c>
      <c r="E462" s="1" t="n">
        <v>46321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36142-2022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44803</v>
      </c>
      <c r="E463" s="1" t="n">
        <v>46321</v>
      </c>
      <c r="F463" t="inlineStr">
        <is>
          <t>SÖDERMANLANDS LÄN</t>
        </is>
      </c>
      <c r="G463" t="inlineStr">
        <is>
          <t>ESKILSTUNA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46321</v>
      </c>
      <c r="F464" t="inlineStr">
        <is>
          <t>SÖDERMANLANDS LÄN</t>
        </is>
      </c>
      <c r="G464" t="inlineStr">
        <is>
          <t>ESKILSTUNA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70613-2021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44537</v>
      </c>
      <c r="E465" s="1" t="n">
        <v>46321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44839</v>
      </c>
      <c r="E466" s="1" t="n">
        <v>46321</v>
      </c>
      <c r="F466" t="inlineStr">
        <is>
          <t>SÖDERMANLANDS LÄN</t>
        </is>
      </c>
      <c r="G466" t="inlineStr">
        <is>
          <t>ESKILSTUNA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46321</v>
      </c>
      <c r="F467" t="inlineStr">
        <is>
          <t>SÖDERMANLANDS LÄN</t>
        </is>
      </c>
      <c r="G467" t="inlineStr">
        <is>
          <t>ESKILSTUNA</t>
        </is>
      </c>
      <c r="I467" t="n">
        <v>15.6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44874</v>
      </c>
      <c r="E468" s="1" t="n">
        <v>46321</v>
      </c>
      <c r="F468" t="inlineStr">
        <is>
          <t>SÖDERMANLANDS LÄN</t>
        </is>
      </c>
      <c r="G468" t="inlineStr">
        <is>
          <t>ESKILSTUNA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46321</v>
      </c>
      <c r="F469" t="inlineStr">
        <is>
          <t>SÖDERMANLANDS LÄN</t>
        </is>
      </c>
      <c r="G469" t="inlineStr">
        <is>
          <t>ESKILSTUNA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1333-2020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43993</v>
      </c>
      <c r="E470" s="1" t="n">
        <v>46321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383-2023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44959</v>
      </c>
      <c r="E471" s="1" t="n">
        <v>46321</v>
      </c>
      <c r="F471" t="inlineStr">
        <is>
          <t>SÖDERMANLANDS LÄN</t>
        </is>
      </c>
      <c r="G471" t="inlineStr">
        <is>
          <t>ESKILSTUNA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3665-2023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45217</v>
      </c>
      <c r="E472" s="1" t="n">
        <v>46321</v>
      </c>
      <c r="F472" t="inlineStr">
        <is>
          <t>SÖDERMANLANDS LÄN</t>
        </is>
      </c>
      <c r="G472" t="inlineStr">
        <is>
          <t>ESKILSTUNA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4583-2023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45282</v>
      </c>
      <c r="E473" s="1" t="n">
        <v>46321</v>
      </c>
      <c r="F473" t="inlineStr">
        <is>
          <t>SÖDERMANLANDS LÄN</t>
        </is>
      </c>
      <c r="G473" t="inlineStr">
        <is>
          <t>ESKILSTUNA</t>
        </is>
      </c>
      <c r="I473" t="n">
        <v>31.4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46321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1602-2025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45798</v>
      </c>
      <c r="E475" s="1" t="n">
        <v>46321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45686</v>
      </c>
      <c r="E476" s="1" t="n">
        <v>46321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2917-2024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45504</v>
      </c>
      <c r="E477" s="1" t="n">
        <v>46321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1920-2025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45826</v>
      </c>
      <c r="E478" s="1" t="n">
        <v>46321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1030-2026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46125</v>
      </c>
      <c r="E479" s="1" t="n">
        <v>46321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1870-2026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46321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1871-2026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46199</v>
      </c>
      <c r="E481" s="1" t="n">
        <v>46321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2026-10-26T03:08:01Z</dcterms:created>
  <dcterms:modified xmlns:dcterms="http://purl.org/dc/terms/" xmlns:xsi="http://www.w3.org/2001/XMLSchema-instance" xsi:type="dcterms:W3CDTF">2026-10-26T03:08:01Z</dcterms:modified>
</cp:coreProperties>
</file>