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46322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46322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46322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46322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46322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46322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46322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46322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46322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46322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46322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46322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45535-2023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45194</v>
      </c>
      <c r="E21" s="1" t="n">
        <v>46322</v>
      </c>
      <c r="F21" t="inlineStr">
        <is>
          <t>SÖDERMANLANDS LÄN</t>
        </is>
      </c>
      <c r="G21" t="inlineStr">
        <is>
          <t>ESKILSTUNA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14</v>
      </c>
      <c r="U21" t="n">
        <v>14</v>
      </c>
      <c r="V21" s="2" t="inlineStr">
        <is>
          <t>Knärot
Tallticka
Talltita
Gröngöling</t>
        </is>
      </c>
      <c r="W21">
        <f>HYPERLINK("https://klasma.github.io/Logging_0484/artfynd/A 45535-2023 artfynd.xlsx", "A 45535-2023")</f>
        <v/>
      </c>
      <c r="X21">
        <f>HYPERLINK("https://klasma.github.io/Logging_0484/kartor/A 45535-2023 karta.png", "A 45535-2023")</f>
        <v/>
      </c>
      <c r="Y21">
        <f>HYPERLINK("https://klasma.github.io/Logging_0484/kartor_geotiff/A 45535-2023 georefererad karta.tif", "A 45535-2023")</f>
        <v/>
      </c>
      <c r="Z21">
        <f>HYPERLINK("https://klasma.github.io/Logging_0484/knärot/A 45535-2023 karta knärot.png", "A 45535-2023")</f>
        <v/>
      </c>
      <c r="AA21">
        <f>HYPERLINK("https://klasma.github.io/Logging_0484/klagomål/A 45535-2023 FSC-klagomål.docx", "A 45535-2023")</f>
        <v/>
      </c>
      <c r="AB21">
        <f>HYPERLINK("https://klasma.github.io/Logging_0484/klagomålsmail/A 45535-2023 FSC-klagomål mail.docx", "A 45535-2023")</f>
        <v/>
      </c>
      <c r="AC21">
        <f>HYPERLINK("https://klasma.github.io/Logging_0484/tillsyn/A 45535-2023 tillsynsbegäran.docx", "A 45535-2023")</f>
        <v/>
      </c>
      <c r="AD21">
        <f>HYPERLINK("https://klasma.github.io/Logging_0484/tillsynsmail/A 45535-2023 tillsynsbegäran mail.docx", "A 45535-2023")</f>
        <v/>
      </c>
      <c r="AE21">
        <f>HYPERLINK("https://klasma.github.io/Logging_0484/fåglar/A 45535-2023 prioriterade fågelarter.docx", "A 45535-2023")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46322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46322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46322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9495-2025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45715</v>
      </c>
      <c r="E28" s="1" t="n">
        <v>46322</v>
      </c>
      <c r="F28" t="inlineStr">
        <is>
          <t>SÖDERMANLANDS LÄN</t>
        </is>
      </c>
      <c r="G28" t="inlineStr">
        <is>
          <t>ESKILSTUNA</t>
        </is>
      </c>
      <c r="I28" t="n">
        <v>9.6</v>
      </c>
      <c r="J28" t="n">
        <v>0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19</v>
      </c>
      <c r="U28" t="n">
        <v>0</v>
      </c>
      <c r="V28" s="2" t="inlineStr">
        <is>
          <t>Ask
Svinrot
Ängsskära</t>
        </is>
      </c>
      <c r="W28">
        <f>HYPERLINK("https://klasma.github.io/Logging_0484/artfynd/A 9495-2025 artfynd.xlsx", "A 9495-2025")</f>
        <v/>
      </c>
      <c r="X28">
        <f>HYPERLINK("https://klasma.github.io/Logging_0484/kartor/A 9495-2025 karta.png", "A 9495-2025")</f>
        <v/>
      </c>
      <c r="Y28">
        <f>HYPERLINK("https://klasma.github.io/Logging_0484/kartor_geotiff/A 9495-2025 georefererad karta.tif", "A 9495-2025")</f>
        <v/>
      </c>
      <c r="AA28">
        <f>HYPERLINK("https://klasma.github.io/Logging_0484/klagomål/A 9495-2025 FSC-klagomål.docx", "A 9495-2025")</f>
        <v/>
      </c>
      <c r="AB28">
        <f>HYPERLINK("https://klasma.github.io/Logging_0484/klagomålsmail/A 9495-2025 FSC-klagomål mail.docx", "A 9495-2025")</f>
        <v/>
      </c>
      <c r="AC28">
        <f>HYPERLINK("https://klasma.github.io/Logging_0484/tillsyn/A 9495-2025 tillsynsbegäran.docx", "A 9495-2025")</f>
        <v/>
      </c>
      <c r="AD28">
        <f>HYPERLINK("https://klasma.github.io/Logging_0484/tillsynsmail/A 9495-2025 tillsynsbegäran mail.docx", "A 9495-2025")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46322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46322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46322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Kyrkan</t>
        </is>
      </c>
      <c r="I31" t="n">
        <v>2.6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Spillkråka
Trädlärka
Revlummer</t>
        </is>
      </c>
      <c r="W31">
        <f>HYPERLINK("https://klasma.github.io/Logging_0484/artfynd/A 571-2023 artfynd.xlsx", "A 571-2023")</f>
        <v/>
      </c>
      <c r="X31">
        <f>HYPERLINK("https://klasma.github.io/Logging_0484/kartor/A 571-2023 karta.png", "A 571-2023")</f>
        <v/>
      </c>
      <c r="Y31">
        <f>HYPERLINK("https://klasma.github.io/Logging_0484/kartor_geotiff/A 571-2023 georefererad karta.tif", "A 571-2023")</f>
        <v/>
      </c>
      <c r="AA31">
        <f>HYPERLINK("https://klasma.github.io/Logging_0484/klagomål/A 571-2023 FSC-klagomål.docx", "A 571-2023")</f>
        <v/>
      </c>
      <c r="AB31">
        <f>HYPERLINK("https://klasma.github.io/Logging_0484/klagomålsmail/A 571-2023 FSC-klagomål mail.docx", "A 571-2023")</f>
        <v/>
      </c>
      <c r="AC31">
        <f>HYPERLINK("https://klasma.github.io/Logging_0484/tillsyn/A 571-2023 tillsynsbegäran.docx", "A 571-2023")</f>
        <v/>
      </c>
      <c r="AD31">
        <f>HYPERLINK("https://klasma.github.io/Logging_0484/tillsynsmail/A 571-2023 tillsynsbegäran mail.docx", "A 571-2023")</f>
        <v/>
      </c>
      <c r="AE31">
        <f>HYPERLINK("https://klasma.github.io/Logging_0484/fåglar/A 571-2023 prioriterade fågelarter.docx", "A 571-2023")</f>
        <v/>
      </c>
    </row>
    <row r="32" ht="15" customHeight="1">
      <c r="A32" t="inlineStr">
        <is>
          <t>A 40844-2026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46322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2.1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Gullpudra
Tibast
Blåsippa</t>
        </is>
      </c>
      <c r="W32">
        <f>HYPERLINK("https://klasma.github.io/Logging_0484/artfynd/A 40844-2026 artfynd.xlsx", "A 40844-2026")</f>
        <v/>
      </c>
      <c r="X32">
        <f>HYPERLINK("https://klasma.github.io/Logging_0484/kartor/A 40844-2026 karta.png", "A 40844-2026")</f>
        <v/>
      </c>
      <c r="Y32">
        <f>HYPERLINK("https://klasma.github.io/Logging_0484/kartor_geotiff/A 40844-2026 georefererad karta.tif", "A 40844-2026")</f>
        <v/>
      </c>
      <c r="AA32">
        <f>HYPERLINK("https://klasma.github.io/Logging_0484/klagomål/A 40844-2026 FSC-klagomål.docx", "A 40844-2026")</f>
        <v/>
      </c>
      <c r="AB32">
        <f>HYPERLINK("https://klasma.github.io/Logging_0484/klagomålsmail/A 40844-2026 FSC-klagomål mail.docx", "A 40844-2026")</f>
        <v/>
      </c>
      <c r="AC32">
        <f>HYPERLINK("https://klasma.github.io/Logging_0484/tillsyn/A 40844-2026 tillsynsbegäran.docx", "A 40844-2026")</f>
        <v/>
      </c>
      <c r="AD32">
        <f>HYPERLINK("https://klasma.github.io/Logging_0484/tillsynsmail/A 40844-2026 tillsynsbegäran mail.docx", "A 40844-2026")</f>
        <v/>
      </c>
    </row>
    <row r="33" ht="15" customHeight="1">
      <c r="A33" t="inlineStr">
        <is>
          <t>S 1604-2025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46322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1604-2025 artfynd.xlsx", "S 1604-2025")</f>
        <v/>
      </c>
      <c r="X33">
        <f>HYPERLINK("https://klasma.github.io/Logging_0484/kartor/S 1604-2025 karta.png", "S 1604-2025")</f>
        <v/>
      </c>
      <c r="Y33">
        <f>HYPERLINK("https://klasma.github.io/Logging_0484/kartor_geotiff/S 1604-2025 georefererad karta.tif", "S 1604-2025")</f>
        <v/>
      </c>
      <c r="AA33">
        <f>HYPERLINK("https://klasma.github.io/Logging_0484/klagomål/S 1604-2025 FSC-klagomål.docx", "S 1604-2025")</f>
        <v/>
      </c>
      <c r="AB33">
        <f>HYPERLINK("https://klasma.github.io/Logging_0484/klagomålsmail/S 1604-2025 FSC-klagomål mail.docx", "S 1604-2025")</f>
        <v/>
      </c>
      <c r="AC33">
        <f>HYPERLINK("https://klasma.github.io/Logging_0484/tillsyn/S 1604-2025 tillsynsbegäran.docx", "S 1604-2025")</f>
        <v/>
      </c>
      <c r="AD33">
        <f>HYPERLINK("https://klasma.github.io/Logging_0484/tillsynsmail/S 1604-2025 tillsynsbegäran mail.docx", "S 1604-2025")</f>
        <v/>
      </c>
    </row>
    <row r="34" ht="15" customHeight="1">
      <c r="A34" t="inlineStr">
        <is>
          <t>S 1603-2025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4.8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7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1603-2025 artfynd.xlsx", "S 1603-2025")</f>
        <v/>
      </c>
      <c r="X34">
        <f>HYPERLINK("https://klasma.github.io/Logging_0484/kartor/S 1603-2025 karta.png", "S 1603-2025")</f>
        <v/>
      </c>
      <c r="Y34">
        <f>HYPERLINK("https://klasma.github.io/Logging_0484/kartor_geotiff/S 1603-2025 georefererad karta.tif", "S 1603-2025")</f>
        <v/>
      </c>
      <c r="AA34">
        <f>HYPERLINK("https://klasma.github.io/Logging_0484/klagomål/S 1603-2025 FSC-klagomål.docx", "S 1603-2025")</f>
        <v/>
      </c>
      <c r="AB34">
        <f>HYPERLINK("https://klasma.github.io/Logging_0484/klagomålsmail/S 1603-2025 FSC-klagomål mail.docx", "S 1603-2025")</f>
        <v/>
      </c>
      <c r="AC34">
        <f>HYPERLINK("https://klasma.github.io/Logging_0484/tillsyn/S 1603-2025 tillsynsbegäran.docx", "S 1603-2025")</f>
        <v/>
      </c>
      <c r="AD34">
        <f>HYPERLINK("https://klasma.github.io/Logging_0484/tillsynsmail/S 1603-2025 tillsynsbegäran mail.docx", "S 1603-2025")</f>
        <v/>
      </c>
    </row>
    <row r="35" ht="15" customHeight="1">
      <c r="A35" t="inlineStr">
        <is>
          <t>A 62141-2021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46322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13.7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Gullpudra
Mattlummer</t>
        </is>
      </c>
      <c r="W35">
        <f>HYPERLINK("https://klasma.github.io/Logging_0484/artfynd/A 62141-2021 artfynd.xlsx", "A 62141-2021")</f>
        <v/>
      </c>
      <c r="X35">
        <f>HYPERLINK("https://klasma.github.io/Logging_0484/kartor/A 62141-2021 karta.png", "A 62141-2021")</f>
        <v/>
      </c>
      <c r="Y35">
        <f>HYPERLINK("https://klasma.github.io/Logging_0484/kartor_geotiff/A 62141-2021 georefererad karta.tif", "A 62141-2021")</f>
        <v/>
      </c>
      <c r="AA35">
        <f>HYPERLINK("https://klasma.github.io/Logging_0484/klagomål/A 62141-2021 FSC-klagomål.docx", "A 62141-2021")</f>
        <v/>
      </c>
      <c r="AB35">
        <f>HYPERLINK("https://klasma.github.io/Logging_0484/klagomålsmail/A 62141-2021 FSC-klagomål mail.docx", "A 62141-2021")</f>
        <v/>
      </c>
      <c r="AC35">
        <f>HYPERLINK("https://klasma.github.io/Logging_0484/tillsyn/A 62141-2021 tillsynsbegäran.docx", "A 62141-2021")</f>
        <v/>
      </c>
      <c r="AD35">
        <f>HYPERLINK("https://klasma.github.io/Logging_0484/tillsynsmail/A 62141-2021 tillsynsbegäran mail.docx", "A 62141-2021")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46322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62009-2024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45655</v>
      </c>
      <c r="E37" s="1" t="n">
        <v>46322</v>
      </c>
      <c r="F37" t="inlineStr">
        <is>
          <t>SÖDERMANLANDS LÄN</t>
        </is>
      </c>
      <c r="G37" t="inlineStr">
        <is>
          <t>ESKILSTUNA</t>
        </is>
      </c>
      <c r="H37" t="inlineStr">
        <is>
          <t>Holmen skog AB</t>
        </is>
      </c>
      <c r="I37" t="n">
        <v>11.9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Mattlummer
Revlummer</t>
        </is>
      </c>
      <c r="W37">
        <f>HYPERLINK("https://klasma.github.io/Logging_0484/artfynd/A 62009-2024 artfynd.xlsx", "A 62009-2024")</f>
        <v/>
      </c>
      <c r="X37">
        <f>HYPERLINK("https://klasma.github.io/Logging_0484/kartor/A 62009-2024 karta.png", "A 62009-2024")</f>
        <v/>
      </c>
      <c r="Y37">
        <f>HYPERLINK("https://klasma.github.io/Logging_0484/kartor_geotiff/A 62009-2024 georefererad karta.tif", "A 62009-2024")</f>
        <v/>
      </c>
      <c r="AA37">
        <f>HYPERLINK("https://klasma.github.io/Logging_0484/klagomål/A 62009-2024 FSC-klagomål.docx", "A 62009-2024")</f>
        <v/>
      </c>
      <c r="AB37">
        <f>HYPERLINK("https://klasma.github.io/Logging_0484/klagomålsmail/A 62009-2024 FSC-klagomål mail.docx", "A 62009-2024")</f>
        <v/>
      </c>
      <c r="AC37">
        <f>HYPERLINK("https://klasma.github.io/Logging_0484/tillsyn/A 62009-2024 tillsynsbegäran.docx", "A 62009-2024")</f>
        <v/>
      </c>
      <c r="AD37">
        <f>HYPERLINK("https://klasma.github.io/Logging_0484/tillsynsmail/A 62009-2024 tillsynsbegäran mail.docx", "A 62009-2024")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46322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46322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32314-2023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45120</v>
      </c>
      <c r="E40" s="1" t="n">
        <v>46322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4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Grovticka
Svavelriska</t>
        </is>
      </c>
      <c r="W40">
        <f>HYPERLINK("https://klasma.github.io/Logging_0484/artfynd/A 32314-2023 artfynd.xlsx", "A 32314-2023")</f>
        <v/>
      </c>
      <c r="X40">
        <f>HYPERLINK("https://klasma.github.io/Logging_0484/kartor/A 32314-2023 karta.png", "A 32314-2023")</f>
        <v/>
      </c>
      <c r="Y40">
        <f>HYPERLINK("https://klasma.github.io/Logging_0484/kartor_geotiff/A 32314-2023 georefererad karta.tif", "A 32314-2023")</f>
        <v/>
      </c>
      <c r="AA40">
        <f>HYPERLINK("https://klasma.github.io/Logging_0484/klagomål/A 32314-2023 FSC-klagomål.docx", "A 32314-2023")</f>
        <v/>
      </c>
      <c r="AB40">
        <f>HYPERLINK("https://klasma.github.io/Logging_0484/klagomålsmail/A 32314-2023 FSC-klagomål mail.docx", "A 32314-2023")</f>
        <v/>
      </c>
      <c r="AC40">
        <f>HYPERLINK("https://klasma.github.io/Logging_0484/tillsyn/A 32314-2023 tillsynsbegäran.docx", "A 32314-2023")</f>
        <v/>
      </c>
      <c r="AD40">
        <f>HYPERLINK("https://klasma.github.io/Logging_0484/tillsynsmail/A 32314-2023 tillsynsbegäran mail.docx", "A 32314-2023")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46322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51326-2024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46322</v>
      </c>
      <c r="F42" t="inlineStr">
        <is>
          <t>SÖDERMANLANDS LÄN</t>
        </is>
      </c>
      <c r="G42" t="inlineStr">
        <is>
          <t>ESKILSTUNA</t>
        </is>
      </c>
      <c r="I42" t="n">
        <v>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Myskbock
Blåsippa</t>
        </is>
      </c>
      <c r="W42">
        <f>HYPERLINK("https://klasma.github.io/Logging_0484/artfynd/A 51326-2024 artfynd.xlsx", "A 51326-2024")</f>
        <v/>
      </c>
      <c r="X42">
        <f>HYPERLINK("https://klasma.github.io/Logging_0484/kartor/A 51326-2024 karta.png", "A 51326-2024")</f>
        <v/>
      </c>
      <c r="Y42">
        <f>HYPERLINK("https://klasma.github.io/Logging_0484/kartor_geotiff/A 51326-2024 georefererad karta.tif", "A 51326-2024")</f>
        <v/>
      </c>
      <c r="AA42">
        <f>HYPERLINK("https://klasma.github.io/Logging_0484/klagomål/A 51326-2024 FSC-klagomål.docx", "A 51326-2024")</f>
        <v/>
      </c>
      <c r="AB42">
        <f>HYPERLINK("https://klasma.github.io/Logging_0484/klagomålsmail/A 51326-2024 FSC-klagomål mail.docx", "A 51326-2024")</f>
        <v/>
      </c>
      <c r="AC42">
        <f>HYPERLINK("https://klasma.github.io/Logging_0484/tillsyn/A 51326-2024 tillsynsbegäran.docx", "A 51326-2024")</f>
        <v/>
      </c>
      <c r="AD42">
        <f>HYPERLINK("https://klasma.github.io/Logging_0484/tillsynsmail/A 51326-2024 tillsynsbegäran mail.docx", "A 51326-2024")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46322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17362-2024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45414</v>
      </c>
      <c r="E44" s="1" t="n">
        <v>46322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3.4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 dropplav
Sotlav</t>
        </is>
      </c>
      <c r="W44">
        <f>HYPERLINK("https://klasma.github.io/Logging_0484/artfynd/A 17362-2024 artfynd.xlsx", "A 17362-2024")</f>
        <v/>
      </c>
      <c r="X44">
        <f>HYPERLINK("https://klasma.github.io/Logging_0484/kartor/A 17362-2024 karta.png", "A 17362-2024")</f>
        <v/>
      </c>
      <c r="Y44">
        <f>HYPERLINK("https://klasma.github.io/Logging_0484/kartor_geotiff/A 17362-2024 georefererad karta.tif", "A 17362-2024")</f>
        <v/>
      </c>
      <c r="AA44">
        <f>HYPERLINK("https://klasma.github.io/Logging_0484/klagomål/A 17362-2024 FSC-klagomål.docx", "A 17362-2024")</f>
        <v/>
      </c>
      <c r="AB44">
        <f>HYPERLINK("https://klasma.github.io/Logging_0484/klagomålsmail/A 17362-2024 FSC-klagomål mail.docx", "A 17362-2024")</f>
        <v/>
      </c>
      <c r="AC44">
        <f>HYPERLINK("https://klasma.github.io/Logging_0484/tillsyn/A 17362-2024 tillsynsbegäran.docx", "A 17362-2024")</f>
        <v/>
      </c>
      <c r="AD44">
        <f>HYPERLINK("https://klasma.github.io/Logging_0484/tillsynsmail/A 17362-2024 tillsynsbegäran mail.docx", "A 17362-2024")</f>
        <v/>
      </c>
    </row>
    <row r="45" ht="15" customHeight="1">
      <c r="A45" t="inlineStr">
        <is>
          <t>A 19494-2024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45429</v>
      </c>
      <c r="E45" s="1" t="n">
        <v>46322</v>
      </c>
      <c r="F45" t="inlineStr">
        <is>
          <t>SÖDERMANLANDS LÄN</t>
        </is>
      </c>
      <c r="G45" t="inlineStr">
        <is>
          <t>ESKILSTUNA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 trolldruva
Blåsippa</t>
        </is>
      </c>
      <c r="W45">
        <f>HYPERLINK("https://klasma.github.io/Logging_0484/artfynd/A 19494-2024 artfynd.xlsx", "A 19494-2024")</f>
        <v/>
      </c>
      <c r="X45">
        <f>HYPERLINK("https://klasma.github.io/Logging_0484/kartor/A 19494-2024 karta.png", "A 19494-2024")</f>
        <v/>
      </c>
      <c r="Y45">
        <f>HYPERLINK("https://klasma.github.io/Logging_0484/kartor_geotiff/A 19494-2024 georefererad karta.tif", "A 19494-2024")</f>
        <v/>
      </c>
      <c r="AA45">
        <f>HYPERLINK("https://klasma.github.io/Logging_0484/klagomål/A 19494-2024 FSC-klagomål.docx", "A 19494-2024")</f>
        <v/>
      </c>
      <c r="AB45">
        <f>HYPERLINK("https://klasma.github.io/Logging_0484/klagomålsmail/A 19494-2024 FSC-klagomål mail.docx", "A 19494-2024")</f>
        <v/>
      </c>
      <c r="AC45">
        <f>HYPERLINK("https://klasma.github.io/Logging_0484/tillsyn/A 19494-2024 tillsynsbegäran.docx", "A 19494-2024")</f>
        <v/>
      </c>
      <c r="AD45">
        <f>HYPERLINK("https://klasma.github.io/Logging_0484/tillsynsmail/A 19494-2024 tillsynsbegäran mail.docx", "A 19494-2024")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46322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34986-2025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46322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Svart trolldruva
Spillkråka</t>
        </is>
      </c>
      <c r="W47">
        <f>HYPERLINK("https://klasma.github.io/Logging_0484/artfynd/A 34986-2025 artfynd.xlsx", "A 34986-2025")</f>
        <v/>
      </c>
      <c r="X47">
        <f>HYPERLINK("https://klasma.github.io/Logging_0484/kartor/A 34986-2025 karta.png", "A 34986-2025")</f>
        <v/>
      </c>
      <c r="Y47">
        <f>HYPERLINK("https://klasma.github.io/Logging_0484/kartor_geotiff/A 34986-2025 georefererad karta.tif", "A 34986-2025")</f>
        <v/>
      </c>
      <c r="AA47">
        <f>HYPERLINK("https://klasma.github.io/Logging_0484/klagomål/A 34986-2025 FSC-klagomål.docx", "A 34986-2025")</f>
        <v/>
      </c>
      <c r="AB47">
        <f>HYPERLINK("https://klasma.github.io/Logging_0484/klagomålsmail/A 34986-2025 FSC-klagomål mail.docx", "A 34986-2025")</f>
        <v/>
      </c>
      <c r="AC47">
        <f>HYPERLINK("https://klasma.github.io/Logging_0484/tillsyn/A 34986-2025 tillsynsbegäran.docx", "A 34986-2025")</f>
        <v/>
      </c>
      <c r="AD47">
        <f>HYPERLINK("https://klasma.github.io/Logging_0484/tillsynsmail/A 34986-2025 tillsynsbegäran mail.docx", "A 34986-2025")</f>
        <v/>
      </c>
      <c r="AE47">
        <f>HYPERLINK("https://klasma.github.io/Logging_0484/fåglar/A 34986-2025 prioriterade fågelarter.docx", "A 34986-2025")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46322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61105-2025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46322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Krusfrö
Tibast</t>
        </is>
      </c>
      <c r="W49">
        <f>HYPERLINK("https://klasma.github.io/Logging_0484/artfynd/A 61105-2025 artfynd.xlsx", "A 61105-2025")</f>
        <v/>
      </c>
      <c r="X49">
        <f>HYPERLINK("https://klasma.github.io/Logging_0484/kartor/A 61105-2025 karta.png", "A 61105-2025")</f>
        <v/>
      </c>
      <c r="Y49">
        <f>HYPERLINK("https://klasma.github.io/Logging_0484/kartor_geotiff/A 61105-2025 georefererad karta.tif", "A 61105-2025")</f>
        <v/>
      </c>
      <c r="AA49">
        <f>HYPERLINK("https://klasma.github.io/Logging_0484/klagomål/A 61105-2025 FSC-klagomål.docx", "A 61105-2025")</f>
        <v/>
      </c>
      <c r="AB49">
        <f>HYPERLINK("https://klasma.github.io/Logging_0484/klagomålsmail/A 61105-2025 FSC-klagomål mail.docx", "A 61105-2025")</f>
        <v/>
      </c>
      <c r="AC49">
        <f>HYPERLINK("https://klasma.github.io/Logging_0484/tillsyn/A 61105-2025 tillsynsbegäran.docx", "A 61105-2025")</f>
        <v/>
      </c>
      <c r="AD49">
        <f>HYPERLINK("https://klasma.github.io/Logging_0484/tillsynsmail/A 61105-2025 tillsynsbegäran mail.docx", "A 61105-2025")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46322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26095-2026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46322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Svinrot
Spillkråka</t>
        </is>
      </c>
      <c r="W51">
        <f>HYPERLINK("https://klasma.github.io/Logging_0484/artfynd/A 26095-2026 artfynd.xlsx", "A 26095-2026")</f>
        <v/>
      </c>
      <c r="X51">
        <f>HYPERLINK("https://klasma.github.io/Logging_0484/kartor/A 26095-2026 karta.png", "A 26095-2026")</f>
        <v/>
      </c>
      <c r="Y51">
        <f>HYPERLINK("https://klasma.github.io/Logging_0484/kartor_geotiff/A 26095-2026 georefererad karta.tif", "A 26095-2026")</f>
        <v/>
      </c>
      <c r="AA51">
        <f>HYPERLINK("https://klasma.github.io/Logging_0484/klagomål/A 26095-2026 FSC-klagomål.docx", "A 26095-2026")</f>
        <v/>
      </c>
      <c r="AB51">
        <f>HYPERLINK("https://klasma.github.io/Logging_0484/klagomålsmail/A 26095-2026 FSC-klagomål mail.docx", "A 26095-2026")</f>
        <v/>
      </c>
      <c r="AC51">
        <f>HYPERLINK("https://klasma.github.io/Logging_0484/tillsyn/A 26095-2026 tillsynsbegäran.docx", "A 26095-2026")</f>
        <v/>
      </c>
      <c r="AD51">
        <f>HYPERLINK("https://klasma.github.io/Logging_0484/tillsynsmail/A 26095-2026 tillsynsbegäran mail.docx", "A 26095-2026")</f>
        <v/>
      </c>
      <c r="AE51">
        <f>HYPERLINK("https://klasma.github.io/Logging_0484/fåglar/A 26095-2026 prioriterade fågelarter.docx", "A 26095-2026")</f>
        <v/>
      </c>
    </row>
    <row r="52" ht="15" customHeight="1">
      <c r="A52" t="inlineStr">
        <is>
          <t>A 26105-2026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46322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Backsippa
Backtimjan</t>
        </is>
      </c>
      <c r="W52">
        <f>HYPERLINK("https://klasma.github.io/Logging_0484/artfynd/A 26105-2026 artfynd.xlsx", "A 26105-2026")</f>
        <v/>
      </c>
      <c r="X52">
        <f>HYPERLINK("https://klasma.github.io/Logging_0484/kartor/A 26105-2026 karta.png", "A 26105-2026")</f>
        <v/>
      </c>
      <c r="Y52">
        <f>HYPERLINK("https://klasma.github.io/Logging_0484/kartor_geotiff/A 26105-2026 georefererad karta.tif", "A 26105-2026")</f>
        <v/>
      </c>
      <c r="AA52">
        <f>HYPERLINK("https://klasma.github.io/Logging_0484/klagomål/A 26105-2026 FSC-klagomål.docx", "A 26105-2026")</f>
        <v/>
      </c>
      <c r="AB52">
        <f>HYPERLINK("https://klasma.github.io/Logging_0484/klagomålsmail/A 26105-2026 FSC-klagomål mail.docx", "A 26105-2026")</f>
        <v/>
      </c>
      <c r="AC52">
        <f>HYPERLINK("https://klasma.github.io/Logging_0484/tillsyn/A 26105-2026 tillsynsbegäran.docx", "A 26105-2026")</f>
        <v/>
      </c>
      <c r="AD52">
        <f>HYPERLINK("https://klasma.github.io/Logging_0484/tillsynsmail/A 26105-2026 tillsynsbegäran mail.docx", "A 26105-2026")</f>
        <v/>
      </c>
    </row>
    <row r="53" ht="15" customHeight="1">
      <c r="A53" t="inlineStr">
        <is>
          <t>S 1332-2020</t>
        </is>
      </c>
      <c r="B53" t="inlineStr">
        <is>
          <t>samrådsanmälan</t>
        </is>
      </c>
      <c r="C53" t="inlineStr">
        <is>
          <t>Åtgärd i nyckelbiotop</t>
        </is>
      </c>
      <c r="D53" s="1" t="n">
        <v>43993</v>
      </c>
      <c r="E53" s="1" t="n">
        <v>46322</v>
      </c>
      <c r="F53" t="inlineStr">
        <is>
          <t>SÖDERMANLANDS LÄN</t>
        </is>
      </c>
      <c r="G53" t="inlineStr">
        <is>
          <t>ESKILSTUNA</t>
        </is>
      </c>
      <c r="I53" t="n">
        <v>0.9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Blåsippa
Törnskata</t>
        </is>
      </c>
      <c r="W53">
        <f>HYPERLINK("https://klasma.github.io/Logging_0484/artfynd/S 1332-2020 artfynd.xlsx", "S 1332-2020")</f>
        <v/>
      </c>
      <c r="X53">
        <f>HYPERLINK("https://klasma.github.io/Logging_0484/kartor/S 1332-2020 karta.png", "S 1332-2020")</f>
        <v/>
      </c>
      <c r="Y53">
        <f>HYPERLINK("https://klasma.github.io/Logging_0484/kartor_geotiff/S 1332-2020 georefererad karta.tif", "S 1332-2020")</f>
        <v/>
      </c>
      <c r="AA53">
        <f>HYPERLINK("https://klasma.github.io/Logging_0484/klagomål/S 1332-2020 FSC-klagomål.docx", "S 1332-2020")</f>
        <v/>
      </c>
      <c r="AB53">
        <f>HYPERLINK("https://klasma.github.io/Logging_0484/klagomålsmail/S 1332-2020 FSC-klagomål mail.docx", "S 1332-2020")</f>
        <v/>
      </c>
      <c r="AC53">
        <f>HYPERLINK("https://klasma.github.io/Logging_0484/tillsyn/S 1332-2020 tillsynsbegäran.docx", "S 1332-2020")</f>
        <v/>
      </c>
      <c r="AD53">
        <f>HYPERLINK("https://klasma.github.io/Logging_0484/tillsynsmail/S 1332-2020 tillsynsbegäran mail.docx", "S 1332-2020")</f>
        <v/>
      </c>
      <c r="AE53">
        <f>HYPERLINK("https://klasma.github.io/Logging_0484/fåglar/S 1332-2020 prioriterade fågelarter.docx", "S 1332-2020")</f>
        <v/>
      </c>
    </row>
    <row r="54" ht="15" customHeight="1">
      <c r="A54" t="inlineStr">
        <is>
          <t>S 9518-2021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44525</v>
      </c>
      <c r="E54" s="1" t="n">
        <v>46322</v>
      </c>
      <c r="F54" t="inlineStr">
        <is>
          <t>SÖDERMANLANDS LÄN</t>
        </is>
      </c>
      <c r="G54" t="inlineStr">
        <is>
          <t>ESKILSTUNA</t>
        </is>
      </c>
      <c r="I54" t="n">
        <v>1.8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Nattviol
Lopplummer (aggregat)</t>
        </is>
      </c>
      <c r="W54">
        <f>HYPERLINK("https://klasma.github.io/Logging_0484/artfynd/S 9518-2021 artfynd.xlsx", "S 9518-2021")</f>
        <v/>
      </c>
      <c r="X54">
        <f>HYPERLINK("https://klasma.github.io/Logging_0484/kartor/S 9518-2021 karta.png", "S 9518-2021")</f>
        <v/>
      </c>
      <c r="Y54">
        <f>HYPERLINK("https://klasma.github.io/Logging_0484/kartor_geotiff/S 9518-2021 georefererad karta.tif", "S 9518-2021")</f>
        <v/>
      </c>
      <c r="AA54">
        <f>HYPERLINK("https://klasma.github.io/Logging_0484/klagomål/S 9518-2021 FSC-klagomål.docx", "S 9518-2021")</f>
        <v/>
      </c>
      <c r="AB54">
        <f>HYPERLINK("https://klasma.github.io/Logging_0484/klagomålsmail/S 9518-2021 FSC-klagomål mail.docx", "S 9518-2021")</f>
        <v/>
      </c>
      <c r="AC54">
        <f>HYPERLINK("https://klasma.github.io/Logging_0484/tillsyn/S 9518-2021 tillsynsbegäran.docx", "S 9518-2021")</f>
        <v/>
      </c>
      <c r="AD54">
        <f>HYPERLINK("https://klasma.github.io/Logging_0484/tillsynsmail/S 9518-2021 tillsynsbegäran mail.docx", "S 9518-2021")</f>
        <v/>
      </c>
    </row>
    <row r="55" ht="15" customHeight="1">
      <c r="A55" t="inlineStr">
        <is>
          <t>A 36140-2022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46322</v>
      </c>
      <c r="F55" t="inlineStr">
        <is>
          <t>SÖDERMANLANDS LÄN</t>
        </is>
      </c>
      <c r="G55" t="inlineStr">
        <is>
          <t>ESKILSTUNA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HYPERLINK("https://klasma.github.io/Logging_0484/artfynd/A 36140-2022 artfynd.xlsx", "A 36140-2022")</f>
        <v/>
      </c>
      <c r="X55">
        <f>HYPERLINK("https://klasma.github.io/Logging_0484/kartor/A 36140-2022 karta.png", "A 36140-2022")</f>
        <v/>
      </c>
      <c r="Y55">
        <f>HYPERLINK("https://klasma.github.io/Logging_0484/kartor_geotiff/A 36140-2022 georefererad karta.tif", "A 36140-2022")</f>
        <v/>
      </c>
      <c r="AA55">
        <f>HYPERLINK("https://klasma.github.io/Logging_0484/klagomål/A 36140-2022 FSC-klagomål.docx", "A 36140-2022")</f>
        <v/>
      </c>
      <c r="AB55">
        <f>HYPERLINK("https://klasma.github.io/Logging_0484/klagomålsmail/A 36140-2022 FSC-klagomål mail.docx", "A 36140-2022")</f>
        <v/>
      </c>
      <c r="AC55">
        <f>HYPERLINK("https://klasma.github.io/Logging_0484/tillsyn/A 36140-2022 tillsynsbegäran.docx", "A 36140-2022")</f>
        <v/>
      </c>
      <c r="AD55">
        <f>HYPERLINK("https://klasma.github.io/Logging_0484/tillsynsmail/A 36140-2022 tillsynsbegäran mail.docx", "A 36140-2022")</f>
        <v/>
      </c>
    </row>
    <row r="56" ht="15" customHeight="1">
      <c r="A56" t="inlineStr">
        <is>
          <t>A 18780-2022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44689</v>
      </c>
      <c r="E56" s="1" t="n">
        <v>46322</v>
      </c>
      <c r="F56" t="inlineStr">
        <is>
          <t>SÖDERMANLANDS LÄN</t>
        </is>
      </c>
      <c r="G56" t="inlineStr">
        <is>
          <t>ESKILSTUNA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Skogsduva</t>
        </is>
      </c>
      <c r="W56">
        <f>HYPERLINK("https://klasma.github.io/Logging_0484/artfynd/A 18780-2022 artfynd.xlsx", "A 18780-2022")</f>
        <v/>
      </c>
      <c r="X56">
        <f>HYPERLINK("https://klasma.github.io/Logging_0484/kartor/A 18780-2022 karta.png", "A 18780-2022")</f>
        <v/>
      </c>
      <c r="Y56">
        <f>HYPERLINK("https://klasma.github.io/Logging_0484/kartor_geotiff/A 18780-2022 georefererad karta.tif", "A 18780-2022")</f>
        <v/>
      </c>
      <c r="AA56">
        <f>HYPERLINK("https://klasma.github.io/Logging_0484/klagomål/A 18780-2022 FSC-klagomål.docx", "A 18780-2022")</f>
        <v/>
      </c>
      <c r="AB56">
        <f>HYPERLINK("https://klasma.github.io/Logging_0484/klagomålsmail/A 18780-2022 FSC-klagomål mail.docx", "A 18780-2022")</f>
        <v/>
      </c>
      <c r="AC56">
        <f>HYPERLINK("https://klasma.github.io/Logging_0484/tillsyn/A 18780-2022 tillsynsbegäran.docx", "A 18780-2022")</f>
        <v/>
      </c>
      <c r="AD56">
        <f>HYPERLINK("https://klasma.github.io/Logging_0484/tillsynsmail/A 18780-2022 tillsynsbegäran mail.docx", "A 18780-2022")</f>
        <v/>
      </c>
    </row>
    <row r="57" ht="15" customHeight="1">
      <c r="A57" t="inlineStr">
        <is>
          <t>A 28269-2022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46322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Hasselticka</t>
        </is>
      </c>
      <c r="W57">
        <f>HYPERLINK("https://klasma.github.io/Logging_0484/artfynd/A 28269-2022 artfynd.xlsx", "A 28269-2022")</f>
        <v/>
      </c>
      <c r="X57">
        <f>HYPERLINK("https://klasma.github.io/Logging_0484/kartor/A 28269-2022 karta.png", "A 28269-2022")</f>
        <v/>
      </c>
      <c r="Y57">
        <f>HYPERLINK("https://klasma.github.io/Logging_0484/kartor_geotiff/A 28269-2022 georefererad karta.tif", "A 28269-2022")</f>
        <v/>
      </c>
      <c r="AA57">
        <f>HYPERLINK("https://klasma.github.io/Logging_0484/klagomål/A 28269-2022 FSC-klagomål.docx", "A 28269-2022")</f>
        <v/>
      </c>
      <c r="AB57">
        <f>HYPERLINK("https://klasma.github.io/Logging_0484/klagomålsmail/A 28269-2022 FSC-klagomål mail.docx", "A 28269-2022")</f>
        <v/>
      </c>
      <c r="AC57">
        <f>HYPERLINK("https://klasma.github.io/Logging_0484/tillsyn/A 28269-2022 tillsynsbegäran.docx", "A 28269-2022")</f>
        <v/>
      </c>
      <c r="AD57">
        <f>HYPERLINK("https://klasma.github.io/Logging_0484/tillsynsmail/A 28269-2022 tillsynsbegäran mail.docx", "A 28269-2022")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46322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46322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46322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46322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46322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HYPERLINK("https://klasma.github.io/Logging_0484/artfynd/A 43547-2022 artfynd.xlsx", "A 43547-2022")</f>
        <v/>
      </c>
      <c r="X62">
        <f>HYPERLINK("https://klasma.github.io/Logging_0484/kartor/A 43547-2022 karta.png", "A 43547-2022")</f>
        <v/>
      </c>
      <c r="Y62">
        <f>HYPERLINK("https://klasma.github.io/Logging_0484/kartor_geotiff/A 43547-2022 georefererad karta.tif", "A 43547-2022")</f>
        <v/>
      </c>
      <c r="Z62">
        <f>HYPERLINK("https://klasma.github.io/Logging_0484/knärot/A 43547-2022 karta knärot.png", "A 43547-2022")</f>
        <v/>
      </c>
      <c r="AA62">
        <f>HYPERLINK("https://klasma.github.io/Logging_0484/klagomål/A 43547-2022 FSC-klagomål.docx", "A 43547-2022")</f>
        <v/>
      </c>
      <c r="AB62">
        <f>HYPERLINK("https://klasma.github.io/Logging_0484/klagomålsmail/A 43547-2022 FSC-klagomål mail.docx", "A 43547-2022")</f>
        <v/>
      </c>
      <c r="AC62">
        <f>HYPERLINK("https://klasma.github.io/Logging_0484/tillsyn/A 43547-2022 tillsynsbegäran.docx", "A 43547-2022")</f>
        <v/>
      </c>
      <c r="AD62">
        <f>HYPERLINK("https://klasma.github.io/Logging_0484/tillsynsmail/A 43547-2022 tillsynsbegäran mail.docx", "A 43547-2022")</f>
        <v/>
      </c>
    </row>
    <row r="63" ht="15" customHeight="1">
      <c r="A63" t="inlineStr">
        <is>
          <t>A 23637-2023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46322</v>
      </c>
      <c r="F63" t="inlineStr">
        <is>
          <t>SÖDERMANLANDS LÄN</t>
        </is>
      </c>
      <c r="G63" t="inlineStr">
        <is>
          <t>ESKILSTUNA</t>
        </is>
      </c>
      <c r="I63" t="n">
        <v>15.8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Violett fingersvamp</t>
        </is>
      </c>
      <c r="W63">
        <f>HYPERLINK("https://klasma.github.io/Logging_0484/artfynd/A 23637-2023 artfynd.xlsx", "A 23637-2023")</f>
        <v/>
      </c>
      <c r="X63">
        <f>HYPERLINK("https://klasma.github.io/Logging_0484/kartor/A 23637-2023 karta.png", "A 23637-2023")</f>
        <v/>
      </c>
      <c r="Y63">
        <f>HYPERLINK("https://klasma.github.io/Logging_0484/kartor_geotiff/A 23637-2023 georefererad karta.tif", "A 23637-2023")</f>
        <v/>
      </c>
      <c r="AA63">
        <f>HYPERLINK("https://klasma.github.io/Logging_0484/klagomål/A 23637-2023 FSC-klagomål.docx", "A 23637-2023")</f>
        <v/>
      </c>
      <c r="AB63">
        <f>HYPERLINK("https://klasma.github.io/Logging_0484/klagomålsmail/A 23637-2023 FSC-klagomål mail.docx", "A 23637-2023")</f>
        <v/>
      </c>
      <c r="AC63">
        <f>HYPERLINK("https://klasma.github.io/Logging_0484/tillsyn/A 23637-2023 tillsynsbegäran.docx", "A 23637-2023")</f>
        <v/>
      </c>
      <c r="AD63">
        <f>HYPERLINK("https://klasma.github.io/Logging_0484/tillsynsmail/A 23637-2023 tillsynsbegäran mail.docx", "A 23637-2023")</f>
        <v/>
      </c>
    </row>
    <row r="64" ht="15" customHeight="1">
      <c r="A64" t="inlineStr">
        <is>
          <t>A 12984-2024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45385</v>
      </c>
      <c r="E64" s="1" t="n">
        <v>46322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Allmännings- och besparingsskogar</t>
        </is>
      </c>
      <c r="I64" t="n">
        <v>6.4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HYPERLINK("https://klasma.github.io/Logging_0484/artfynd/A 12984-2024 artfynd.xlsx", "A 12984-2024")</f>
        <v/>
      </c>
      <c r="X64">
        <f>HYPERLINK("https://klasma.github.io/Logging_0484/kartor/A 12984-2024 karta.png", "A 12984-2024")</f>
        <v/>
      </c>
      <c r="Y64">
        <f>HYPERLINK("https://klasma.github.io/Logging_0484/kartor_geotiff/A 12984-2024 georefererad karta.tif", "A 12984-2024")</f>
        <v/>
      </c>
      <c r="AA64">
        <f>HYPERLINK("https://klasma.github.io/Logging_0484/klagomål/A 12984-2024 FSC-klagomål.docx", "A 12984-2024")</f>
        <v/>
      </c>
      <c r="AB64">
        <f>HYPERLINK("https://klasma.github.io/Logging_0484/klagomålsmail/A 12984-2024 FSC-klagomål mail.docx", "A 12984-2024")</f>
        <v/>
      </c>
      <c r="AC64">
        <f>HYPERLINK("https://klasma.github.io/Logging_0484/tillsyn/A 12984-2024 tillsynsbegäran.docx", "A 12984-2024")</f>
        <v/>
      </c>
      <c r="AD64">
        <f>HYPERLINK("https://klasma.github.io/Logging_0484/tillsynsmail/A 12984-2024 tillsynsbegäran mail.docx", "A 12984-2024")</f>
        <v/>
      </c>
    </row>
    <row r="65" ht="15" customHeight="1">
      <c r="A65" t="inlineStr">
        <is>
          <t>A 68018-2021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46322</v>
      </c>
      <c r="F65" t="inlineStr">
        <is>
          <t>SÖDERMANLANDS LÄN</t>
        </is>
      </c>
      <c r="G65" t="inlineStr">
        <is>
          <t>ESKILSTUNA</t>
        </is>
      </c>
      <c r="I65" t="n">
        <v>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Motaggsvamp</t>
        </is>
      </c>
      <c r="W65">
        <f>HYPERLINK("https://klasma.github.io/Logging_0484/artfynd/A 68018-2021 artfynd.xlsx", "A 68018-2021")</f>
        <v/>
      </c>
      <c r="X65">
        <f>HYPERLINK("https://klasma.github.io/Logging_0484/kartor/A 68018-2021 karta.png", "A 68018-2021")</f>
        <v/>
      </c>
      <c r="Y65">
        <f>HYPERLINK("https://klasma.github.io/Logging_0484/kartor_geotiff/A 68018-2021 georefererad karta.tif", "A 68018-2021")</f>
        <v/>
      </c>
      <c r="AA65">
        <f>HYPERLINK("https://klasma.github.io/Logging_0484/klagomål/A 68018-2021 FSC-klagomål.docx", "A 68018-2021")</f>
        <v/>
      </c>
      <c r="AB65">
        <f>HYPERLINK("https://klasma.github.io/Logging_0484/klagomålsmail/A 68018-2021 FSC-klagomål mail.docx", "A 68018-2021")</f>
        <v/>
      </c>
      <c r="AC65">
        <f>HYPERLINK("https://klasma.github.io/Logging_0484/tillsyn/A 68018-2021 tillsynsbegäran.docx", "A 68018-2021")</f>
        <v/>
      </c>
      <c r="AD65">
        <f>HYPERLINK("https://klasma.github.io/Logging_0484/tillsynsmail/A 68018-2021 tillsynsbegäran mail.docx", "A 68018-2021")</f>
        <v/>
      </c>
    </row>
    <row r="66" ht="15" customHeight="1">
      <c r="A66" t="inlineStr">
        <is>
          <t>A 30975-2023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46322</v>
      </c>
      <c r="F66" t="inlineStr">
        <is>
          <t>SÖDERMANLANDS LÄN</t>
        </is>
      </c>
      <c r="G66" t="inlineStr">
        <is>
          <t>ESKILSTUNA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Bombmurkla</t>
        </is>
      </c>
      <c r="W66">
        <f>HYPERLINK("https://klasma.github.io/Logging_0484/artfynd/A 30975-2023 artfynd.xlsx", "A 30975-2023")</f>
        <v/>
      </c>
      <c r="X66">
        <f>HYPERLINK("https://klasma.github.io/Logging_0484/kartor/A 30975-2023 karta.png", "A 30975-2023")</f>
        <v/>
      </c>
      <c r="Y66">
        <f>HYPERLINK("https://klasma.github.io/Logging_0484/kartor_geotiff/A 30975-2023 georefererad karta.tif", "A 30975-2023")</f>
        <v/>
      </c>
      <c r="AA66">
        <f>HYPERLINK("https://klasma.github.io/Logging_0484/klagomål/A 30975-2023 FSC-klagomål.docx", "A 30975-2023")</f>
        <v/>
      </c>
      <c r="AB66">
        <f>HYPERLINK("https://klasma.github.io/Logging_0484/klagomålsmail/A 30975-2023 FSC-klagomål mail.docx", "A 30975-2023")</f>
        <v/>
      </c>
      <c r="AC66">
        <f>HYPERLINK("https://klasma.github.io/Logging_0484/tillsyn/A 30975-2023 tillsynsbegäran.docx", "A 30975-2023")</f>
        <v/>
      </c>
      <c r="AD66">
        <f>HYPERLINK("https://klasma.github.io/Logging_0484/tillsynsmail/A 30975-2023 tillsynsbegäran mail.docx", "A 30975-2023")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46322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51345-2024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46322</v>
      </c>
      <c r="F68" t="inlineStr">
        <is>
          <t>SÖDERMANLANDS LÄN</t>
        </is>
      </c>
      <c r="G68" t="inlineStr">
        <is>
          <t>ESKILSTUNA</t>
        </is>
      </c>
      <c r="I68" t="n">
        <v>4.9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Revlummer</t>
        </is>
      </c>
      <c r="W68">
        <f>HYPERLINK("https://klasma.github.io/Logging_0484/artfynd/A 51345-2024 artfynd.xlsx", "A 51345-2024")</f>
        <v/>
      </c>
      <c r="X68">
        <f>HYPERLINK("https://klasma.github.io/Logging_0484/kartor/A 51345-2024 karta.png", "A 51345-2024")</f>
        <v/>
      </c>
      <c r="Y68">
        <f>HYPERLINK("https://klasma.github.io/Logging_0484/kartor_geotiff/A 51345-2024 georefererad karta.tif", "A 51345-2024")</f>
        <v/>
      </c>
      <c r="AA68">
        <f>HYPERLINK("https://klasma.github.io/Logging_0484/klagomål/A 51345-2024 FSC-klagomål.docx", "A 51345-2024")</f>
        <v/>
      </c>
      <c r="AB68">
        <f>HYPERLINK("https://klasma.github.io/Logging_0484/klagomålsmail/A 51345-2024 FSC-klagomål mail.docx", "A 51345-2024")</f>
        <v/>
      </c>
      <c r="AC68">
        <f>HYPERLINK("https://klasma.github.io/Logging_0484/tillsyn/A 51345-2024 tillsynsbegäran.docx", "A 51345-2024")</f>
        <v/>
      </c>
      <c r="AD68">
        <f>HYPERLINK("https://klasma.github.io/Logging_0484/tillsynsmail/A 51345-2024 tillsynsbegäran mail.docx", "A 51345-2024")</f>
        <v/>
      </c>
    </row>
    <row r="69" ht="15" customHeight="1">
      <c r="A69" t="inlineStr">
        <is>
          <t>A 27892-2026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46191</v>
      </c>
      <c r="E69" s="1" t="n">
        <v>46322</v>
      </c>
      <c r="F69" t="inlineStr">
        <is>
          <t>SÖDERMANLANDS LÄN</t>
        </is>
      </c>
      <c r="G69" t="inlineStr">
        <is>
          <t>ESKILSTUNA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Nattviol</t>
        </is>
      </c>
      <c r="W69">
        <f>HYPERLINK("https://klasma.github.io/Logging_0484/artfynd/A 27892-2026 artfynd.xlsx", "A 27892-2026")</f>
        <v/>
      </c>
      <c r="X69">
        <f>HYPERLINK("https://klasma.github.io/Logging_0484/kartor/A 27892-2026 karta.png", "A 27892-2026")</f>
        <v/>
      </c>
      <c r="Y69">
        <f>HYPERLINK("https://klasma.github.io/Logging_0484/kartor_geotiff/A 27892-2026 georefererad karta.tif", "A 27892-2026")</f>
        <v/>
      </c>
      <c r="AA69">
        <f>HYPERLINK("https://klasma.github.io/Logging_0484/klagomål/A 27892-2026 FSC-klagomål.docx", "A 27892-2026")</f>
        <v/>
      </c>
      <c r="AB69">
        <f>HYPERLINK("https://klasma.github.io/Logging_0484/klagomålsmail/A 27892-2026 FSC-klagomål mail.docx", "A 27892-2026")</f>
        <v/>
      </c>
      <c r="AC69">
        <f>HYPERLINK("https://klasma.github.io/Logging_0484/tillsyn/A 27892-2026 tillsynsbegäran.docx", "A 27892-2026")</f>
        <v/>
      </c>
      <c r="AD69">
        <f>HYPERLINK("https://klasma.github.io/Logging_0484/tillsynsmail/A 27892-2026 tillsynsbegäran mail.docx", "A 27892-2026")</f>
        <v/>
      </c>
    </row>
    <row r="70" ht="15" customHeight="1">
      <c r="A70" t="inlineStr">
        <is>
          <t>A 2512-2025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46322</v>
      </c>
      <c r="F70" t="inlineStr">
        <is>
          <t>SÖDERMANLANDS LÄN</t>
        </is>
      </c>
      <c r="G70" t="inlineStr">
        <is>
          <t>ESKILSTUNA</t>
        </is>
      </c>
      <c r="I70" t="n">
        <v>3.9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Svart trolldruva</t>
        </is>
      </c>
      <c r="W70">
        <f>HYPERLINK("https://klasma.github.io/Logging_0484/artfynd/A 2512-2025 artfynd.xlsx", "A 2512-2025")</f>
        <v/>
      </c>
      <c r="X70">
        <f>HYPERLINK("https://klasma.github.io/Logging_0484/kartor/A 2512-2025 karta.png", "A 2512-2025")</f>
        <v/>
      </c>
      <c r="Y70">
        <f>HYPERLINK("https://klasma.github.io/Logging_0484/kartor_geotiff/A 2512-2025 georefererad karta.tif", "A 2512-2025")</f>
        <v/>
      </c>
      <c r="AA70">
        <f>HYPERLINK("https://klasma.github.io/Logging_0484/klagomål/A 2512-2025 FSC-klagomål.docx", "A 2512-2025")</f>
        <v/>
      </c>
      <c r="AB70">
        <f>HYPERLINK("https://klasma.github.io/Logging_0484/klagomålsmail/A 2512-2025 FSC-klagomål mail.docx", "A 2512-2025")</f>
        <v/>
      </c>
      <c r="AC70">
        <f>HYPERLINK("https://klasma.github.io/Logging_0484/tillsyn/A 2512-2025 tillsynsbegäran.docx", "A 2512-2025")</f>
        <v/>
      </c>
      <c r="AD70">
        <f>HYPERLINK("https://klasma.github.io/Logging_0484/tillsynsmail/A 2512-2025 tillsynsbegäran mail.docx", "A 2512-2025")</f>
        <v/>
      </c>
    </row>
    <row r="71" ht="15" customHeight="1">
      <c r="A71" t="inlineStr">
        <is>
          <t>A 50760-2023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45217</v>
      </c>
      <c r="E71" s="1" t="n">
        <v>46322</v>
      </c>
      <c r="F71" t="inlineStr">
        <is>
          <t>SÖDERMANLANDS LÄN</t>
        </is>
      </c>
      <c r="G71" t="inlineStr">
        <is>
          <t>ESKILSTUNA</t>
        </is>
      </c>
      <c r="I71" t="n">
        <v>4.1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Pärluggla</t>
        </is>
      </c>
      <c r="W71">
        <f>HYPERLINK("https://klasma.github.io/Logging_0484/artfynd/A 50760-2023 artfynd.xlsx", "A 50760-2023")</f>
        <v/>
      </c>
      <c r="X71">
        <f>HYPERLINK("https://klasma.github.io/Logging_0484/kartor/A 50760-2023 karta.png", "A 50760-2023")</f>
        <v/>
      </c>
      <c r="Y71">
        <f>HYPERLINK("https://klasma.github.io/Logging_0484/kartor_geotiff/A 50760-2023 georefererad karta.tif", "A 50760-2023")</f>
        <v/>
      </c>
      <c r="AA71">
        <f>HYPERLINK("https://klasma.github.io/Logging_0484/klagomål/A 50760-2023 FSC-klagomål.docx", "A 50760-2023")</f>
        <v/>
      </c>
      <c r="AB71">
        <f>HYPERLINK("https://klasma.github.io/Logging_0484/klagomålsmail/A 50760-2023 FSC-klagomål mail.docx", "A 50760-2023")</f>
        <v/>
      </c>
      <c r="AC71">
        <f>HYPERLINK("https://klasma.github.io/Logging_0484/tillsyn/A 50760-2023 tillsynsbegäran.docx", "A 50760-2023")</f>
        <v/>
      </c>
      <c r="AD71">
        <f>HYPERLINK("https://klasma.github.io/Logging_0484/tillsynsmail/A 50760-2023 tillsynsbegäran mail.docx", "A 50760-2023")</f>
        <v/>
      </c>
      <c r="AE71">
        <f>HYPERLINK("https://klasma.github.io/Logging_0484/fåglar/A 50760-2023 prioriterade fågelarter.docx", "A 50760-2023")</f>
        <v/>
      </c>
    </row>
    <row r="72" ht="15" customHeight="1">
      <c r="A72" t="inlineStr">
        <is>
          <t>A 71976-2021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46322</v>
      </c>
      <c r="F72" t="inlineStr">
        <is>
          <t>SÖDERMANLANDS LÄN</t>
        </is>
      </c>
      <c r="G72" t="inlineStr">
        <is>
          <t>ESKILSTUNA</t>
        </is>
      </c>
      <c r="I72" t="n">
        <v>19.6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Jungfrulin</t>
        </is>
      </c>
      <c r="W72">
        <f>HYPERLINK("https://klasma.github.io/Logging_0484/artfynd/A 71976-2021 artfynd.xlsx", "A 71976-2021")</f>
        <v/>
      </c>
      <c r="X72">
        <f>HYPERLINK("https://klasma.github.io/Logging_0484/kartor/A 71976-2021 karta.png", "A 71976-2021")</f>
        <v/>
      </c>
      <c r="Y72">
        <f>HYPERLINK("https://klasma.github.io/Logging_0484/kartor_geotiff/A 71976-2021 georefererad karta.tif", "A 71976-2021")</f>
        <v/>
      </c>
      <c r="AA72">
        <f>HYPERLINK("https://klasma.github.io/Logging_0484/klagomål/A 71976-2021 FSC-klagomål.docx", "A 71976-2021")</f>
        <v/>
      </c>
      <c r="AB72">
        <f>HYPERLINK("https://klasma.github.io/Logging_0484/klagomålsmail/A 71976-2021 FSC-klagomål mail.docx", "A 71976-2021")</f>
        <v/>
      </c>
      <c r="AC72">
        <f>HYPERLINK("https://klasma.github.io/Logging_0484/tillsyn/A 71976-2021 tillsynsbegäran.docx", "A 71976-2021")</f>
        <v/>
      </c>
      <c r="AD72">
        <f>HYPERLINK("https://klasma.github.io/Logging_0484/tillsynsmail/A 71976-2021 tillsynsbegäran mail.docx", "A 71976-2021")</f>
        <v/>
      </c>
    </row>
    <row r="73" ht="15" customHeight="1">
      <c r="A73" t="inlineStr">
        <is>
          <t>A 26148-2022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46322</v>
      </c>
      <c r="F73" t="inlineStr">
        <is>
          <t>SÖDERMANLANDS LÄN</t>
        </is>
      </c>
      <c r="G73" t="inlineStr">
        <is>
          <t>ESKILSTUNA</t>
        </is>
      </c>
      <c r="I73" t="n">
        <v>3.3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26148-2022 artfynd.xlsx", "A 26148-2022")</f>
        <v/>
      </c>
      <c r="X73">
        <f>HYPERLINK("https://klasma.github.io/Logging_0484/kartor/A 26148-2022 karta.png", "A 26148-2022")</f>
        <v/>
      </c>
      <c r="Y73">
        <f>HYPERLINK("https://klasma.github.io/Logging_0484/kartor_geotiff/A 26148-2022 georefererad karta.tif", "A 26148-2022")</f>
        <v/>
      </c>
      <c r="AA73">
        <f>HYPERLINK("https://klasma.github.io/Logging_0484/klagomål/A 26148-2022 FSC-klagomål.docx", "A 26148-2022")</f>
        <v/>
      </c>
      <c r="AB73">
        <f>HYPERLINK("https://klasma.github.io/Logging_0484/klagomålsmail/A 26148-2022 FSC-klagomål mail.docx", "A 26148-2022")</f>
        <v/>
      </c>
      <c r="AC73">
        <f>HYPERLINK("https://klasma.github.io/Logging_0484/tillsyn/A 26148-2022 tillsynsbegäran.docx", "A 26148-2022")</f>
        <v/>
      </c>
      <c r="AD73">
        <f>HYPERLINK("https://klasma.github.io/Logging_0484/tillsynsmail/A 26148-2022 tillsynsbegäran mail.docx", "A 26148-2022")</f>
        <v/>
      </c>
      <c r="AE73">
        <f>HYPERLINK("https://klasma.github.io/Logging_0484/fåglar/A 26148-2022 prioriterade fågelarter.docx", "A 26148-2022")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46322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36216-2025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45867</v>
      </c>
      <c r="E75" s="1" t="n">
        <v>46322</v>
      </c>
      <c r="F75" t="inlineStr">
        <is>
          <t>SÖDERMANLANDS LÄN</t>
        </is>
      </c>
      <c r="G75" t="inlineStr">
        <is>
          <t>ESKILSTUNA</t>
        </is>
      </c>
      <c r="I75" t="n">
        <v>18.7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Blomkålssvamp</t>
        </is>
      </c>
      <c r="W75">
        <f>HYPERLINK("https://klasma.github.io/Logging_0484/artfynd/A 36216-2025 artfynd.xlsx", "A 36216-2025")</f>
        <v/>
      </c>
      <c r="X75">
        <f>HYPERLINK("https://klasma.github.io/Logging_0484/kartor/A 36216-2025 karta.png", "A 36216-2025")</f>
        <v/>
      </c>
      <c r="Y75">
        <f>HYPERLINK("https://klasma.github.io/Logging_0484/kartor_geotiff/A 36216-2025 georefererad karta.tif", "A 36216-2025")</f>
        <v/>
      </c>
      <c r="AA75">
        <f>HYPERLINK("https://klasma.github.io/Logging_0484/klagomål/A 36216-2025 FSC-klagomål.docx", "A 36216-2025")</f>
        <v/>
      </c>
      <c r="AB75">
        <f>HYPERLINK("https://klasma.github.io/Logging_0484/klagomålsmail/A 36216-2025 FSC-klagomål mail.docx", "A 36216-2025")</f>
        <v/>
      </c>
      <c r="AC75">
        <f>HYPERLINK("https://klasma.github.io/Logging_0484/tillsyn/A 36216-2025 tillsynsbegäran.docx", "A 36216-2025")</f>
        <v/>
      </c>
      <c r="AD75">
        <f>HYPERLINK("https://klasma.github.io/Logging_0484/tillsynsmail/A 36216-2025 tillsynsbegäran mail.docx", "A 36216-2025")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46322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29047-2026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46199</v>
      </c>
      <c r="E77" s="1" t="n">
        <v>46322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HYPERLINK("https://klasma.github.io/Logging_0484/artfynd/A 29047-2026 artfynd.xlsx", "A 29047-2026")</f>
        <v/>
      </c>
      <c r="X77">
        <f>HYPERLINK("https://klasma.github.io/Logging_0484/kartor/A 29047-2026 karta.png", "A 29047-2026")</f>
        <v/>
      </c>
      <c r="Y77">
        <f>HYPERLINK("https://klasma.github.io/Logging_0484/kartor_geotiff/A 29047-2026 georefererad karta.tif", "A 29047-2026")</f>
        <v/>
      </c>
      <c r="AA77">
        <f>HYPERLINK("https://klasma.github.io/Logging_0484/klagomål/A 29047-2026 FSC-klagomål.docx", "A 29047-2026")</f>
        <v/>
      </c>
      <c r="AB77">
        <f>HYPERLINK("https://klasma.github.io/Logging_0484/klagomålsmail/A 29047-2026 FSC-klagomål mail.docx", "A 29047-2026")</f>
        <v/>
      </c>
      <c r="AC77">
        <f>HYPERLINK("https://klasma.github.io/Logging_0484/tillsyn/A 29047-2026 tillsynsbegäran.docx", "A 29047-2026")</f>
        <v/>
      </c>
      <c r="AD77">
        <f>HYPERLINK("https://klasma.github.io/Logging_0484/tillsynsmail/A 29047-2026 tillsynsbegäran mail.docx", "A 29047-2026")</f>
        <v/>
      </c>
    </row>
    <row r="78" ht="15" customHeight="1">
      <c r="A78" t="inlineStr">
        <is>
          <t>A 14327-2023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45012</v>
      </c>
      <c r="E78" s="1" t="n">
        <v>46322</v>
      </c>
      <c r="F78" t="inlineStr">
        <is>
          <t>SÖDERMANLANDS LÄN</t>
        </is>
      </c>
      <c r="G78" t="inlineStr">
        <is>
          <t>ESKILSTUNA</t>
        </is>
      </c>
      <c r="H78" t="inlineStr">
        <is>
          <t>Kommuner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Mattlummer</t>
        </is>
      </c>
      <c r="W78">
        <f>HYPERLINK("https://klasma.github.io/Logging_0484/artfynd/A 14327-2023 artfynd.xlsx", "A 14327-2023")</f>
        <v/>
      </c>
      <c r="X78">
        <f>HYPERLINK("https://klasma.github.io/Logging_0484/kartor/A 14327-2023 karta.png", "A 14327-2023")</f>
        <v/>
      </c>
      <c r="Y78">
        <f>HYPERLINK("https://klasma.github.io/Logging_0484/kartor_geotiff/A 14327-2023 georefererad karta.tif", "A 14327-2023")</f>
        <v/>
      </c>
      <c r="AA78">
        <f>HYPERLINK("https://klasma.github.io/Logging_0484/klagomål/A 14327-2023 FSC-klagomål.docx", "A 14327-2023")</f>
        <v/>
      </c>
      <c r="AB78">
        <f>HYPERLINK("https://klasma.github.io/Logging_0484/klagomålsmail/A 14327-2023 FSC-klagomål mail.docx", "A 14327-2023")</f>
        <v/>
      </c>
      <c r="AC78">
        <f>HYPERLINK("https://klasma.github.io/Logging_0484/tillsyn/A 14327-2023 tillsynsbegäran.docx", "A 14327-2023")</f>
        <v/>
      </c>
      <c r="AD78">
        <f>HYPERLINK("https://klasma.github.io/Logging_0484/tillsynsmail/A 14327-2023 tillsynsbegäran mail.docx", "A 14327-2023")</f>
        <v/>
      </c>
    </row>
    <row r="79" ht="15" customHeight="1">
      <c r="A79" t="inlineStr">
        <is>
          <t>A 15608-2026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46322</v>
      </c>
      <c r="F79" t="inlineStr">
        <is>
          <t>SÖDERMANLANDS LÄN</t>
        </is>
      </c>
      <c r="G79" t="inlineStr">
        <is>
          <t>ESKILSTUNA</t>
        </is>
      </c>
      <c r="I79" t="n">
        <v>9.6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Igelkott</t>
        </is>
      </c>
      <c r="W79">
        <f>HYPERLINK("https://klasma.github.io/Logging_0484/artfynd/A 15608-2026 artfynd.xlsx", "A 15608-2026")</f>
        <v/>
      </c>
      <c r="X79">
        <f>HYPERLINK("https://klasma.github.io/Logging_0484/kartor/A 15608-2026 karta.png", "A 15608-2026")</f>
        <v/>
      </c>
      <c r="Y79">
        <f>HYPERLINK("https://klasma.github.io/Logging_0484/kartor_geotiff/A 15608-2026 georefererad karta.tif", "A 15608-2026")</f>
        <v/>
      </c>
      <c r="AA79">
        <f>HYPERLINK("https://klasma.github.io/Logging_0484/klagomål/A 15608-2026 FSC-klagomål.docx", "A 15608-2026")</f>
        <v/>
      </c>
      <c r="AB79">
        <f>HYPERLINK("https://klasma.github.io/Logging_0484/klagomålsmail/A 15608-2026 FSC-klagomål mail.docx", "A 15608-2026")</f>
        <v/>
      </c>
      <c r="AC79">
        <f>HYPERLINK("https://klasma.github.io/Logging_0484/tillsyn/A 15608-2026 tillsynsbegäran.docx", "A 15608-2026")</f>
        <v/>
      </c>
      <c r="AD79">
        <f>HYPERLINK("https://klasma.github.io/Logging_0484/tillsynsmail/A 15608-2026 tillsynsbegäran mail.docx", "A 15608-2026")</f>
        <v/>
      </c>
    </row>
    <row r="80" ht="15" customHeight="1">
      <c r="A80" t="inlineStr">
        <is>
          <t>A 59070-2022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44904</v>
      </c>
      <c r="E80" s="1" t="n">
        <v>46322</v>
      </c>
      <c r="F80" t="inlineStr">
        <is>
          <t>SÖDERMANLANDS LÄN</t>
        </is>
      </c>
      <c r="G80" t="inlineStr">
        <is>
          <t>ESKILSTUNA</t>
        </is>
      </c>
      <c r="I80" t="n">
        <v>6.6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HYPERLINK("https://klasma.github.io/Logging_0484/artfynd/A 59070-2022 artfynd.xlsx", "A 59070-2022")</f>
        <v/>
      </c>
      <c r="X80">
        <f>HYPERLINK("https://klasma.github.io/Logging_0484/kartor/A 59070-2022 karta.png", "A 59070-2022")</f>
        <v/>
      </c>
      <c r="Y80">
        <f>HYPERLINK("https://klasma.github.io/Logging_0484/kartor_geotiff/A 59070-2022 georefererad karta.tif", "A 59070-2022")</f>
        <v/>
      </c>
      <c r="AA80">
        <f>HYPERLINK("https://klasma.github.io/Logging_0484/klagomål/A 59070-2022 FSC-klagomål.docx", "A 59070-2022")</f>
        <v/>
      </c>
      <c r="AB80">
        <f>HYPERLINK("https://klasma.github.io/Logging_0484/klagomålsmail/A 59070-2022 FSC-klagomål mail.docx", "A 59070-2022")</f>
        <v/>
      </c>
      <c r="AC80">
        <f>HYPERLINK("https://klasma.github.io/Logging_0484/tillsyn/A 59070-2022 tillsynsbegäran.docx", "A 59070-2022")</f>
        <v/>
      </c>
      <c r="AD80">
        <f>HYPERLINK("https://klasma.github.io/Logging_0484/tillsynsmail/A 59070-2022 tillsynsbegäran mail.docx", "A 59070-2022")</f>
        <v/>
      </c>
    </row>
    <row r="81" ht="15" customHeight="1">
      <c r="A81" t="inlineStr">
        <is>
          <t>A 39011-2026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46287</v>
      </c>
      <c r="E81" s="1" t="n">
        <v>46322</v>
      </c>
      <c r="F81" t="inlineStr">
        <is>
          <t>SÖDERMANLANDS LÄN</t>
        </is>
      </c>
      <c r="G81" t="inlineStr">
        <is>
          <t>ESKILSTUNA</t>
        </is>
      </c>
      <c r="I81" t="n">
        <v>10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Blåsippa</t>
        </is>
      </c>
      <c r="W81">
        <f>HYPERLINK("https://klasma.github.io/Logging_0484/artfynd/A 39011-2026 artfynd.xlsx", "A 39011-2026")</f>
        <v/>
      </c>
      <c r="X81">
        <f>HYPERLINK("https://klasma.github.io/Logging_0484/kartor/A 39011-2026 karta.png", "A 39011-2026")</f>
        <v/>
      </c>
      <c r="Y81">
        <f>HYPERLINK("https://klasma.github.io/Logging_0484/kartor_geotiff/A 39011-2026 georefererad karta.tif", "A 39011-2026")</f>
        <v/>
      </c>
      <c r="AA81">
        <f>HYPERLINK("https://klasma.github.io/Logging_0484/klagomål/A 39011-2026 FSC-klagomål.docx", "A 39011-2026")</f>
        <v/>
      </c>
      <c r="AB81">
        <f>HYPERLINK("https://klasma.github.io/Logging_0484/klagomålsmail/A 39011-2026 FSC-klagomål mail.docx", "A 39011-2026")</f>
        <v/>
      </c>
      <c r="AC81">
        <f>HYPERLINK("https://klasma.github.io/Logging_0484/tillsyn/A 39011-2026 tillsynsbegäran.docx", "A 39011-2026")</f>
        <v/>
      </c>
      <c r="AD81">
        <f>HYPERLINK("https://klasma.github.io/Logging_0484/tillsynsmail/A 39011-2026 tillsynsbegäran mail.docx", "A 39011-2026")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46322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55087-2022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46322</v>
      </c>
      <c r="F83" t="inlineStr">
        <is>
          <t>SÖDERMANLANDS LÄN</t>
        </is>
      </c>
      <c r="G83" t="inlineStr">
        <is>
          <t>ESKILSTUNA</t>
        </is>
      </c>
      <c r="I83" t="n">
        <v>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HYPERLINK("https://klasma.github.io/Logging_0484/artfynd/A 55087-2022 artfynd.xlsx", "A 55087-2022")</f>
        <v/>
      </c>
      <c r="X83">
        <f>HYPERLINK("https://klasma.github.io/Logging_0484/kartor/A 55087-2022 karta.png", "A 55087-2022")</f>
        <v/>
      </c>
      <c r="Y83">
        <f>HYPERLINK("https://klasma.github.io/Logging_0484/kartor_geotiff/A 55087-2022 georefererad karta.tif", "A 55087-2022")</f>
        <v/>
      </c>
      <c r="AA83">
        <f>HYPERLINK("https://klasma.github.io/Logging_0484/klagomål/A 55087-2022 FSC-klagomål.docx", "A 55087-2022")</f>
        <v/>
      </c>
      <c r="AB83">
        <f>HYPERLINK("https://klasma.github.io/Logging_0484/klagomålsmail/A 55087-2022 FSC-klagomål mail.docx", "A 55087-2022")</f>
        <v/>
      </c>
      <c r="AC83">
        <f>HYPERLINK("https://klasma.github.io/Logging_0484/tillsyn/A 55087-2022 tillsynsbegäran.docx", "A 55087-2022")</f>
        <v/>
      </c>
      <c r="AD83">
        <f>HYPERLINK("https://klasma.github.io/Logging_0484/tillsynsmail/A 55087-2022 tillsynsbegäran mail.docx", "A 55087-2022")</f>
        <v/>
      </c>
      <c r="AE83">
        <f>HYPERLINK("https://klasma.github.io/Logging_0484/fåglar/A 55087-2022 prioriterade fågelarter.docx", "A 55087-2022")</f>
        <v/>
      </c>
    </row>
    <row r="84" ht="15" customHeight="1">
      <c r="A84" t="inlineStr">
        <is>
          <t>A 29647-2023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46322</v>
      </c>
      <c r="F84" t="inlineStr">
        <is>
          <t>SÖDERMANLANDS LÄN</t>
        </is>
      </c>
      <c r="G84" t="inlineStr">
        <is>
          <t>ESKILSTUNA</t>
        </is>
      </c>
      <c r="H84" t="inlineStr">
        <is>
          <t>Allmännings- och besparingsskogar</t>
        </is>
      </c>
      <c r="I84" t="n">
        <v>0.9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Rödvingetrast</t>
        </is>
      </c>
      <c r="W84">
        <f>HYPERLINK("https://klasma.github.io/Logging_0484/artfynd/A 29647-2023 artfynd.xlsx", "A 29647-2023")</f>
        <v/>
      </c>
      <c r="X84">
        <f>HYPERLINK("https://klasma.github.io/Logging_0484/kartor/A 29647-2023 karta.png", "A 29647-2023")</f>
        <v/>
      </c>
      <c r="Y84">
        <f>HYPERLINK("https://klasma.github.io/Logging_0484/kartor_geotiff/A 29647-2023 georefererad karta.tif", "A 29647-2023")</f>
        <v/>
      </c>
      <c r="AA84">
        <f>HYPERLINK("https://klasma.github.io/Logging_0484/klagomål/A 29647-2023 FSC-klagomål.docx", "A 29647-2023")</f>
        <v/>
      </c>
      <c r="AB84">
        <f>HYPERLINK("https://klasma.github.io/Logging_0484/klagomålsmail/A 29647-2023 FSC-klagomål mail.docx", "A 29647-2023")</f>
        <v/>
      </c>
      <c r="AC84">
        <f>HYPERLINK("https://klasma.github.io/Logging_0484/tillsyn/A 29647-2023 tillsynsbegäran.docx", "A 29647-2023")</f>
        <v/>
      </c>
      <c r="AD84">
        <f>HYPERLINK("https://klasma.github.io/Logging_0484/tillsynsmail/A 29647-2023 tillsynsbegäran mail.docx", "A 29647-2023")</f>
        <v/>
      </c>
      <c r="AE84">
        <f>HYPERLINK("https://klasma.github.io/Logging_0484/fåglar/A 29647-2023 prioriterade fågelarter.docx", "A 29647-2023")</f>
        <v/>
      </c>
    </row>
    <row r="85" ht="15" customHeight="1">
      <c r="A85" t="inlineStr">
        <is>
          <t>A 26097-2026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46322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Svinrot</t>
        </is>
      </c>
      <c r="W85">
        <f>HYPERLINK("https://klasma.github.io/Logging_0484/artfynd/A 26097-2026 artfynd.xlsx", "A 26097-2026")</f>
        <v/>
      </c>
      <c r="X85">
        <f>HYPERLINK("https://klasma.github.io/Logging_0484/kartor/A 26097-2026 karta.png", "A 26097-2026")</f>
        <v/>
      </c>
      <c r="Y85">
        <f>HYPERLINK("https://klasma.github.io/Logging_0484/kartor_geotiff/A 26097-2026 georefererad karta.tif", "A 26097-2026")</f>
        <v/>
      </c>
      <c r="AA85">
        <f>HYPERLINK("https://klasma.github.io/Logging_0484/klagomål/A 26097-2026 FSC-klagomål.docx", "A 26097-2026")</f>
        <v/>
      </c>
      <c r="AB85">
        <f>HYPERLINK("https://klasma.github.io/Logging_0484/klagomålsmail/A 26097-2026 FSC-klagomål mail.docx", "A 26097-2026")</f>
        <v/>
      </c>
      <c r="AC85">
        <f>HYPERLINK("https://klasma.github.io/Logging_0484/tillsyn/A 26097-2026 tillsynsbegäran.docx", "A 26097-2026")</f>
        <v/>
      </c>
      <c r="AD85">
        <f>HYPERLINK("https://klasma.github.io/Logging_0484/tillsynsmail/A 26097-2026 tillsynsbegäran mail.docx", "A 26097-2026")</f>
        <v/>
      </c>
    </row>
    <row r="86" ht="15" customHeight="1">
      <c r="A86" t="inlineStr">
        <is>
          <t>A 26008-2026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46322</v>
      </c>
      <c r="F86" t="inlineStr">
        <is>
          <t>SÖDERMANLANDS LÄN</t>
        </is>
      </c>
      <c r="G86" t="inlineStr">
        <is>
          <t>ESKILSTUNA</t>
        </is>
      </c>
      <c r="I86" t="n">
        <v>2.8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8</v>
      </c>
      <c r="U86" t="n">
        <v>0</v>
      </c>
      <c r="V86" s="2" t="inlineStr">
        <is>
          <t>Svart trolldruva</t>
        </is>
      </c>
      <c r="W86">
        <f>HYPERLINK("https://klasma.github.io/Logging_0484/artfynd/A 26008-2026 artfynd.xlsx", "A 26008-2026")</f>
        <v/>
      </c>
      <c r="X86">
        <f>HYPERLINK("https://klasma.github.io/Logging_0484/kartor/A 26008-2026 karta.png", "A 26008-2026")</f>
        <v/>
      </c>
      <c r="Y86">
        <f>HYPERLINK("https://klasma.github.io/Logging_0484/kartor_geotiff/A 26008-2026 georefererad karta.tif", "A 26008-2026")</f>
        <v/>
      </c>
      <c r="AA86">
        <f>HYPERLINK("https://klasma.github.io/Logging_0484/klagomål/A 26008-2026 FSC-klagomål.docx", "A 26008-2026")</f>
        <v/>
      </c>
      <c r="AB86">
        <f>HYPERLINK("https://klasma.github.io/Logging_0484/klagomålsmail/A 26008-2026 FSC-klagomål mail.docx", "A 26008-2026")</f>
        <v/>
      </c>
      <c r="AC86">
        <f>HYPERLINK("https://klasma.github.io/Logging_0484/tillsyn/A 26008-2026 tillsynsbegäran.docx", "A 26008-2026")</f>
        <v/>
      </c>
      <c r="AD86">
        <f>HYPERLINK("https://klasma.github.io/Logging_0484/tillsynsmail/A 26008-2026 tillsynsbegäran mail.docx", "A 26008-2026")</f>
        <v/>
      </c>
    </row>
    <row r="87" ht="15" customHeight="1">
      <c r="A87" t="inlineStr">
        <is>
          <t>A 26094-2026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46322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HYPERLINK("https://klasma.github.io/Logging_0484/artfynd/A 26094-2026 artfynd.xlsx", "A 26094-2026")</f>
        <v/>
      </c>
      <c r="X87">
        <f>HYPERLINK("https://klasma.github.io/Logging_0484/kartor/A 26094-2026 karta.png", "A 26094-2026")</f>
        <v/>
      </c>
      <c r="Y87">
        <f>HYPERLINK("https://klasma.github.io/Logging_0484/kartor_geotiff/A 26094-2026 georefererad karta.tif", "A 26094-2026")</f>
        <v/>
      </c>
      <c r="AA87">
        <f>HYPERLINK("https://klasma.github.io/Logging_0484/klagomål/A 26094-2026 FSC-klagomål.docx", "A 26094-2026")</f>
        <v/>
      </c>
      <c r="AB87">
        <f>HYPERLINK("https://klasma.github.io/Logging_0484/klagomålsmail/A 26094-2026 FSC-klagomål mail.docx", "A 26094-2026")</f>
        <v/>
      </c>
      <c r="AC87">
        <f>HYPERLINK("https://klasma.github.io/Logging_0484/tillsyn/A 26094-2026 tillsynsbegäran.docx", "A 26094-2026")</f>
        <v/>
      </c>
      <c r="AD87">
        <f>HYPERLINK("https://klasma.github.io/Logging_0484/tillsynsmail/A 26094-2026 tillsynsbegäran mail.docx", "A 26094-2026")</f>
        <v/>
      </c>
      <c r="AE87">
        <f>HYPERLINK("https://klasma.github.io/Logging_0484/fåglar/A 26094-2026 prioriterade fågelarter.docx", "A 26094-2026")</f>
        <v/>
      </c>
    </row>
    <row r="88" ht="15" customHeight="1">
      <c r="A88" t="inlineStr">
        <is>
          <t>A 38361-2024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45545</v>
      </c>
      <c r="E88" s="1" t="n">
        <v>46322</v>
      </c>
      <c r="F88" t="inlineStr">
        <is>
          <t>SÖDERMANLANDS LÄN</t>
        </is>
      </c>
      <c r="G88" t="inlineStr">
        <is>
          <t>ESKILSTUNA</t>
        </is>
      </c>
      <c r="I88" t="n">
        <v>0.4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Spillkråka</t>
        </is>
      </c>
      <c r="W88">
        <f>HYPERLINK("https://klasma.github.io/Logging_0484/artfynd/A 38361-2024 artfynd.xlsx", "A 38361-2024")</f>
        <v/>
      </c>
      <c r="X88">
        <f>HYPERLINK("https://klasma.github.io/Logging_0484/kartor/A 38361-2024 karta.png", "A 38361-2024")</f>
        <v/>
      </c>
      <c r="Y88">
        <f>HYPERLINK("https://klasma.github.io/Logging_0484/kartor_geotiff/A 38361-2024 georefererad karta.tif", "A 38361-2024")</f>
        <v/>
      </c>
      <c r="AA88">
        <f>HYPERLINK("https://klasma.github.io/Logging_0484/klagomål/A 38361-2024 FSC-klagomål.docx", "A 38361-2024")</f>
        <v/>
      </c>
      <c r="AB88">
        <f>HYPERLINK("https://klasma.github.io/Logging_0484/klagomålsmail/A 38361-2024 FSC-klagomål mail.docx", "A 38361-2024")</f>
        <v/>
      </c>
      <c r="AC88">
        <f>HYPERLINK("https://klasma.github.io/Logging_0484/tillsyn/A 38361-2024 tillsynsbegäran.docx", "A 38361-2024")</f>
        <v/>
      </c>
      <c r="AD88">
        <f>HYPERLINK("https://klasma.github.io/Logging_0484/tillsynsmail/A 38361-2024 tillsynsbegäran mail.docx", "A 38361-2024")</f>
        <v/>
      </c>
      <c r="AE88">
        <f>HYPERLINK("https://klasma.github.io/Logging_0484/fåglar/A 38361-2024 prioriterade fågelarter.docx", "A 38361-2024")</f>
        <v/>
      </c>
    </row>
    <row r="89" ht="15" customHeight="1">
      <c r="A89" t="inlineStr">
        <is>
          <t>A 67047-2021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44522</v>
      </c>
      <c r="E89" s="1" t="n">
        <v>46322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Kyrkan</t>
        </is>
      </c>
      <c r="I89" t="n">
        <v>2.7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HYPERLINK("https://klasma.github.io/Logging_0484/artfynd/A 67047-2021 artfynd.xlsx", "A 67047-2021")</f>
        <v/>
      </c>
      <c r="X89">
        <f>HYPERLINK("https://klasma.github.io/Logging_0484/kartor/A 67047-2021 karta.png", "A 67047-2021")</f>
        <v/>
      </c>
      <c r="Y89">
        <f>HYPERLINK("https://klasma.github.io/Logging_0484/kartor_geotiff/A 67047-2021 georefererad karta.tif", "A 67047-2021")</f>
        <v/>
      </c>
      <c r="AA89">
        <f>HYPERLINK("https://klasma.github.io/Logging_0484/klagomål/A 67047-2021 FSC-klagomål.docx", "A 67047-2021")</f>
        <v/>
      </c>
      <c r="AB89">
        <f>HYPERLINK("https://klasma.github.io/Logging_0484/klagomålsmail/A 67047-2021 FSC-klagomål mail.docx", "A 67047-2021")</f>
        <v/>
      </c>
      <c r="AC89">
        <f>HYPERLINK("https://klasma.github.io/Logging_0484/tillsyn/A 67047-2021 tillsynsbegäran.docx", "A 67047-2021")</f>
        <v/>
      </c>
      <c r="AD89">
        <f>HYPERLINK("https://klasma.github.io/Logging_0484/tillsynsmail/A 67047-2021 tillsynsbegäran mail.docx", "A 67047-2021")</f>
        <v/>
      </c>
    </row>
    <row r="90" ht="15" customHeight="1">
      <c r="A90" t="inlineStr">
        <is>
          <t>A 47648-2022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46322</v>
      </c>
      <c r="F90" t="inlineStr">
        <is>
          <t>SÖDERMANLANDS LÄN</t>
        </is>
      </c>
      <c r="G90" t="inlineStr">
        <is>
          <t>ESKILSTUNA</t>
        </is>
      </c>
      <c r="I90" t="n">
        <v>1.8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Grönsångare</t>
        </is>
      </c>
      <c r="W90">
        <f>HYPERLINK("https://klasma.github.io/Logging_0484/artfynd/A 47648-2022 artfynd.xlsx", "A 47648-2022")</f>
        <v/>
      </c>
      <c r="X90">
        <f>HYPERLINK("https://klasma.github.io/Logging_0484/kartor/A 47648-2022 karta.png", "A 47648-2022")</f>
        <v/>
      </c>
      <c r="Y90">
        <f>HYPERLINK("https://klasma.github.io/Logging_0484/kartor_geotiff/A 47648-2022 georefererad karta.tif", "A 47648-2022")</f>
        <v/>
      </c>
      <c r="AA90">
        <f>HYPERLINK("https://klasma.github.io/Logging_0484/klagomål/A 47648-2022 FSC-klagomål.docx", "A 47648-2022")</f>
        <v/>
      </c>
      <c r="AB90">
        <f>HYPERLINK("https://klasma.github.io/Logging_0484/klagomålsmail/A 47648-2022 FSC-klagomål mail.docx", "A 47648-2022")</f>
        <v/>
      </c>
      <c r="AC90">
        <f>HYPERLINK("https://klasma.github.io/Logging_0484/tillsyn/A 47648-2022 tillsynsbegäran.docx", "A 47648-2022")</f>
        <v/>
      </c>
      <c r="AD90">
        <f>HYPERLINK("https://klasma.github.io/Logging_0484/tillsynsmail/A 47648-2022 tillsynsbegäran mail.docx", "A 47648-2022")</f>
        <v/>
      </c>
      <c r="AE90">
        <f>HYPERLINK("https://klasma.github.io/Logging_0484/fåglar/A 47648-2022 prioriterade fågelarter.docx", "A 47648-2022")</f>
        <v/>
      </c>
    </row>
    <row r="91" ht="15" customHeight="1">
      <c r="A91" t="inlineStr">
        <is>
          <t>A 40600-2026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46294</v>
      </c>
      <c r="E91" s="1" t="n">
        <v>46322</v>
      </c>
      <c r="F91" t="inlineStr">
        <is>
          <t>SÖDERMANLANDS LÄN</t>
        </is>
      </c>
      <c r="G91" t="inlineStr">
        <is>
          <t>ESKILSTUNA</t>
        </is>
      </c>
      <c r="I91" t="n">
        <v>10.1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Spillkråka</t>
        </is>
      </c>
      <c r="W91">
        <f>HYPERLINK("https://klasma.github.io/Logging_0484/artfynd/A 40600-2026 artfynd.xlsx", "A 40600-2026")</f>
        <v/>
      </c>
      <c r="X91">
        <f>HYPERLINK("https://klasma.github.io/Logging_0484/kartor/A 40600-2026 karta.png", "A 40600-2026")</f>
        <v/>
      </c>
      <c r="Y91">
        <f>HYPERLINK("https://klasma.github.io/Logging_0484/kartor_geotiff/A 40600-2026 georefererad karta.tif", "A 40600-2026")</f>
        <v/>
      </c>
      <c r="AA91">
        <f>HYPERLINK("https://klasma.github.io/Logging_0484/klagomål/A 40600-2026 FSC-klagomål.docx", "A 40600-2026")</f>
        <v/>
      </c>
      <c r="AB91">
        <f>HYPERLINK("https://klasma.github.io/Logging_0484/klagomålsmail/A 40600-2026 FSC-klagomål mail.docx", "A 40600-2026")</f>
        <v/>
      </c>
      <c r="AC91">
        <f>HYPERLINK("https://klasma.github.io/Logging_0484/tillsyn/A 40600-2026 tillsynsbegäran.docx", "A 40600-2026")</f>
        <v/>
      </c>
      <c r="AD91">
        <f>HYPERLINK("https://klasma.github.io/Logging_0484/tillsynsmail/A 40600-2026 tillsynsbegäran mail.docx", "A 40600-2026")</f>
        <v/>
      </c>
      <c r="AE91">
        <f>HYPERLINK("https://klasma.github.io/Logging_0484/fåglar/A 40600-2026 prioriterade fågelarter.docx", "A 40600-2026")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46322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46322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46322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64986-2021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44513</v>
      </c>
      <c r="E95" s="1" t="n">
        <v>46322</v>
      </c>
      <c r="F95" t="inlineStr">
        <is>
          <t>SÖDERMANLANDS LÄN</t>
        </is>
      </c>
      <c r="G95" t="inlineStr">
        <is>
          <t>ESKILSTUNA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46322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46322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46322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46322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46322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46322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46322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46322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46322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46322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46322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46322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46322</v>
      </c>
      <c r="F108" t="inlineStr">
        <is>
          <t>SÖDERMANLANDS LÄN</t>
        </is>
      </c>
      <c r="G108" t="inlineStr">
        <is>
          <t>ESKILSTUNA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46322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46322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46322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46322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46322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46322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46322</v>
      </c>
      <c r="F115" t="inlineStr">
        <is>
          <t>SÖDERMANLANDS LÄN</t>
        </is>
      </c>
      <c r="G115" t="inlineStr">
        <is>
          <t>ESKILSTUNA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46322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46322</v>
      </c>
      <c r="F117" t="inlineStr">
        <is>
          <t>SÖDERMANLANDS LÄN</t>
        </is>
      </c>
      <c r="G117" t="inlineStr">
        <is>
          <t>ESKILSTUNA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71980-2021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46322</v>
      </c>
      <c r="F118" t="inlineStr">
        <is>
          <t>SÖDERMANLANDS LÄN</t>
        </is>
      </c>
      <c r="G118" t="inlineStr">
        <is>
          <t>ESKILSTUNA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46322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46322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46322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46322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46322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46322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46322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46322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46322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46322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46322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46322</v>
      </c>
      <c r="F130" t="inlineStr">
        <is>
          <t>SÖDERMANLANDS LÄN</t>
        </is>
      </c>
      <c r="G130" t="inlineStr">
        <is>
          <t>ESKILSTUNA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46322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46322</v>
      </c>
      <c r="F132" t="inlineStr">
        <is>
          <t>SÖDERMANLANDS LÄN</t>
        </is>
      </c>
      <c r="G132" t="inlineStr">
        <is>
          <t>ESKILSTUNA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46322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46322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46322</v>
      </c>
      <c r="F135" t="inlineStr">
        <is>
          <t>SÖDERMANLANDS LÄN</t>
        </is>
      </c>
      <c r="G135" t="inlineStr">
        <is>
          <t>ESKILSTUNA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44654</v>
      </c>
      <c r="E136" s="1" t="n">
        <v>46322</v>
      </c>
      <c r="F136" t="inlineStr">
        <is>
          <t>SÖDERMANLANDS LÄN</t>
        </is>
      </c>
      <c r="G136" t="inlineStr">
        <is>
          <t>ESKILSTUNA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46322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46322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46322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44643</v>
      </c>
      <c r="E140" s="1" t="n">
        <v>46322</v>
      </c>
      <c r="F140" t="inlineStr">
        <is>
          <t>SÖDERMANLANDS LÄN</t>
        </is>
      </c>
      <c r="G140" t="inlineStr">
        <is>
          <t>ESKILSTUNA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46322</v>
      </c>
      <c r="F141" t="inlineStr">
        <is>
          <t>SÖDERMANLANDS LÄN</t>
        </is>
      </c>
      <c r="G141" t="inlineStr">
        <is>
          <t>ESKILSTUNA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46322</v>
      </c>
      <c r="F142" t="inlineStr">
        <is>
          <t>SÖDERMANLANDS LÄN</t>
        </is>
      </c>
      <c r="G142" t="inlineStr">
        <is>
          <t>ESKILSTUNA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46322</v>
      </c>
      <c r="F143" t="inlineStr">
        <is>
          <t>SÖDERMANLANDS LÄN</t>
        </is>
      </c>
      <c r="G143" t="inlineStr">
        <is>
          <t>ESKILSTUNA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46322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Allmännings- och besparingsskogar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46322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46322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46322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45622</v>
      </c>
      <c r="E148" s="1" t="n">
        <v>46322</v>
      </c>
      <c r="F148" t="inlineStr">
        <is>
          <t>SÖDERMANLANDS LÄN</t>
        </is>
      </c>
      <c r="G148" t="inlineStr">
        <is>
          <t>ESKILSTUNA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46322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44499</v>
      </c>
      <c r="E150" s="1" t="n">
        <v>46322</v>
      </c>
      <c r="F150" t="inlineStr">
        <is>
          <t>SÖDERMANLANDS LÄN</t>
        </is>
      </c>
      <c r="G150" t="inlineStr">
        <is>
          <t>ESKILSTUNA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46322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46322</v>
      </c>
      <c r="F152" t="inlineStr">
        <is>
          <t>SÖDERMANLANDS LÄN</t>
        </is>
      </c>
      <c r="G152" t="inlineStr">
        <is>
          <t>ESKILSTUNA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46322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46322</v>
      </c>
      <c r="F154" t="inlineStr">
        <is>
          <t>SÖDERMANLANDS LÄN</t>
        </is>
      </c>
      <c r="G154" t="inlineStr">
        <is>
          <t>ESKILSTUNA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44789</v>
      </c>
      <c r="E155" s="1" t="n">
        <v>46322</v>
      </c>
      <c r="F155" t="inlineStr">
        <is>
          <t>SÖDERMANLANDS LÄN</t>
        </is>
      </c>
      <c r="G155" t="inlineStr">
        <is>
          <t>ESKILSTUNA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46322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46322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45303</v>
      </c>
      <c r="E158" s="1" t="n">
        <v>46322</v>
      </c>
      <c r="F158" t="inlineStr">
        <is>
          <t>SÖDERMANLANDS LÄN</t>
        </is>
      </c>
      <c r="G158" t="inlineStr">
        <is>
          <t>ESKILSTUNA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46322</v>
      </c>
      <c r="F159" t="inlineStr">
        <is>
          <t>SÖDERMANLANDS LÄN</t>
        </is>
      </c>
      <c r="G159" t="inlineStr">
        <is>
          <t>ESKILSTUNA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46322</v>
      </c>
      <c r="F160" t="inlineStr">
        <is>
          <t>SÖDERMANLANDS LÄN</t>
        </is>
      </c>
      <c r="G160" t="inlineStr">
        <is>
          <t>ESKILSTUNA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46322</v>
      </c>
      <c r="F161" t="inlineStr">
        <is>
          <t>SÖDERMANLANDS LÄN</t>
        </is>
      </c>
      <c r="G161" t="inlineStr">
        <is>
          <t>ESKILSTUNA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46322</v>
      </c>
      <c r="F162" t="inlineStr">
        <is>
          <t>SÖDERMANLANDS LÄN</t>
        </is>
      </c>
      <c r="G162" t="inlineStr">
        <is>
          <t>ESKILSTUNA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46322</v>
      </c>
      <c r="F163" t="inlineStr">
        <is>
          <t>SÖDERMANLANDS LÄN</t>
        </is>
      </c>
      <c r="G163" t="inlineStr">
        <is>
          <t>ESKILSTUNA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44626</v>
      </c>
      <c r="E164" s="1" t="n">
        <v>46322</v>
      </c>
      <c r="F164" t="inlineStr">
        <is>
          <t>SÖDERMANLANDS LÄN</t>
        </is>
      </c>
      <c r="G164" t="inlineStr">
        <is>
          <t>ESKILSTUNA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46322</v>
      </c>
      <c r="F165" t="inlineStr">
        <is>
          <t>SÖDERMANLANDS LÄN</t>
        </is>
      </c>
      <c r="G165" t="inlineStr">
        <is>
          <t>ESKILSTUNA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46322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44755</v>
      </c>
      <c r="E167" s="1" t="n">
        <v>46322</v>
      </c>
      <c r="F167" t="inlineStr">
        <is>
          <t>SÖDERMANLANDS LÄN</t>
        </is>
      </c>
      <c r="G167" t="inlineStr">
        <is>
          <t>ESKILSTUNA</t>
        </is>
      </c>
      <c r="I167" t="n">
        <v>20.1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46322</v>
      </c>
      <c r="F168" t="inlineStr">
        <is>
          <t>SÖDERMANLANDS LÄN</t>
        </is>
      </c>
      <c r="G168" t="inlineStr">
        <is>
          <t>ESKILSTUNA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46322</v>
      </c>
      <c r="F169" t="inlineStr">
        <is>
          <t>SÖDERMANLANDS LÄN</t>
        </is>
      </c>
      <c r="G169" t="inlineStr">
        <is>
          <t>ESKILSTUNA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46322</v>
      </c>
      <c r="F170" t="inlineStr">
        <is>
          <t>SÖDERMANLANDS LÄN</t>
        </is>
      </c>
      <c r="G170" t="inlineStr">
        <is>
          <t>ESKILSTUNA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45303</v>
      </c>
      <c r="E171" s="1" t="n">
        <v>46322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46322</v>
      </c>
      <c r="F172" t="inlineStr">
        <is>
          <t>SÖDERMANLANDS LÄN</t>
        </is>
      </c>
      <c r="G172" t="inlineStr">
        <is>
          <t>ESKILSTUNA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46322</v>
      </c>
      <c r="F173" t="inlineStr">
        <is>
          <t>SÖDERMANLANDS LÄN</t>
        </is>
      </c>
      <c r="G173" t="inlineStr">
        <is>
          <t>ESKILSTUNA</t>
        </is>
      </c>
      <c r="I173" t="n">
        <v>15.6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46322</v>
      </c>
      <c r="F174" t="inlineStr">
        <is>
          <t>SÖDERMANLANDS LÄN</t>
        </is>
      </c>
      <c r="G174" t="inlineStr">
        <is>
          <t>ESKILSTUNA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46322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46322</v>
      </c>
      <c r="F176" t="inlineStr">
        <is>
          <t>SÖDERMANLANDS LÄN</t>
        </is>
      </c>
      <c r="G176" t="inlineStr">
        <is>
          <t>ESKILSTUNA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45266</v>
      </c>
      <c r="E177" s="1" t="n">
        <v>46322</v>
      </c>
      <c r="F177" t="inlineStr">
        <is>
          <t>SÖDERMANLANDS LÄN</t>
        </is>
      </c>
      <c r="G177" t="inlineStr">
        <is>
          <t>ESKILSTUNA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45167</v>
      </c>
      <c r="E178" s="1" t="n">
        <v>46322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46322</v>
      </c>
      <c r="F179" t="inlineStr">
        <is>
          <t>SÖDERMANLANDS LÄN</t>
        </is>
      </c>
      <c r="G179" t="inlineStr">
        <is>
          <t>ESKILSTUNA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46322</v>
      </c>
      <c r="F180" t="inlineStr">
        <is>
          <t>SÖDERMANLANDS LÄN</t>
        </is>
      </c>
      <c r="G180" t="inlineStr">
        <is>
          <t>ESKILSTUNA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46322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Kommuner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46322</v>
      </c>
      <c r="F182" t="inlineStr">
        <is>
          <t>SÖDERMANLANDS LÄN</t>
        </is>
      </c>
      <c r="G182" t="inlineStr">
        <is>
          <t>ESKILSTUNA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15592-2023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45020</v>
      </c>
      <c r="E183" s="1" t="n">
        <v>46322</v>
      </c>
      <c r="F183" t="inlineStr">
        <is>
          <t>SÖDERMANLANDS LÄN</t>
        </is>
      </c>
      <c r="G183" t="inlineStr">
        <is>
          <t>ESKILSTUNA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46322</v>
      </c>
      <c r="F184" t="inlineStr">
        <is>
          <t>SÖDERMANLANDS LÄN</t>
        </is>
      </c>
      <c r="G184" t="inlineStr">
        <is>
          <t>ESKILSTUNA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12547-2022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44638</v>
      </c>
      <c r="E185" s="1" t="n">
        <v>46322</v>
      </c>
      <c r="F185" t="inlineStr">
        <is>
          <t>SÖDERMANLANDS LÄN</t>
        </is>
      </c>
      <c r="G185" t="inlineStr">
        <is>
          <t>ESKILSTUNA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46322</v>
      </c>
      <c r="F186" t="inlineStr">
        <is>
          <t>SÖDERMANLANDS LÄN</t>
        </is>
      </c>
      <c r="G186" t="inlineStr">
        <is>
          <t>ESKILSTUNA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46322</v>
      </c>
      <c r="F187" t="inlineStr">
        <is>
          <t>SÖDERMANLANDS LÄN</t>
        </is>
      </c>
      <c r="G187" t="inlineStr">
        <is>
          <t>ESKILSTUNA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65595-2021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44516</v>
      </c>
      <c r="E188" s="1" t="n">
        <v>46322</v>
      </c>
      <c r="F188" t="inlineStr">
        <is>
          <t>SÖDERMANLANDS LÄN</t>
        </is>
      </c>
      <c r="G188" t="inlineStr">
        <is>
          <t>ESKILSTUNA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46322</v>
      </c>
      <c r="F189" t="inlineStr">
        <is>
          <t>SÖDERMANLANDS LÄN</t>
        </is>
      </c>
      <c r="G189" t="inlineStr">
        <is>
          <t>ESKILSTUNA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46322</v>
      </c>
      <c r="F190" t="inlineStr">
        <is>
          <t>SÖDERMANLANDS LÄN</t>
        </is>
      </c>
      <c r="G190" t="inlineStr">
        <is>
          <t>ESKILSTUNA</t>
        </is>
      </c>
      <c r="I190" t="n">
        <v>11.6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46322</v>
      </c>
      <c r="F191" t="inlineStr">
        <is>
          <t>SÖDERMANLANDS LÄN</t>
        </is>
      </c>
      <c r="G191" t="inlineStr">
        <is>
          <t>ESKILSTUNA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44874</v>
      </c>
      <c r="E192" s="1" t="n">
        <v>46322</v>
      </c>
      <c r="F192" t="inlineStr">
        <is>
          <t>SÖDERMANLANDS LÄN</t>
        </is>
      </c>
      <c r="G192" t="inlineStr">
        <is>
          <t>ESKILSTUNA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46322</v>
      </c>
      <c r="F193" t="inlineStr">
        <is>
          <t>SÖDERMANLANDS LÄN</t>
        </is>
      </c>
      <c r="G193" t="inlineStr">
        <is>
          <t>ESKILSTUNA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68022-2021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46322</v>
      </c>
      <c r="F194" t="inlineStr">
        <is>
          <t>SÖDERMANLANDS LÄN</t>
        </is>
      </c>
      <c r="G194" t="inlineStr">
        <is>
          <t>ESKILSTUNA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61170-2021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44497</v>
      </c>
      <c r="E195" s="1" t="n">
        <v>46322</v>
      </c>
      <c r="F195" t="inlineStr">
        <is>
          <t>SÖDERMANLANDS LÄN</t>
        </is>
      </c>
      <c r="G195" t="inlineStr">
        <is>
          <t>ESKILSTUNA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46322</v>
      </c>
      <c r="F196" t="inlineStr">
        <is>
          <t>SÖDERMANLANDS LÄN</t>
        </is>
      </c>
      <c r="G196" t="inlineStr">
        <is>
          <t>ESKILSTUNA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27779-2026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46191</v>
      </c>
      <c r="E197" s="1" t="n">
        <v>46322</v>
      </c>
      <c r="F197" t="inlineStr">
        <is>
          <t>SÖDERMANLANDS LÄN</t>
        </is>
      </c>
      <c r="G197" t="inlineStr">
        <is>
          <t>ESKILSTUNA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46322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Övriga Aktiebolag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44768</v>
      </c>
      <c r="E199" s="1" t="n">
        <v>46322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45182</v>
      </c>
      <c r="E200" s="1" t="n">
        <v>46322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46322</v>
      </c>
      <c r="F201" t="inlineStr">
        <is>
          <t>SÖDERMANLANDS LÄN</t>
        </is>
      </c>
      <c r="G201" t="inlineStr">
        <is>
          <t>ESKILSTUNA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46322</v>
      </c>
      <c r="F202" t="inlineStr">
        <is>
          <t>SÖDERMANLANDS LÄN</t>
        </is>
      </c>
      <c r="G202" t="inlineStr">
        <is>
          <t>ESKILSTUNA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46322</v>
      </c>
      <c r="F203" t="inlineStr">
        <is>
          <t>SÖDERMANLANDS LÄN</t>
        </is>
      </c>
      <c r="G203" t="inlineStr">
        <is>
          <t>ESKILSTUNA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46322</v>
      </c>
      <c r="F204" t="inlineStr">
        <is>
          <t>SÖDERMANLANDS LÄN</t>
        </is>
      </c>
      <c r="G204" t="inlineStr">
        <is>
          <t>ESKILSTUNA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46322</v>
      </c>
      <c r="F205" t="inlineStr">
        <is>
          <t>SÖDERMANLANDS LÄN</t>
        </is>
      </c>
      <c r="G205" t="inlineStr">
        <is>
          <t>ESKILSTUNA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46322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46322</v>
      </c>
      <c r="F207" t="inlineStr">
        <is>
          <t>SÖDERMANLANDS LÄN</t>
        </is>
      </c>
      <c r="G207" t="inlineStr">
        <is>
          <t>ESKILSTUNA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68020-2021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46322</v>
      </c>
      <c r="F208" t="inlineStr">
        <is>
          <t>SÖDERMANLANDS LÄN</t>
        </is>
      </c>
      <c r="G208" t="inlineStr">
        <is>
          <t>ESKILSTUNA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46322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46322</v>
      </c>
      <c r="F210" t="inlineStr">
        <is>
          <t>SÖDERMANLANDS LÄN</t>
        </is>
      </c>
      <c r="G210" t="inlineStr">
        <is>
          <t>ESKILSTUNA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46322</v>
      </c>
      <c r="F211" t="inlineStr">
        <is>
          <t>SÖDERMANLANDS LÄN</t>
        </is>
      </c>
      <c r="G211" t="inlineStr">
        <is>
          <t>ESKILSTUNA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46322</v>
      </c>
      <c r="F212" t="inlineStr">
        <is>
          <t>SÖDERMANLANDS LÄN</t>
        </is>
      </c>
      <c r="G212" t="inlineStr">
        <is>
          <t>ESKILSTUNA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46322</v>
      </c>
      <c r="F213" t="inlineStr">
        <is>
          <t>SÖDERMANLANDS LÄN</t>
        </is>
      </c>
      <c r="G213" t="inlineStr">
        <is>
          <t>ESKILSTUNA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46322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Allmännings- och besparingsskogar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44582</v>
      </c>
      <c r="E215" s="1" t="n">
        <v>46322</v>
      </c>
      <c r="F215" t="inlineStr">
        <is>
          <t>SÖDERMANLANDS LÄN</t>
        </is>
      </c>
      <c r="G215" t="inlineStr">
        <is>
          <t>ESKILSTUNA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22605-2023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45071</v>
      </c>
      <c r="E216" s="1" t="n">
        <v>46322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Kyrkan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46322</v>
      </c>
      <c r="F217" t="inlineStr">
        <is>
          <t>SÖDERMANLANDS LÄN</t>
        </is>
      </c>
      <c r="G217" t="inlineStr">
        <is>
          <t>ESKILSTUNA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46322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46322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46322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Allmännings- och besparingsskogar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46322</v>
      </c>
      <c r="F221" t="inlineStr">
        <is>
          <t>SÖDERMANLANDS LÄN</t>
        </is>
      </c>
      <c r="G221" t="inlineStr">
        <is>
          <t>ESKILSTUNA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38895-2023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45163</v>
      </c>
      <c r="E222" s="1" t="n">
        <v>46322</v>
      </c>
      <c r="F222" t="inlineStr">
        <is>
          <t>SÖDERMANLANDS LÄN</t>
        </is>
      </c>
      <c r="G222" t="inlineStr">
        <is>
          <t>ESKILSTUNA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44804</v>
      </c>
      <c r="E223" s="1" t="n">
        <v>46322</v>
      </c>
      <c r="F223" t="inlineStr">
        <is>
          <t>SÖDERMANLANDS LÄN</t>
        </is>
      </c>
      <c r="G223" t="inlineStr">
        <is>
          <t>ESKILSTUNA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46322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44844</v>
      </c>
      <c r="E225" s="1" t="n">
        <v>46322</v>
      </c>
      <c r="F225" t="inlineStr">
        <is>
          <t>SÖDERMANLANDS LÄN</t>
        </is>
      </c>
      <c r="G225" t="inlineStr">
        <is>
          <t>ESKILSTUNA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44844</v>
      </c>
      <c r="E226" s="1" t="n">
        <v>46322</v>
      </c>
      <c r="F226" t="inlineStr">
        <is>
          <t>SÖDERMANLANDS LÄN</t>
        </is>
      </c>
      <c r="G226" t="inlineStr">
        <is>
          <t>ESKILSTUNA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46322</v>
      </c>
      <c r="F227" t="inlineStr">
        <is>
          <t>SÖDERMANLANDS LÄN</t>
        </is>
      </c>
      <c r="G227" t="inlineStr">
        <is>
          <t>ESKILSTUNA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46322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46322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46322</v>
      </c>
      <c r="F230" t="inlineStr">
        <is>
          <t>SÖDERMANLANDS LÄN</t>
        </is>
      </c>
      <c r="G230" t="inlineStr">
        <is>
          <t>ESKILSTUNA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46322</v>
      </c>
      <c r="F231" t="inlineStr">
        <is>
          <t>SÖDERMANLANDS LÄN</t>
        </is>
      </c>
      <c r="G231" t="inlineStr">
        <is>
          <t>ESKILSTUNA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46322</v>
      </c>
      <c r="F232" t="inlineStr">
        <is>
          <t>SÖDERMANLANDS LÄN</t>
        </is>
      </c>
      <c r="G232" t="inlineStr">
        <is>
          <t>ESKILSTUNA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46322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Allmännings- och besparingsskogar</t>
        </is>
      </c>
      <c r="I233" t="n">
        <v>9.6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46322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Allmännings- och besparingsskogar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46322</v>
      </c>
      <c r="F235" t="inlineStr">
        <is>
          <t>SÖDERMANLANDS LÄN</t>
        </is>
      </c>
      <c r="G235" t="inlineStr">
        <is>
          <t>ESKILSTUNA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46322</v>
      </c>
      <c r="F236" t="inlineStr">
        <is>
          <t>SÖDERMANLANDS LÄN</t>
        </is>
      </c>
      <c r="G236" t="inlineStr">
        <is>
          <t>ESKILSTUNA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46322</v>
      </c>
      <c r="F237" t="inlineStr">
        <is>
          <t>SÖDERMANLANDS LÄN</t>
        </is>
      </c>
      <c r="G237" t="inlineStr">
        <is>
          <t>ESKILSTUNA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61830-2023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45266</v>
      </c>
      <c r="E238" s="1" t="n">
        <v>46322</v>
      </c>
      <c r="F238" t="inlineStr">
        <is>
          <t>SÖDERMANLANDS LÄN</t>
        </is>
      </c>
      <c r="G238" t="inlineStr">
        <is>
          <t>ESKILSTUNA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46322</v>
      </c>
      <c r="F239" t="inlineStr">
        <is>
          <t>SÖDERMANLANDS LÄN</t>
        </is>
      </c>
      <c r="G239" t="inlineStr">
        <is>
          <t>ESKILSTUNA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45979</v>
      </c>
      <c r="E240" s="1" t="n">
        <v>46322</v>
      </c>
      <c r="F240" t="inlineStr">
        <is>
          <t>SÖDERMANLANDS LÄN</t>
        </is>
      </c>
      <c r="G240" t="inlineStr">
        <is>
          <t>ESKILSTUNA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46322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46322</v>
      </c>
      <c r="F242" t="inlineStr">
        <is>
          <t>SÖDERMANLANDS LÄN</t>
        </is>
      </c>
      <c r="G242" t="inlineStr">
        <is>
          <t>ESKILSTUNA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46322</v>
      </c>
      <c r="F243" t="inlineStr">
        <is>
          <t>SÖDERMANLANDS LÄN</t>
        </is>
      </c>
      <c r="G243" t="inlineStr">
        <is>
          <t>ESKILSTUNA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45041</v>
      </c>
      <c r="E244" s="1" t="n">
        <v>46322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46322</v>
      </c>
      <c r="F245" t="inlineStr">
        <is>
          <t>SÖDERMANLANDS LÄN</t>
        </is>
      </c>
      <c r="G245" t="inlineStr">
        <is>
          <t>ESKILSTUNA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45006</v>
      </c>
      <c r="E246" s="1" t="n">
        <v>46322</v>
      </c>
      <c r="F246" t="inlineStr">
        <is>
          <t>SÖDERMANLANDS LÄN</t>
        </is>
      </c>
      <c r="G246" t="inlineStr">
        <is>
          <t>ESKILSTUNA</t>
        </is>
      </c>
      <c r="I246" t="n">
        <v>16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46322</v>
      </c>
      <c r="F247" t="inlineStr">
        <is>
          <t>SÖDERMANLANDS LÄN</t>
        </is>
      </c>
      <c r="G247" t="inlineStr">
        <is>
          <t>ESKILSTUNA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46322</v>
      </c>
      <c r="F248" t="inlineStr">
        <is>
          <t>SÖDERMANLANDS LÄN</t>
        </is>
      </c>
      <c r="G248" t="inlineStr">
        <is>
          <t>ESKILSTUNA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46322</v>
      </c>
      <c r="F249" t="inlineStr">
        <is>
          <t>SÖDERMANLANDS LÄN</t>
        </is>
      </c>
      <c r="G249" t="inlineStr">
        <is>
          <t>ESKILSTUNA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24534-2025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45798</v>
      </c>
      <c r="E250" s="1" t="n">
        <v>46322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24535-2025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45798</v>
      </c>
      <c r="E251" s="1" t="n">
        <v>46322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Sveaskog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24536-2025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45798</v>
      </c>
      <c r="E252" s="1" t="n">
        <v>46322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Sveaskog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45568</v>
      </c>
      <c r="E253" s="1" t="n">
        <v>46322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Allmännings- och besparingsskogar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46322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24537-2025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45798</v>
      </c>
      <c r="E255" s="1" t="n">
        <v>46322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44886</v>
      </c>
      <c r="E256" s="1" t="n">
        <v>46322</v>
      </c>
      <c r="F256" t="inlineStr">
        <is>
          <t>SÖDERMANLANDS LÄN</t>
        </is>
      </c>
      <c r="G256" t="inlineStr">
        <is>
          <t>ESKILSTUNA</t>
        </is>
      </c>
      <c r="I256" t="n">
        <v>15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46322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70265-2021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46322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46322</v>
      </c>
      <c r="F259" t="inlineStr">
        <is>
          <t>SÖDERMANLANDS LÄN</t>
        </is>
      </c>
      <c r="G259" t="inlineStr">
        <is>
          <t>ESKILSTUNA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46322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4200-2025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45685</v>
      </c>
      <c r="E261" s="1" t="n">
        <v>46322</v>
      </c>
      <c r="F261" t="inlineStr">
        <is>
          <t>SÖDERMANLANDS LÄN</t>
        </is>
      </c>
      <c r="G261" t="inlineStr">
        <is>
          <t>ESKILSTUNA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70613-2021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44537</v>
      </c>
      <c r="E262" s="1" t="n">
        <v>46322</v>
      </c>
      <c r="F262" t="inlineStr">
        <is>
          <t>SÖDERMANLANDS LÄN</t>
        </is>
      </c>
      <c r="G262" t="inlineStr">
        <is>
          <t>ESKILSTUNA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65614-2021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46322</v>
      </c>
      <c r="F263" t="inlineStr">
        <is>
          <t>SÖDERMANLANDS LÄN</t>
        </is>
      </c>
      <c r="G263" t="inlineStr">
        <is>
          <t>ESKILSTUNA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45695</v>
      </c>
      <c r="E264" s="1" t="n">
        <v>46322</v>
      </c>
      <c r="F264" t="inlineStr">
        <is>
          <t>SÖDERMANLANDS LÄN</t>
        </is>
      </c>
      <c r="G264" t="inlineStr">
        <is>
          <t>ESKILSTUNA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46322</v>
      </c>
      <c r="F265" t="inlineStr">
        <is>
          <t>SÖDERMANLANDS LÄN</t>
        </is>
      </c>
      <c r="G265" t="inlineStr">
        <is>
          <t>ESKILSTUNA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46322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29053-2026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46199</v>
      </c>
      <c r="E267" s="1" t="n">
        <v>46322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61314-2022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44915</v>
      </c>
      <c r="E268" s="1" t="n">
        <v>46322</v>
      </c>
      <c r="F268" t="inlineStr">
        <is>
          <t>SÖDERMANLANDS LÄN</t>
        </is>
      </c>
      <c r="G268" t="inlineStr">
        <is>
          <t>ESKILSTUNA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44983</v>
      </c>
      <c r="E269" s="1" t="n">
        <v>46322</v>
      </c>
      <c r="F269" t="inlineStr">
        <is>
          <t>SÖDERMANLANDS LÄN</t>
        </is>
      </c>
      <c r="G269" t="inlineStr">
        <is>
          <t>ESKILSTUNA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46322</v>
      </c>
      <c r="F270" t="inlineStr">
        <is>
          <t>SÖDERMANLANDS LÄN</t>
        </is>
      </c>
      <c r="G270" t="inlineStr">
        <is>
          <t>ESKILSTUNA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45695</v>
      </c>
      <c r="E271" s="1" t="n">
        <v>46322</v>
      </c>
      <c r="F271" t="inlineStr">
        <is>
          <t>SÖDERMANLANDS LÄN</t>
        </is>
      </c>
      <c r="G271" t="inlineStr">
        <is>
          <t>ESKILSTUNA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45637</v>
      </c>
      <c r="E272" s="1" t="n">
        <v>46322</v>
      </c>
      <c r="F272" t="inlineStr">
        <is>
          <t>SÖDERMANLANDS LÄN</t>
        </is>
      </c>
      <c r="G272" t="inlineStr">
        <is>
          <t>ESKILSTUNA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30096-2025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45826</v>
      </c>
      <c r="E273" s="1" t="n">
        <v>46322</v>
      </c>
      <c r="F273" t="inlineStr">
        <is>
          <t>SÖDERMANLANDS LÄN</t>
        </is>
      </c>
      <c r="G273" t="inlineStr">
        <is>
          <t>ESKILSTUNA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46322</v>
      </c>
      <c r="F274" t="inlineStr">
        <is>
          <t>SÖDERMANLANDS LÄN</t>
        </is>
      </c>
      <c r="G274" t="inlineStr">
        <is>
          <t>ESKILSTUNA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46322</v>
      </c>
      <c r="F275" t="inlineStr">
        <is>
          <t>SÖDERMANLANDS LÄN</t>
        </is>
      </c>
      <c r="G275" t="inlineStr">
        <is>
          <t>ESKILSTUNA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46322</v>
      </c>
      <c r="F276" t="inlineStr">
        <is>
          <t>SÖDERMANLANDS LÄN</t>
        </is>
      </c>
      <c r="G276" t="inlineStr">
        <is>
          <t>ESKILSTUNA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57304-2023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45245</v>
      </c>
      <c r="E277" s="1" t="n">
        <v>46322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45006</v>
      </c>
      <c r="E278" s="1" t="n">
        <v>46322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46322</v>
      </c>
      <c r="F279" t="inlineStr">
        <is>
          <t>SÖDERMANLANDS LÄN</t>
        </is>
      </c>
      <c r="G279" t="inlineStr">
        <is>
          <t>ESKILSTUNA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45062</v>
      </c>
      <c r="E280" s="1" t="n">
        <v>46322</v>
      </c>
      <c r="F280" t="inlineStr">
        <is>
          <t>SÖDERMANLANDS LÄN</t>
        </is>
      </c>
      <c r="G280" t="inlineStr">
        <is>
          <t>ESKILSTUNA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29051-2026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46199</v>
      </c>
      <c r="E281" s="1" t="n">
        <v>46322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46322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46322</v>
      </c>
      <c r="F283" t="inlineStr">
        <is>
          <t>SÖDERMANLANDS LÄN</t>
        </is>
      </c>
      <c r="G283" t="inlineStr">
        <is>
          <t>ESKILSTUNA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46322</v>
      </c>
      <c r="F284" t="inlineStr">
        <is>
          <t>SÖDERMANLANDS LÄN</t>
        </is>
      </c>
      <c r="G284" t="inlineStr">
        <is>
          <t>ESKILSTUNA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46322</v>
      </c>
      <c r="F285" t="inlineStr">
        <is>
          <t>SÖDERMANLANDS LÄN</t>
        </is>
      </c>
      <c r="G285" t="inlineStr">
        <is>
          <t>ESKILSTUNA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46322</v>
      </c>
      <c r="F286" t="inlineStr">
        <is>
          <t>SÖDERMANLANDS LÄN</t>
        </is>
      </c>
      <c r="G286" t="inlineStr">
        <is>
          <t>ESKILSTUNA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46322</v>
      </c>
      <c r="F287" t="inlineStr">
        <is>
          <t>SÖDERMANLANDS LÄN</t>
        </is>
      </c>
      <c r="G287" t="inlineStr">
        <is>
          <t>ESKILSTUNA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45694</v>
      </c>
      <c r="E288" s="1" t="n">
        <v>46322</v>
      </c>
      <c r="F288" t="inlineStr">
        <is>
          <t>SÖDERMANLANDS LÄN</t>
        </is>
      </c>
      <c r="G288" t="inlineStr">
        <is>
          <t>ESKILSTUNA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45464</v>
      </c>
      <c r="E289" s="1" t="n">
        <v>46322</v>
      </c>
      <c r="F289" t="inlineStr">
        <is>
          <t>SÖDERMANLANDS LÄN</t>
        </is>
      </c>
      <c r="G289" t="inlineStr">
        <is>
          <t>ESKILSTUNA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45036</v>
      </c>
      <c r="E290" s="1" t="n">
        <v>46322</v>
      </c>
      <c r="F290" t="inlineStr">
        <is>
          <t>SÖDERMANLANDS LÄN</t>
        </is>
      </c>
      <c r="G290" t="inlineStr">
        <is>
          <t>ESKILSTUNA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46322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1538-2025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45670</v>
      </c>
      <c r="E292" s="1" t="n">
        <v>46322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45604</v>
      </c>
      <c r="E293" s="1" t="n">
        <v>46322</v>
      </c>
      <c r="F293" t="inlineStr">
        <is>
          <t>SÖDERMANLANDS LÄN</t>
        </is>
      </c>
      <c r="G293" t="inlineStr">
        <is>
          <t>ESKILSTUNA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46322</v>
      </c>
      <c r="F294" t="inlineStr">
        <is>
          <t>SÖDERMANLANDS LÄN</t>
        </is>
      </c>
      <c r="G294" t="inlineStr">
        <is>
          <t>ESKILSTUNA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44881</v>
      </c>
      <c r="E295" s="1" t="n">
        <v>46322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46322</v>
      </c>
      <c r="F296" t="inlineStr">
        <is>
          <t>SÖDERMANLANDS LÄN</t>
        </is>
      </c>
      <c r="G296" t="inlineStr">
        <is>
          <t>ESKILSTUNA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45715</v>
      </c>
      <c r="E297" s="1" t="n">
        <v>46322</v>
      </c>
      <c r="F297" t="inlineStr">
        <is>
          <t>SÖDERMANLANDS LÄN</t>
        </is>
      </c>
      <c r="G297" t="inlineStr">
        <is>
          <t>ESKILSTUNA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35698-2022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44799</v>
      </c>
      <c r="E298" s="1" t="n">
        <v>46322</v>
      </c>
      <c r="F298" t="inlineStr">
        <is>
          <t>SÖDERMANLANDS LÄN</t>
        </is>
      </c>
      <c r="G298" t="inlineStr">
        <is>
          <t>ESKILSTUNA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46322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46322</v>
      </c>
      <c r="F300" t="inlineStr">
        <is>
          <t>SÖDERMANLANDS LÄN</t>
        </is>
      </c>
      <c r="G300" t="inlineStr">
        <is>
          <t>ESKILSTUNA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46322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46608-2024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45582</v>
      </c>
      <c r="E302" s="1" t="n">
        <v>46322</v>
      </c>
      <c r="F302" t="inlineStr">
        <is>
          <t>SÖDERMANLANDS LÄN</t>
        </is>
      </c>
      <c r="G302" t="inlineStr">
        <is>
          <t>ESKILSTUNA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45460</v>
      </c>
      <c r="E303" s="1" t="n">
        <v>46322</v>
      </c>
      <c r="F303" t="inlineStr">
        <is>
          <t>SÖDERMANLANDS LÄN</t>
        </is>
      </c>
      <c r="G303" t="inlineStr">
        <is>
          <t>ESKILSTUNA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46322</v>
      </c>
      <c r="F304" t="inlineStr">
        <is>
          <t>SÖDERMANLANDS LÄN</t>
        </is>
      </c>
      <c r="G304" t="inlineStr">
        <is>
          <t>ESKILSTUNA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46322</v>
      </c>
      <c r="F305" t="inlineStr">
        <is>
          <t>SÖDERMANLANDS LÄN</t>
        </is>
      </c>
      <c r="G305" t="inlineStr">
        <is>
          <t>ESKILSTUNA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51801-2025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45950</v>
      </c>
      <c r="E306" s="1" t="n">
        <v>46322</v>
      </c>
      <c r="F306" t="inlineStr">
        <is>
          <t>SÖDERMANLANDS LÄN</t>
        </is>
      </c>
      <c r="G306" t="inlineStr">
        <is>
          <t>ESKILSTUNA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46322</v>
      </c>
      <c r="F307" t="inlineStr">
        <is>
          <t>SÖDERMANLANDS LÄN</t>
        </is>
      </c>
      <c r="G307" t="inlineStr">
        <is>
          <t>ESKILSTUNA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46322</v>
      </c>
      <c r="F308" t="inlineStr">
        <is>
          <t>SÖDERMANLANDS LÄN</t>
        </is>
      </c>
      <c r="G308" t="inlineStr">
        <is>
          <t>ESKILSTUNA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31131-2026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46216</v>
      </c>
      <c r="E309" s="1" t="n">
        <v>46322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46216</v>
      </c>
      <c r="E310" s="1" t="n">
        <v>46322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46322</v>
      </c>
      <c r="F311" t="inlineStr">
        <is>
          <t>SÖDERMANLANDS LÄN</t>
        </is>
      </c>
      <c r="G311" t="inlineStr">
        <is>
          <t>ESKILSTUNA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46213</v>
      </c>
      <c r="E312" s="1" t="n">
        <v>46322</v>
      </c>
      <c r="F312" t="inlineStr">
        <is>
          <t>SÖDERMANLANDS LÄN</t>
        </is>
      </c>
      <c r="G312" t="inlineStr">
        <is>
          <t>ESKILSTUNA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46322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Kommuner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46217</v>
      </c>
      <c r="E314" s="1" t="n">
        <v>46322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Kommuner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44634</v>
      </c>
      <c r="E315" s="1" t="n">
        <v>46322</v>
      </c>
      <c r="F315" t="inlineStr">
        <is>
          <t>SÖDERMANLANDS LÄN</t>
        </is>
      </c>
      <c r="G315" t="inlineStr">
        <is>
          <t>ESKILSTUNA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44946</v>
      </c>
      <c r="E316" s="1" t="n">
        <v>46322</v>
      </c>
      <c r="F316" t="inlineStr">
        <is>
          <t>SÖDERMANLANDS LÄN</t>
        </is>
      </c>
      <c r="G316" t="inlineStr">
        <is>
          <t>ESKILSTUNA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46219</v>
      </c>
      <c r="E317" s="1" t="n">
        <v>46322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46322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44928</v>
      </c>
      <c r="E319" s="1" t="n">
        <v>46322</v>
      </c>
      <c r="F319" t="inlineStr">
        <is>
          <t>SÖDERMANLANDS LÄN</t>
        </is>
      </c>
      <c r="G319" t="inlineStr">
        <is>
          <t>ESKILSTUNA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46322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46322</v>
      </c>
      <c r="F321" t="inlineStr">
        <is>
          <t>SÖDERMANLANDS LÄN</t>
        </is>
      </c>
      <c r="G321" t="inlineStr">
        <is>
          <t>ESKILSTUNA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13153-2026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46092</v>
      </c>
      <c r="E322" s="1" t="n">
        <v>46322</v>
      </c>
      <c r="F322" t="inlineStr">
        <is>
          <t>SÖDERMANLANDS LÄN</t>
        </is>
      </c>
      <c r="G322" t="inlineStr">
        <is>
          <t>ESKILSTUNA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46322</v>
      </c>
      <c r="F323" t="inlineStr">
        <is>
          <t>SÖDERMANLANDS LÄN</t>
        </is>
      </c>
      <c r="G323" t="inlineStr">
        <is>
          <t>ESKILSTUNA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45198</v>
      </c>
      <c r="E324" s="1" t="n">
        <v>46322</v>
      </c>
      <c r="F324" t="inlineStr">
        <is>
          <t>SÖDERMANLANDS LÄN</t>
        </is>
      </c>
      <c r="G324" t="inlineStr">
        <is>
          <t>ESKILSTUNA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46322</v>
      </c>
      <c r="F325" t="inlineStr">
        <is>
          <t>SÖDERMANLANDS LÄN</t>
        </is>
      </c>
      <c r="G325" t="inlineStr">
        <is>
          <t>ESKILSTUNA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46322</v>
      </c>
      <c r="F326" t="inlineStr">
        <is>
          <t>SÖDERMANLANDS LÄN</t>
        </is>
      </c>
      <c r="G326" t="inlineStr">
        <is>
          <t>ESKILSTUNA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45103</v>
      </c>
      <c r="E327" s="1" t="n">
        <v>46322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46322</v>
      </c>
      <c r="F328" t="inlineStr">
        <is>
          <t>SÖDERMANLANDS LÄN</t>
        </is>
      </c>
      <c r="G328" t="inlineStr">
        <is>
          <t>ESKILSTUNA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46237</v>
      </c>
      <c r="E329" s="1" t="n">
        <v>46322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46322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46322</v>
      </c>
      <c r="F331" t="inlineStr">
        <is>
          <t>SÖDERMANLANDS LÄN</t>
        </is>
      </c>
      <c r="G331" t="inlineStr">
        <is>
          <t>ESKILSTUNA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46238</v>
      </c>
      <c r="E332" s="1" t="n">
        <v>46322</v>
      </c>
      <c r="F332" t="inlineStr">
        <is>
          <t>SÖDERMANLANDS LÄN</t>
        </is>
      </c>
      <c r="G332" t="inlineStr">
        <is>
          <t>ESKILSTUNA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46238</v>
      </c>
      <c r="E333" s="1" t="n">
        <v>46322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46322</v>
      </c>
      <c r="F334" t="inlineStr">
        <is>
          <t>SÖDERMANLANDS LÄN</t>
        </is>
      </c>
      <c r="G334" t="inlineStr">
        <is>
          <t>ESKILSTUNA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46322</v>
      </c>
      <c r="F335" t="inlineStr">
        <is>
          <t>SÖDERMANLANDS LÄN</t>
        </is>
      </c>
      <c r="G335" t="inlineStr">
        <is>
          <t>ESKILSTUNA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46322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44861</v>
      </c>
      <c r="E337" s="1" t="n">
        <v>46322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46322</v>
      </c>
      <c r="F338" t="inlineStr">
        <is>
          <t>SÖDERMANLANDS LÄN</t>
        </is>
      </c>
      <c r="G338" t="inlineStr">
        <is>
          <t>ESKILSTUNA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44998</v>
      </c>
      <c r="E339" s="1" t="n">
        <v>46322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Kommuner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45058</v>
      </c>
      <c r="E340" s="1" t="n">
        <v>46322</v>
      </c>
      <c r="F340" t="inlineStr">
        <is>
          <t>SÖDERMANLANDS LÄN</t>
        </is>
      </c>
      <c r="G340" t="inlineStr">
        <is>
          <t>ESKILSTUNA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46322</v>
      </c>
      <c r="F341" t="inlineStr">
        <is>
          <t>SÖDERMANLANDS LÄN</t>
        </is>
      </c>
      <c r="G341" t="inlineStr">
        <is>
          <t>ESKILSTUNA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46322</v>
      </c>
      <c r="F342" t="inlineStr">
        <is>
          <t>SÖDERMANLANDS LÄN</t>
        </is>
      </c>
      <c r="G342" t="inlineStr">
        <is>
          <t>ESKILSTUNA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46322</v>
      </c>
      <c r="F343" t="inlineStr">
        <is>
          <t>SÖDERMANLANDS LÄN</t>
        </is>
      </c>
      <c r="G343" t="inlineStr">
        <is>
          <t>ESKILSTUNA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46239</v>
      </c>
      <c r="E344" s="1" t="n">
        <v>46322</v>
      </c>
      <c r="F344" t="inlineStr">
        <is>
          <t>SÖDERMANLANDS LÄN</t>
        </is>
      </c>
      <c r="G344" t="inlineStr">
        <is>
          <t>ESKILSTUNA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46322</v>
      </c>
      <c r="F345" t="inlineStr">
        <is>
          <t>SÖDERMANLANDS LÄN</t>
        </is>
      </c>
      <c r="G345" t="inlineStr">
        <is>
          <t>ESKILSTUNA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59151-2022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46322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45407</v>
      </c>
      <c r="E347" s="1" t="n">
        <v>46322</v>
      </c>
      <c r="F347" t="inlineStr">
        <is>
          <t>SÖDERMANLANDS LÄN</t>
        </is>
      </c>
      <c r="G347" t="inlineStr">
        <is>
          <t>ESKILSTUNA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46241</v>
      </c>
      <c r="E348" s="1" t="n">
        <v>46322</v>
      </c>
      <c r="F348" t="inlineStr">
        <is>
          <t>SÖDERMANLANDS LÄN</t>
        </is>
      </c>
      <c r="G348" t="inlineStr">
        <is>
          <t>ESKILSTUNA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44626</v>
      </c>
      <c r="E349" s="1" t="n">
        <v>46322</v>
      </c>
      <c r="F349" t="inlineStr">
        <is>
          <t>SÖDERMANLANDS LÄN</t>
        </is>
      </c>
      <c r="G349" t="inlineStr">
        <is>
          <t>ESKILSTUNA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18105-2026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46125</v>
      </c>
      <c r="E350" s="1" t="n">
        <v>46322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45119</v>
      </c>
      <c r="E351" s="1" t="n">
        <v>46322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36142-2022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44803</v>
      </c>
      <c r="E352" s="1" t="n">
        <v>46322</v>
      </c>
      <c r="F352" t="inlineStr">
        <is>
          <t>SÖDERMANLANDS LÄN</t>
        </is>
      </c>
      <c r="G352" t="inlineStr">
        <is>
          <t>ESKILSTUNA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44803</v>
      </c>
      <c r="E353" s="1" t="n">
        <v>46322</v>
      </c>
      <c r="F353" t="inlineStr">
        <is>
          <t>SÖDERMANLANDS LÄN</t>
        </is>
      </c>
      <c r="G353" t="inlineStr">
        <is>
          <t>ESKILSTUNA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1340-2024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45303</v>
      </c>
      <c r="E354" s="1" t="n">
        <v>46322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46322</v>
      </c>
      <c r="F355" t="inlineStr">
        <is>
          <t>SÖDERMANLANDS LÄN</t>
        </is>
      </c>
      <c r="G355" t="inlineStr">
        <is>
          <t>ESKILSTUNA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46322</v>
      </c>
      <c r="F356" t="inlineStr">
        <is>
          <t>SÖDERMANLANDS LÄN</t>
        </is>
      </c>
      <c r="G356" t="inlineStr">
        <is>
          <t>ESKILSTUNA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45209</v>
      </c>
      <c r="E357" s="1" t="n">
        <v>46322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45004</v>
      </c>
      <c r="E358" s="1" t="n">
        <v>46322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44862-2025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45918</v>
      </c>
      <c r="E359" s="1" t="n">
        <v>46322</v>
      </c>
      <c r="F359" t="inlineStr">
        <is>
          <t>SÖDERMANLANDS LÄN</t>
        </is>
      </c>
      <c r="G359" t="inlineStr">
        <is>
          <t>ESKILSTUNA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46322</v>
      </c>
      <c r="F360" t="inlineStr">
        <is>
          <t>SÖDERMANLANDS LÄN</t>
        </is>
      </c>
      <c r="G360" t="inlineStr">
        <is>
          <t>ESKILSTUNA</t>
        </is>
      </c>
      <c r="I360" t="n">
        <v>10.8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46322</v>
      </c>
      <c r="F361" t="inlineStr">
        <is>
          <t>SÖDERMANLANDS LÄN</t>
        </is>
      </c>
      <c r="G361" t="inlineStr">
        <is>
          <t>ESKILSTUNA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46322</v>
      </c>
      <c r="F362" t="inlineStr">
        <is>
          <t>SÖDERMANLANDS LÄN</t>
        </is>
      </c>
      <c r="G362" t="inlineStr">
        <is>
          <t>ESKILSTUNA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46322</v>
      </c>
      <c r="F363" t="inlineStr">
        <is>
          <t>SÖDERMANLANDS LÄN</t>
        </is>
      </c>
      <c r="G363" t="inlineStr">
        <is>
          <t>ESKILSTUNA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46287</v>
      </c>
      <c r="E364" s="1" t="n">
        <v>46322</v>
      </c>
      <c r="F364" t="inlineStr">
        <is>
          <t>SÖDERMANLANDS LÄN</t>
        </is>
      </c>
      <c r="G364" t="inlineStr">
        <is>
          <t>ESKILSTUNA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45146</v>
      </c>
      <c r="E365" s="1" t="n">
        <v>46322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Kyrkan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46244</v>
      </c>
      <c r="E366" s="1" t="n">
        <v>46322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46322</v>
      </c>
      <c r="F367" t="inlineStr">
        <is>
          <t>SÖDERMANLANDS LÄN</t>
        </is>
      </c>
      <c r="G367" t="inlineStr">
        <is>
          <t>ESKILSTUNA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46322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46322</v>
      </c>
      <c r="F369" t="inlineStr">
        <is>
          <t>SÖDERMANLANDS LÄN</t>
        </is>
      </c>
      <c r="G369" t="inlineStr">
        <is>
          <t>ESKILSTUNA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46322</v>
      </c>
      <c r="F370" t="inlineStr">
        <is>
          <t>SÖDERMANLANDS LÄN</t>
        </is>
      </c>
      <c r="G370" t="inlineStr">
        <is>
          <t>ESKILSTUNA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46245</v>
      </c>
      <c r="E371" s="1" t="n">
        <v>46322</v>
      </c>
      <c r="F371" t="inlineStr">
        <is>
          <t>SÖDERMANLANDS LÄN</t>
        </is>
      </c>
      <c r="G371" t="inlineStr">
        <is>
          <t>ESKILSTUNA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46246</v>
      </c>
      <c r="E372" s="1" t="n">
        <v>46322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1346-2024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45303</v>
      </c>
      <c r="E373" s="1" t="n">
        <v>46322</v>
      </c>
      <c r="F373" t="inlineStr">
        <is>
          <t>SÖDERMANLANDS LÄN</t>
        </is>
      </c>
      <c r="G373" t="inlineStr">
        <is>
          <t>ESKILSTUNA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45061</v>
      </c>
      <c r="E374" s="1" t="n">
        <v>46322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Allmännings- och besparingsskogar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50484-2025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45945</v>
      </c>
      <c r="E375" s="1" t="n">
        <v>46322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25668-2022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44732</v>
      </c>
      <c r="E376" s="1" t="n">
        <v>46322</v>
      </c>
      <c r="F376" t="inlineStr">
        <is>
          <t>SÖDERMANLANDS LÄN</t>
        </is>
      </c>
      <c r="G376" t="inlineStr">
        <is>
          <t>ESKILSTUNA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45643</v>
      </c>
      <c r="E377" s="1" t="n">
        <v>46322</v>
      </c>
      <c r="F377" t="inlineStr">
        <is>
          <t>SÖDERMANLANDS LÄN</t>
        </is>
      </c>
      <c r="G377" t="inlineStr">
        <is>
          <t>ESKILSTUNA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44837</v>
      </c>
      <c r="E378" s="1" t="n">
        <v>46322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46322</v>
      </c>
      <c r="F379" t="inlineStr">
        <is>
          <t>SÖDERMANLANDS LÄN</t>
        </is>
      </c>
      <c r="G379" t="inlineStr">
        <is>
          <t>ESKILSTUNA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33087-2026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46322</v>
      </c>
      <c r="F380" t="inlineStr">
        <is>
          <t>SÖDERMANLANDS LÄN</t>
        </is>
      </c>
      <c r="G380" t="inlineStr">
        <is>
          <t>ESKILSTUNA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46322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Övriga Aktiebolag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36565-2022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46322</v>
      </c>
      <c r="F382" t="inlineStr">
        <is>
          <t>SÖDERMANLANDS LÄN</t>
        </is>
      </c>
      <c r="G382" t="inlineStr">
        <is>
          <t>ESKILSTUNA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44917</v>
      </c>
      <c r="E383" s="1" t="n">
        <v>46322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20823-2022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46322</v>
      </c>
      <c r="F384" t="inlineStr">
        <is>
          <t>SÖDERMANLANDS LÄN</t>
        </is>
      </c>
      <c r="G384" t="inlineStr">
        <is>
          <t>ESKILSTUNA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46322</v>
      </c>
      <c r="F385" t="inlineStr">
        <is>
          <t>SÖDERMANLANDS LÄN</t>
        </is>
      </c>
      <c r="G385" t="inlineStr">
        <is>
          <t>ESKILSTUNA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45435</v>
      </c>
      <c r="E386" s="1" t="n">
        <v>46322</v>
      </c>
      <c r="F386" t="inlineStr">
        <is>
          <t>SÖDERMANLANDS LÄN</t>
        </is>
      </c>
      <c r="G386" t="inlineStr">
        <is>
          <t>ESKILSTUNA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39700-2026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46289</v>
      </c>
      <c r="E387" s="1" t="n">
        <v>46322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46322</v>
      </c>
      <c r="F388" t="inlineStr">
        <is>
          <t>SÖDERMANLANDS LÄN</t>
        </is>
      </c>
      <c r="G388" t="inlineStr">
        <is>
          <t>ESKILSTUNA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46322</v>
      </c>
      <c r="F389" t="inlineStr">
        <is>
          <t>SÖDERMANLANDS LÄN</t>
        </is>
      </c>
      <c r="G389" t="inlineStr">
        <is>
          <t>ESKILSTUNA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44572</v>
      </c>
      <c r="E390" s="1" t="n">
        <v>46322</v>
      </c>
      <c r="F390" t="inlineStr">
        <is>
          <t>SÖDERMANLANDS LÄN</t>
        </is>
      </c>
      <c r="G390" t="inlineStr">
        <is>
          <t>ESKILSTUNA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46322</v>
      </c>
      <c r="F391" t="inlineStr">
        <is>
          <t>SÖDERMANLANDS LÄN</t>
        </is>
      </c>
      <c r="G391" t="inlineStr">
        <is>
          <t>ESKILSTUNA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46322</v>
      </c>
      <c r="F392" t="inlineStr">
        <is>
          <t>SÖDERMANLANDS LÄN</t>
        </is>
      </c>
      <c r="G392" t="inlineStr">
        <is>
          <t>ESKILSTUNA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44916</v>
      </c>
      <c r="E393" s="1" t="n">
        <v>46322</v>
      </c>
      <c r="F393" t="inlineStr">
        <is>
          <t>SÖDERMANLANDS LÄN</t>
        </is>
      </c>
      <c r="G393" t="inlineStr">
        <is>
          <t>ESKILSTUNA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44832</v>
      </c>
      <c r="E394" s="1" t="n">
        <v>46322</v>
      </c>
      <c r="F394" t="inlineStr">
        <is>
          <t>SÖDERMANLANDS LÄN</t>
        </is>
      </c>
      <c r="G394" t="inlineStr">
        <is>
          <t>ESKILSTUNA</t>
        </is>
      </c>
      <c r="I394" t="n">
        <v>19.9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46157</v>
      </c>
      <c r="E395" s="1" t="n">
        <v>46322</v>
      </c>
      <c r="F395" t="inlineStr">
        <is>
          <t>SÖDERMANLANDS LÄN</t>
        </is>
      </c>
      <c r="G395" t="inlineStr">
        <is>
          <t>ESKILSTUNA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9711-2025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45715</v>
      </c>
      <c r="E396" s="1" t="n">
        <v>46322</v>
      </c>
      <c r="F396" t="inlineStr">
        <is>
          <t>SÖDERMANLANDS LÄN</t>
        </is>
      </c>
      <c r="G396" t="inlineStr">
        <is>
          <t>ESKILSTUNA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44588</v>
      </c>
      <c r="E397" s="1" t="n">
        <v>46322</v>
      </c>
      <c r="F397" t="inlineStr">
        <is>
          <t>SÖDERMANLANDS LÄN</t>
        </is>
      </c>
      <c r="G397" t="inlineStr">
        <is>
          <t>ESKILSTUNA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45387</v>
      </c>
      <c r="E398" s="1" t="n">
        <v>46322</v>
      </c>
      <c r="F398" t="inlineStr">
        <is>
          <t>SÖDERMANLANDS LÄN</t>
        </is>
      </c>
      <c r="G398" t="inlineStr">
        <is>
          <t>ESKILSTUNA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45897</v>
      </c>
      <c r="E399" s="1" t="n">
        <v>46322</v>
      </c>
      <c r="F399" t="inlineStr">
        <is>
          <t>SÖDERMANLANDS LÄN</t>
        </is>
      </c>
      <c r="G399" t="inlineStr">
        <is>
          <t>ESKILSTUNA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36648-2022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44804</v>
      </c>
      <c r="E400" s="1" t="n">
        <v>46322</v>
      </c>
      <c r="F400" t="inlineStr">
        <is>
          <t>SÖDERMANLANDS LÄN</t>
        </is>
      </c>
      <c r="G400" t="inlineStr">
        <is>
          <t>ESKILSTUNA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46322</v>
      </c>
      <c r="F401" t="inlineStr">
        <is>
          <t>SÖDERMANLANDS LÄN</t>
        </is>
      </c>
      <c r="G401" t="inlineStr">
        <is>
          <t>ESKILSTUNA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61988-2022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44918</v>
      </c>
      <c r="E402" s="1" t="n">
        <v>46322</v>
      </c>
      <c r="F402" t="inlineStr">
        <is>
          <t>SÖDERMANLANDS LÄN</t>
        </is>
      </c>
      <c r="G402" t="inlineStr">
        <is>
          <t>ESKILSTUNA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46322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25229-2022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44729</v>
      </c>
      <c r="E404" s="1" t="n">
        <v>46322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Allmännings- och besparingsskogar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45363</v>
      </c>
      <c r="E405" s="1" t="n">
        <v>46322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Allmännings- och besparingsskogar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52203-2025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45953</v>
      </c>
      <c r="E406" s="1" t="n">
        <v>46322</v>
      </c>
      <c r="F406" t="inlineStr">
        <is>
          <t>SÖDERMANLANDS LÄN</t>
        </is>
      </c>
      <c r="G406" t="inlineStr">
        <is>
          <t>ESKILSTUNA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45664</v>
      </c>
      <c r="E407" s="1" t="n">
        <v>46322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45093</v>
      </c>
      <c r="E408" s="1" t="n">
        <v>46322</v>
      </c>
      <c r="F408" t="inlineStr">
        <is>
          <t>SÖDERMANLANDS LÄN</t>
        </is>
      </c>
      <c r="G408" t="inlineStr">
        <is>
          <t>ESKILSTUNA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46322</v>
      </c>
      <c r="F409" t="inlineStr">
        <is>
          <t>SÖDERMANLANDS LÄN</t>
        </is>
      </c>
      <c r="G409" t="inlineStr">
        <is>
          <t>ESKILSTUNA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46322</v>
      </c>
      <c r="F410" t="inlineStr">
        <is>
          <t>SÖDERMANLANDS LÄN</t>
        </is>
      </c>
      <c r="G410" t="inlineStr">
        <is>
          <t>ESKILSTUNA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44966</v>
      </c>
      <c r="E411" s="1" t="n">
        <v>46322</v>
      </c>
      <c r="F411" t="inlineStr">
        <is>
          <t>SÖDERMANLANDS LÄN</t>
        </is>
      </c>
      <c r="G411" t="inlineStr">
        <is>
          <t>ESKILSTUNA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47581-2024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45587</v>
      </c>
      <c r="E412" s="1" t="n">
        <v>46322</v>
      </c>
      <c r="F412" t="inlineStr">
        <is>
          <t>SÖDERMANLANDS LÄN</t>
        </is>
      </c>
      <c r="G412" t="inlineStr">
        <is>
          <t>ESKILSTUNA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34485-2026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46322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Allmännings- och besparingsskogar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22388-2026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46322</v>
      </c>
      <c r="F414" t="inlineStr">
        <is>
          <t>SÖDERMANLANDS LÄN</t>
        </is>
      </c>
      <c r="G414" t="inlineStr">
        <is>
          <t>ESKILSTUNA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46322</v>
      </c>
      <c r="F415" t="inlineStr">
        <is>
          <t>SÖDERMANLANDS LÄN</t>
        </is>
      </c>
      <c r="G415" t="inlineStr">
        <is>
          <t>ESKILSTUNA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46322</v>
      </c>
      <c r="F416" t="inlineStr">
        <is>
          <t>SÖDERMANLANDS LÄN</t>
        </is>
      </c>
      <c r="G416" t="inlineStr">
        <is>
          <t>ESKILSTUNA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46322</v>
      </c>
      <c r="F417" t="inlineStr">
        <is>
          <t>SÖDERMANLANDS LÄN</t>
        </is>
      </c>
      <c r="G417" t="inlineStr">
        <is>
          <t>ESKILSTUNA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46322</v>
      </c>
      <c r="F418" t="inlineStr">
        <is>
          <t>SÖDERMANLANDS LÄN</t>
        </is>
      </c>
      <c r="G418" t="inlineStr">
        <is>
          <t>ESKILSTUNA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44956</v>
      </c>
      <c r="E419" s="1" t="n">
        <v>46322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46322</v>
      </c>
      <c r="F420" t="inlineStr">
        <is>
          <t>SÖDERMANLANDS LÄN</t>
        </is>
      </c>
      <c r="G420" t="inlineStr">
        <is>
          <t>ESKILSTUNA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44938</v>
      </c>
      <c r="E421" s="1" t="n">
        <v>46322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46872-2022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46322</v>
      </c>
      <c r="F422" t="inlineStr">
        <is>
          <t>SÖDERMANLANDS LÄN</t>
        </is>
      </c>
      <c r="G422" t="inlineStr">
        <is>
          <t>ESKILSTUNA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46322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46177</v>
      </c>
      <c r="E424" s="1" t="n">
        <v>46322</v>
      </c>
      <c r="F424" t="inlineStr">
        <is>
          <t>SÖDERMANLANDS LÄN</t>
        </is>
      </c>
      <c r="G424" t="inlineStr">
        <is>
          <t>ESKILSTUNA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7406-2022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44606</v>
      </c>
      <c r="E425" s="1" t="n">
        <v>46322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46322</v>
      </c>
      <c r="F426" t="inlineStr">
        <is>
          <t>SÖDERMANLANDS LÄN</t>
        </is>
      </c>
      <c r="G426" t="inlineStr">
        <is>
          <t>ESKILSTUNA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46322</v>
      </c>
      <c r="F427" t="inlineStr">
        <is>
          <t>SÖDERMANLANDS LÄN</t>
        </is>
      </c>
      <c r="G427" t="inlineStr">
        <is>
          <t>ESKILSTUNA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53181-2024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45611</v>
      </c>
      <c r="E428" s="1" t="n">
        <v>46322</v>
      </c>
      <c r="F428" t="inlineStr">
        <is>
          <t>SÖDERMANLANDS LÄN</t>
        </is>
      </c>
      <c r="G428" t="inlineStr">
        <is>
          <t>ESKILSTUNA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44998</v>
      </c>
      <c r="E429" s="1" t="n">
        <v>46322</v>
      </c>
      <c r="F429" t="inlineStr">
        <is>
          <t>SÖDERMANLANDS LÄN</t>
        </is>
      </c>
      <c r="G429" t="inlineStr">
        <is>
          <t>ESKILSTUNA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61298-2022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44915</v>
      </c>
      <c r="E430" s="1" t="n">
        <v>46322</v>
      </c>
      <c r="F430" t="inlineStr">
        <is>
          <t>SÖDERMANLANDS LÄN</t>
        </is>
      </c>
      <c r="G430" t="inlineStr">
        <is>
          <t>ESKILSTUNA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46322</v>
      </c>
      <c r="F431" t="inlineStr">
        <is>
          <t>SÖDERMANLANDS LÄN</t>
        </is>
      </c>
      <c r="G431" t="inlineStr">
        <is>
          <t>ESKILSTUNA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46322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44592</v>
      </c>
      <c r="E433" s="1" t="n">
        <v>46322</v>
      </c>
      <c r="F433" t="inlineStr">
        <is>
          <t>SÖDERMANLANDS LÄN</t>
        </is>
      </c>
      <c r="G433" t="inlineStr">
        <is>
          <t>ESKILSTUNA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45464</v>
      </c>
      <c r="E434" s="1" t="n">
        <v>46322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46322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61829-2023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45266</v>
      </c>
      <c r="E436" s="1" t="n">
        <v>46322</v>
      </c>
      <c r="F436" t="inlineStr">
        <is>
          <t>SÖDERMANLANDS LÄN</t>
        </is>
      </c>
      <c r="G436" t="inlineStr">
        <is>
          <t>ESKILSTUNA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61831-2023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45266</v>
      </c>
      <c r="E437" s="1" t="n">
        <v>46322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61367-2021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44499</v>
      </c>
      <c r="E438" s="1" t="n">
        <v>46322</v>
      </c>
      <c r="F438" t="inlineStr">
        <is>
          <t>SÖDERMANLANDS LÄN</t>
        </is>
      </c>
      <c r="G438" t="inlineStr">
        <is>
          <t>ESKILSTUNA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70560-2021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44536</v>
      </c>
      <c r="E439" s="1" t="n">
        <v>46322</v>
      </c>
      <c r="F439" t="inlineStr">
        <is>
          <t>SÖDERMANLANDS LÄN</t>
        </is>
      </c>
      <c r="G439" t="inlineStr">
        <is>
          <t>ESKILSTUNA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45713</v>
      </c>
      <c r="E440" s="1" t="n">
        <v>46322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44617</v>
      </c>
      <c r="E441" s="1" t="n">
        <v>46322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44739</v>
      </c>
      <c r="E442" s="1" t="n">
        <v>46322</v>
      </c>
      <c r="F442" t="inlineStr">
        <is>
          <t>SÖDERMANLANDS LÄN</t>
        </is>
      </c>
      <c r="G442" t="inlineStr">
        <is>
          <t>ESKILSTUNA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46322</v>
      </c>
      <c r="F443" t="inlineStr">
        <is>
          <t>SÖDERMANLANDS LÄN</t>
        </is>
      </c>
      <c r="G443" t="inlineStr">
        <is>
          <t>ESKILSTUNA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44930</v>
      </c>
      <c r="E444" s="1" t="n">
        <v>46322</v>
      </c>
      <c r="F444" t="inlineStr">
        <is>
          <t>SÖDERMANLANDS LÄN</t>
        </is>
      </c>
      <c r="G444" t="inlineStr">
        <is>
          <t>ESKILSTUNA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45905</v>
      </c>
      <c r="E445" s="1" t="n">
        <v>46322</v>
      </c>
      <c r="F445" t="inlineStr">
        <is>
          <t>SÖDERMANLANDS LÄN</t>
        </is>
      </c>
      <c r="G445" t="inlineStr">
        <is>
          <t>ESKILSTUNA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57524-2022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44889</v>
      </c>
      <c r="E446" s="1" t="n">
        <v>46322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52274-2024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45608</v>
      </c>
      <c r="E447" s="1" t="n">
        <v>46322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Övriga Aktiebolag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45387</v>
      </c>
      <c r="E448" s="1" t="n">
        <v>46322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Kyrkan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47000-2022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44852</v>
      </c>
      <c r="E449" s="1" t="n">
        <v>46322</v>
      </c>
      <c r="F449" t="inlineStr">
        <is>
          <t>SÖDERMANLANDS LÄN</t>
        </is>
      </c>
      <c r="G449" t="inlineStr">
        <is>
          <t>ESKILSTUNA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46311</v>
      </c>
      <c r="E450" s="1" t="n">
        <v>46322</v>
      </c>
      <c r="F450" t="inlineStr">
        <is>
          <t>SÖDERMANLANDS LÄN</t>
        </is>
      </c>
      <c r="G450" t="inlineStr">
        <is>
          <t>ESKILSTUNA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44729</v>
      </c>
      <c r="E451" s="1" t="n">
        <v>46322</v>
      </c>
      <c r="F451" t="inlineStr">
        <is>
          <t>SÖDERMANLANDS LÄN</t>
        </is>
      </c>
      <c r="G451" t="inlineStr">
        <is>
          <t>ESKILSTUNA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46310</v>
      </c>
      <c r="E452" s="1" t="n">
        <v>46322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11.1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46310</v>
      </c>
      <c r="E453" s="1" t="n">
        <v>46322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Allmännings- och besparingsskogar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46322</v>
      </c>
      <c r="F454" t="inlineStr">
        <is>
          <t>SÖDERMANLANDS LÄN</t>
        </is>
      </c>
      <c r="G454" t="inlineStr">
        <is>
          <t>ESKILSTUNA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27255-2022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44741</v>
      </c>
      <c r="E455" s="1" t="n">
        <v>46322</v>
      </c>
      <c r="F455" t="inlineStr">
        <is>
          <t>SÖDERMANLANDS LÄN</t>
        </is>
      </c>
      <c r="G455" t="inlineStr">
        <is>
          <t>ESKILSTUNA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46322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62278-2023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45267</v>
      </c>
      <c r="E457" s="1" t="n">
        <v>46322</v>
      </c>
      <c r="F457" t="inlineStr">
        <is>
          <t>SÖDERMANLANDS LÄN</t>
        </is>
      </c>
      <c r="G457" t="inlineStr">
        <is>
          <t>ESKILSTUNA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45329</v>
      </c>
      <c r="E458" s="1" t="n">
        <v>46322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Kyrkan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44927-2023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45190</v>
      </c>
      <c r="E459" s="1" t="n">
        <v>46322</v>
      </c>
      <c r="F459" t="inlineStr">
        <is>
          <t>SÖDERMANLANDS LÄN</t>
        </is>
      </c>
      <c r="G459" t="inlineStr">
        <is>
          <t>ESKILSTUNA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45183</v>
      </c>
      <c r="E460" s="1" t="n">
        <v>46322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46881-2022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44851</v>
      </c>
      <c r="E461" s="1" t="n">
        <v>46322</v>
      </c>
      <c r="F461" t="inlineStr">
        <is>
          <t>SÖDERMANLANDS LÄN</t>
        </is>
      </c>
      <c r="G461" t="inlineStr">
        <is>
          <t>ESKILSTUNA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45723</v>
      </c>
      <c r="E462" s="1" t="n">
        <v>46322</v>
      </c>
      <c r="F462" t="inlineStr">
        <is>
          <t>SÖDERMANLANDS LÄN</t>
        </is>
      </c>
      <c r="G462" t="inlineStr">
        <is>
          <t>ESKILSTUNA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10019-2024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45363</v>
      </c>
      <c r="E463" s="1" t="n">
        <v>46322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46322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Kyrkan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46322</v>
      </c>
      <c r="F465" t="inlineStr">
        <is>
          <t>SÖDERMANLANDS LÄN</t>
        </is>
      </c>
      <c r="G465" t="inlineStr">
        <is>
          <t>ESKILSTUNA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46279</v>
      </c>
      <c r="E466" s="1" t="n">
        <v>46322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1333-2020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43993</v>
      </c>
      <c r="E467" s="1" t="n">
        <v>46322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383-2023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44959</v>
      </c>
      <c r="E468" s="1" t="n">
        <v>46322</v>
      </c>
      <c r="F468" t="inlineStr">
        <is>
          <t>SÖDERMANLANDS LÄN</t>
        </is>
      </c>
      <c r="G468" t="inlineStr">
        <is>
          <t>ESKILSTUNA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3665-2023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45217</v>
      </c>
      <c r="E469" s="1" t="n">
        <v>46322</v>
      </c>
      <c r="F469" t="inlineStr">
        <is>
          <t>SÖDERMANLANDS LÄN</t>
        </is>
      </c>
      <c r="G469" t="inlineStr">
        <is>
          <t>ESKILSTUNA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4583-2023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45282</v>
      </c>
      <c r="E470" s="1" t="n">
        <v>46322</v>
      </c>
      <c r="F470" t="inlineStr">
        <is>
          <t>SÖDERMANLANDS LÄN</t>
        </is>
      </c>
      <c r="G470" t="inlineStr">
        <is>
          <t>ESKILSTUNA</t>
        </is>
      </c>
      <c r="I470" t="n">
        <v>31.4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1601-2025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45798</v>
      </c>
      <c r="E471" s="1" t="n">
        <v>46322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1602-2025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45798</v>
      </c>
      <c r="E472" s="1" t="n">
        <v>46322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291-2025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45686</v>
      </c>
      <c r="E473" s="1" t="n">
        <v>46322</v>
      </c>
      <c r="F473" t="inlineStr">
        <is>
          <t>SÖDERMANLANDS LÄN</t>
        </is>
      </c>
      <c r="G473" t="inlineStr">
        <is>
          <t>ESKILSTUNA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2917-2024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45504</v>
      </c>
      <c r="E474" s="1" t="n">
        <v>46322</v>
      </c>
      <c r="F474" t="inlineStr">
        <is>
          <t>SÖDERMANLANDS LÄN</t>
        </is>
      </c>
      <c r="G474" t="inlineStr">
        <is>
          <t>ESKILSTUNA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1920-2025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45826</v>
      </c>
      <c r="E475" s="1" t="n">
        <v>46322</v>
      </c>
      <c r="F475" t="inlineStr">
        <is>
          <t>SÖDERMANLANDS LÄN</t>
        </is>
      </c>
      <c r="G475" t="inlineStr">
        <is>
          <t>ESKILSTUNA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1030-2026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46125</v>
      </c>
      <c r="E476" s="1" t="n">
        <v>46322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1870-2026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46199</v>
      </c>
      <c r="E477" s="1" t="n">
        <v>46322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1871-2026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46199</v>
      </c>
      <c r="E478" s="1" t="n">
        <v>46322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2026-10-27T03:10:54Z</dcterms:created>
  <dcterms:modified xmlns:dcterms="http://purl.org/dc/terms/" xmlns:xsi="http://www.w3.org/2001/XMLSchema-instance" xsi:type="dcterms:W3CDTF">2026-10-27T03:10:55Z</dcterms:modified>
</cp:coreProperties>
</file>