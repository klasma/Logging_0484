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46265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46265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46265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46265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46265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46265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46265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46265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46265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46265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46265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46265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46265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46265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46265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46265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46265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24539-2025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46265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7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24539-2025 artfynd.xlsx", "A 24539-2025")</f>
        <v/>
      </c>
      <c r="X25">
        <f>HYPERLINK("https://klasma.github.io/Logging_0484/kartor/A 24539-2025 karta.png", "A 24539-2025")</f>
        <v/>
      </c>
      <c r="Y25">
        <f>HYPERLINK("https://klasma.github.io/Logging_0484/kartor_geotiff/A 24539-2025 georefererad karta.tif", "A 24539-2025")</f>
        <v/>
      </c>
      <c r="AA25">
        <f>HYPERLINK("https://klasma.github.io/Logging_0484/klagomål/A 24539-2025 FSC-klagomål.docx", "A 24539-2025")</f>
        <v/>
      </c>
      <c r="AB25">
        <f>HYPERLINK("https://klasma.github.io/Logging_0484/klagomålsmail/A 24539-2025 FSC-klagomål mail.docx", "A 24539-2025")</f>
        <v/>
      </c>
      <c r="AC25">
        <f>HYPERLINK("https://klasma.github.io/Logging_0484/tillsyn/A 24539-2025 tillsynsbegäran.docx", "A 24539-2025")</f>
        <v/>
      </c>
      <c r="AD25">
        <f>HYPERLINK("https://klasma.github.io/Logging_0484/tillsynsmail/A 24539-2025 tillsynsbegäran mail.docx", "A 24539-2025")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46265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46265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46265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46265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46265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46265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46265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46265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51326-2024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46265</v>
      </c>
      <c r="F35" t="inlineStr">
        <is>
          <t>SÖDERMANLANDS LÄN</t>
        </is>
      </c>
      <c r="G35" t="inlineStr">
        <is>
          <t>ESKILSTUNA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Myskbock
Blåsippa</t>
        </is>
      </c>
      <c r="W35">
        <f>HYPERLINK("https://klasma.github.io/Logging_0484/artfynd/A 51326-2024 artfynd.xlsx", "A 51326-2024")</f>
        <v/>
      </c>
      <c r="X35">
        <f>HYPERLINK("https://klasma.github.io/Logging_0484/kartor/A 51326-2024 karta.png", "A 51326-2024")</f>
        <v/>
      </c>
      <c r="Y35">
        <f>HYPERLINK("https://klasma.github.io/Logging_0484/kartor_geotiff/A 51326-2024 georefererad karta.tif", "A 51326-2024")</f>
        <v/>
      </c>
      <c r="AA35">
        <f>HYPERLINK("https://klasma.github.io/Logging_0484/klagomål/A 51326-2024 FSC-klagomål.docx", "A 51326-2024")</f>
        <v/>
      </c>
      <c r="AB35">
        <f>HYPERLINK("https://klasma.github.io/Logging_0484/klagomålsmail/A 51326-2024 FSC-klagomål mail.docx", "A 51326-2024")</f>
        <v/>
      </c>
      <c r="AC35">
        <f>HYPERLINK("https://klasma.github.io/Logging_0484/tillsyn/A 51326-2024 tillsynsbegäran.docx", "A 51326-2024")</f>
        <v/>
      </c>
      <c r="AD35">
        <f>HYPERLINK("https://klasma.github.io/Logging_0484/tillsynsmail/A 51326-2024 tillsynsbegäran mail.docx", "A 51326-2024")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46265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61105-2025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46265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Krusfrö
Tibast</t>
        </is>
      </c>
      <c r="W37">
        <f>HYPERLINK("https://klasma.github.io/Logging_0484/artfynd/A 61105-2025 artfynd.xlsx", "A 61105-2025")</f>
        <v/>
      </c>
      <c r="X37">
        <f>HYPERLINK("https://klasma.github.io/Logging_0484/kartor/A 61105-2025 karta.png", "A 61105-2025")</f>
        <v/>
      </c>
      <c r="Y37">
        <f>HYPERLINK("https://klasma.github.io/Logging_0484/kartor_geotiff/A 61105-2025 georefererad karta.tif", "A 61105-2025")</f>
        <v/>
      </c>
      <c r="AA37">
        <f>HYPERLINK("https://klasma.github.io/Logging_0484/klagomål/A 61105-2025 FSC-klagomål.docx", "A 61105-2025")</f>
        <v/>
      </c>
      <c r="AB37">
        <f>HYPERLINK("https://klasma.github.io/Logging_0484/klagomålsmail/A 61105-2025 FSC-klagomål mail.docx", "A 61105-2025")</f>
        <v/>
      </c>
      <c r="AC37">
        <f>HYPERLINK("https://klasma.github.io/Logging_0484/tillsyn/A 61105-2025 tillsynsbegäran.docx", "A 61105-2025")</f>
        <v/>
      </c>
      <c r="AD37">
        <f>HYPERLINK("https://klasma.github.io/Logging_0484/tillsynsmail/A 61105-2025 tillsynsbegäran mail.docx", "A 61105-2025")</f>
        <v/>
      </c>
    </row>
    <row r="38" ht="15" customHeight="1">
      <c r="A38" t="inlineStr">
        <is>
          <t>A 34986-2025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46265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Svart trolldruva
Spillkråka</t>
        </is>
      </c>
      <c r="W38">
        <f>HYPERLINK("https://klasma.github.io/Logging_0484/artfynd/A 34986-2025 artfynd.xlsx", "A 34986-2025")</f>
        <v/>
      </c>
      <c r="X38">
        <f>HYPERLINK("https://klasma.github.io/Logging_0484/kartor/A 34986-2025 karta.png", "A 34986-2025")</f>
        <v/>
      </c>
      <c r="Y38">
        <f>HYPERLINK("https://klasma.github.io/Logging_0484/kartor_geotiff/A 34986-2025 georefererad karta.tif", "A 34986-2025")</f>
        <v/>
      </c>
      <c r="AA38">
        <f>HYPERLINK("https://klasma.github.io/Logging_0484/klagomål/A 34986-2025 FSC-klagomål.docx", "A 34986-2025")</f>
        <v/>
      </c>
      <c r="AB38">
        <f>HYPERLINK("https://klasma.github.io/Logging_0484/klagomålsmail/A 34986-2025 FSC-klagomål mail.docx", "A 34986-2025")</f>
        <v/>
      </c>
      <c r="AC38">
        <f>HYPERLINK("https://klasma.github.io/Logging_0484/tillsyn/A 34986-2025 tillsynsbegäran.docx", "A 34986-2025")</f>
        <v/>
      </c>
      <c r="AD38">
        <f>HYPERLINK("https://klasma.github.io/Logging_0484/tillsynsmail/A 34986-2025 tillsynsbegäran mail.docx", "A 34986-2025")</f>
        <v/>
      </c>
      <c r="AE38">
        <f>HYPERLINK("https://klasma.github.io/Logging_0484/fåglar/A 34986-2025 prioriterade fågelarter.docx", "A 34986-2025")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46265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46265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46265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46265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46265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65380-2021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46265</v>
      </c>
      <c r="F44" t="inlineStr">
        <is>
          <t>SÖDERMANLANDS LÄN</t>
        </is>
      </c>
      <c r="G44" t="inlineStr">
        <is>
          <t>ESKILSTUNA</t>
        </is>
      </c>
      <c r="H44" t="inlineStr">
        <is>
          <t>Kyrkan</t>
        </is>
      </c>
      <c r="I44" t="n">
        <v>5.4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Älg
Blåsippa</t>
        </is>
      </c>
      <c r="W44">
        <f>HYPERLINK("https://klasma.github.io/Logging_0484/artfynd/A 65380-2021 artfynd.xlsx", "A 65380-2021")</f>
        <v/>
      </c>
      <c r="X44">
        <f>HYPERLINK("https://klasma.github.io/Logging_0484/kartor/A 65380-2021 karta.png", "A 65380-2021")</f>
        <v/>
      </c>
      <c r="Y44">
        <f>HYPERLINK("https://klasma.github.io/Logging_0484/kartor_geotiff/A 65380-2021 georefererad karta.tif", "A 65380-2021")</f>
        <v/>
      </c>
      <c r="AA44">
        <f>HYPERLINK("https://klasma.github.io/Logging_0484/klagomål/A 65380-2021 FSC-klagomål.docx", "A 65380-2021")</f>
        <v/>
      </c>
      <c r="AB44">
        <f>HYPERLINK("https://klasma.github.io/Logging_0484/klagomålsmail/A 65380-2021 FSC-klagomål mail.docx", "A 65380-2021")</f>
        <v/>
      </c>
      <c r="AC44">
        <f>HYPERLINK("https://klasma.github.io/Logging_0484/tillsyn/A 65380-2021 tillsynsbegäran.docx", "A 65380-2021")</f>
        <v/>
      </c>
      <c r="AD44">
        <f>HYPERLINK("https://klasma.github.io/Logging_0484/tillsynsmail/A 65380-2021 tillsynsbegäran mail.docx", "A 65380-2021")</f>
        <v/>
      </c>
    </row>
    <row r="45" ht="15" customHeight="1">
      <c r="A45" t="inlineStr">
        <is>
          <t>A 32314-2023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45120</v>
      </c>
      <c r="E45" s="1" t="n">
        <v>46265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4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Grovticka
Svavelriska</t>
        </is>
      </c>
      <c r="W45">
        <f>HYPERLINK("https://klasma.github.io/Logging_0484/artfynd/A 32314-2023 artfynd.xlsx", "A 32314-2023")</f>
        <v/>
      </c>
      <c r="X45">
        <f>HYPERLINK("https://klasma.github.io/Logging_0484/kartor/A 32314-2023 karta.png", "A 32314-2023")</f>
        <v/>
      </c>
      <c r="Y45">
        <f>HYPERLINK("https://klasma.github.io/Logging_0484/kartor_geotiff/A 32314-2023 georefererad karta.tif", "A 32314-2023")</f>
        <v/>
      </c>
      <c r="AA45">
        <f>HYPERLINK("https://klasma.github.io/Logging_0484/klagomål/A 32314-2023 FSC-klagomål.docx", "A 32314-2023")</f>
        <v/>
      </c>
      <c r="AB45">
        <f>HYPERLINK("https://klasma.github.io/Logging_0484/klagomålsmail/A 32314-2023 FSC-klagomål mail.docx", "A 32314-2023")</f>
        <v/>
      </c>
      <c r="AC45">
        <f>HYPERLINK("https://klasma.github.io/Logging_0484/tillsyn/A 32314-2023 tillsynsbegäran.docx", "A 32314-2023")</f>
        <v/>
      </c>
      <c r="AD45">
        <f>HYPERLINK("https://klasma.github.io/Logging_0484/tillsynsmail/A 32314-2023 tillsynsbegäran mail.docx", "A 32314-2023")</f>
        <v/>
      </c>
    </row>
    <row r="46" ht="15" customHeight="1">
      <c r="A46" t="inlineStr">
        <is>
          <t>A 62009-2024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45655</v>
      </c>
      <c r="E46" s="1" t="n">
        <v>46265</v>
      </c>
      <c r="F46" t="inlineStr">
        <is>
          <t>SÖDERMANLANDS LÄN</t>
        </is>
      </c>
      <c r="G46" t="inlineStr">
        <is>
          <t>ESKILSTUNA</t>
        </is>
      </c>
      <c r="H46" t="inlineStr">
        <is>
          <t>Holmen skog AB</t>
        </is>
      </c>
      <c r="I46" t="n">
        <v>11.9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1</v>
      </c>
      <c r="V46" s="2" t="inlineStr">
        <is>
          <t>Mattlummer
Revlummer</t>
        </is>
      </c>
      <c r="W46">
        <f>HYPERLINK("https://klasma.github.io/Logging_0484/artfynd/A 62009-2024 artfynd.xlsx", "A 62009-2024")</f>
        <v/>
      </c>
      <c r="X46">
        <f>HYPERLINK("https://klasma.github.io/Logging_0484/kartor/A 62009-2024 karta.png", "A 62009-2024")</f>
        <v/>
      </c>
      <c r="Y46">
        <f>HYPERLINK("https://klasma.github.io/Logging_0484/kartor_geotiff/A 62009-2024 georefererad karta.tif", "A 62009-2024")</f>
        <v/>
      </c>
      <c r="AA46">
        <f>HYPERLINK("https://klasma.github.io/Logging_0484/klagomål/A 62009-2024 FSC-klagomål.docx", "A 62009-2024")</f>
        <v/>
      </c>
      <c r="AB46">
        <f>HYPERLINK("https://klasma.github.io/Logging_0484/klagomålsmail/A 62009-2024 FSC-klagomål mail.docx", "A 62009-2024")</f>
        <v/>
      </c>
      <c r="AC46">
        <f>HYPERLINK("https://klasma.github.io/Logging_0484/tillsyn/A 62009-2024 tillsynsbegäran.docx", "A 62009-2024")</f>
        <v/>
      </c>
      <c r="AD46">
        <f>HYPERLINK("https://klasma.github.io/Logging_0484/tillsynsmail/A 62009-2024 tillsynsbegäran mail.docx", "A 62009-2024")</f>
        <v/>
      </c>
    </row>
    <row r="47" ht="15" customHeight="1">
      <c r="A47" t="inlineStr">
        <is>
          <t>A 19494-2024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46265</v>
      </c>
      <c r="F47" t="inlineStr">
        <is>
          <t>SÖDERMANLANDS LÄN</t>
        </is>
      </c>
      <c r="G47" t="inlineStr">
        <is>
          <t>ESKILSTUNA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 trolldruva
Blåsippa</t>
        </is>
      </c>
      <c r="W47">
        <f>HYPERLINK("https://klasma.github.io/Logging_0484/artfynd/A 19494-2024 artfynd.xlsx", "A 19494-2024")</f>
        <v/>
      </c>
      <c r="X47">
        <f>HYPERLINK("https://klasma.github.io/Logging_0484/kartor/A 19494-2024 karta.png", "A 19494-2024")</f>
        <v/>
      </c>
      <c r="Y47">
        <f>HYPERLINK("https://klasma.github.io/Logging_0484/kartor_geotiff/A 19494-2024 georefererad karta.tif", "A 19494-2024")</f>
        <v/>
      </c>
      <c r="AA47">
        <f>HYPERLINK("https://klasma.github.io/Logging_0484/klagomål/A 19494-2024 FSC-klagomål.docx", "A 19494-2024")</f>
        <v/>
      </c>
      <c r="AB47">
        <f>HYPERLINK("https://klasma.github.io/Logging_0484/klagomålsmail/A 19494-2024 FSC-klagomål mail.docx", "A 19494-2024")</f>
        <v/>
      </c>
      <c r="AC47">
        <f>HYPERLINK("https://klasma.github.io/Logging_0484/tillsyn/A 19494-2024 tillsynsbegäran.docx", "A 19494-2024")</f>
        <v/>
      </c>
      <c r="AD47">
        <f>HYPERLINK("https://klasma.github.io/Logging_0484/tillsynsmail/A 19494-2024 tillsynsbegäran mail.docx", "A 19494-2024")</f>
        <v/>
      </c>
    </row>
    <row r="48" ht="15" customHeight="1">
      <c r="A48" t="inlineStr">
        <is>
          <t>A 22760-2026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46265</v>
      </c>
      <c r="F48" t="inlineStr">
        <is>
          <t>SÖDERMANLANDS LÄN</t>
        </is>
      </c>
      <c r="G48" t="inlineStr">
        <is>
          <t>ESKILSTUNA</t>
        </is>
      </c>
      <c r="I48" t="n">
        <v>4.4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Solvända</t>
        </is>
      </c>
      <c r="W48">
        <f>HYPERLINK("https://klasma.github.io/Logging_0484/artfynd/A 22760-2026 artfynd.xlsx", "A 22760-2026")</f>
        <v/>
      </c>
      <c r="X48">
        <f>HYPERLINK("https://klasma.github.io/Logging_0484/kartor/A 22760-2026 karta.png", "A 22760-2026")</f>
        <v/>
      </c>
      <c r="Y48">
        <f>HYPERLINK("https://klasma.github.io/Logging_0484/kartor_geotiff/A 22760-2026 georefererad karta.tif", "A 22760-2026")</f>
        <v/>
      </c>
      <c r="AA48">
        <f>HYPERLINK("https://klasma.github.io/Logging_0484/klagomål/A 22760-2026 FSC-klagomål.docx", "A 22760-2026")</f>
        <v/>
      </c>
      <c r="AB48">
        <f>HYPERLINK("https://klasma.github.io/Logging_0484/klagomålsmail/A 22760-2026 FSC-klagomål mail.docx", "A 22760-2026")</f>
        <v/>
      </c>
      <c r="AC48">
        <f>HYPERLINK("https://klasma.github.io/Logging_0484/tillsyn/A 22760-2026 tillsynsbegäran.docx", "A 22760-2026")</f>
        <v/>
      </c>
      <c r="AD48">
        <f>HYPERLINK("https://klasma.github.io/Logging_0484/tillsynsmail/A 22760-2026 tillsynsbegäran mail.docx", "A 22760-2026")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46265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46265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46265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46265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46265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46265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46265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46265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46265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46265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46265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46265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52840-2025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46265</v>
      </c>
      <c r="F61" t="inlineStr">
        <is>
          <t>SÖDERMANLANDS LÄN</t>
        </is>
      </c>
      <c r="G61" t="inlineStr">
        <is>
          <t>ESKILSTUNA</t>
        </is>
      </c>
      <c r="I61" t="n">
        <v>1.3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Skrovlig taggsvamp</t>
        </is>
      </c>
      <c r="W61">
        <f>HYPERLINK("https://klasma.github.io/Logging_0484/artfynd/A 52840-2025 artfynd.xlsx", "A 52840-2025")</f>
        <v/>
      </c>
      <c r="X61">
        <f>HYPERLINK("https://klasma.github.io/Logging_0484/kartor/A 52840-2025 karta.png", "A 52840-2025")</f>
        <v/>
      </c>
      <c r="Y61">
        <f>HYPERLINK("https://klasma.github.io/Logging_0484/kartor_geotiff/A 52840-2025 georefererad karta.tif", "A 52840-2025")</f>
        <v/>
      </c>
      <c r="AA61">
        <f>HYPERLINK("https://klasma.github.io/Logging_0484/klagomål/A 52840-2025 FSC-klagomål.docx", "A 52840-2025")</f>
        <v/>
      </c>
      <c r="AB61">
        <f>HYPERLINK("https://klasma.github.io/Logging_0484/klagomålsmail/A 52840-2025 FSC-klagomål mail.docx", "A 52840-2025")</f>
        <v/>
      </c>
      <c r="AC61">
        <f>HYPERLINK("https://klasma.github.io/Logging_0484/tillsyn/A 52840-2025 tillsynsbegäran.docx", "A 52840-2025")</f>
        <v/>
      </c>
      <c r="AD61">
        <f>HYPERLINK("https://klasma.github.io/Logging_0484/tillsynsmail/A 52840-2025 tillsynsbegäran mail.docx", "A 52840-2025")</f>
        <v/>
      </c>
    </row>
    <row r="62" ht="15" customHeight="1">
      <c r="A62" t="inlineStr">
        <is>
          <t>A 2512-2025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45674</v>
      </c>
      <c r="E62" s="1" t="n">
        <v>46265</v>
      </c>
      <c r="F62" t="inlineStr">
        <is>
          <t>SÖDERMANLANDS LÄN</t>
        </is>
      </c>
      <c r="G62" t="inlineStr">
        <is>
          <t>ESKILSTUNA</t>
        </is>
      </c>
      <c r="I62" t="n">
        <v>3.9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 trolldruva</t>
        </is>
      </c>
      <c r="W62">
        <f>HYPERLINK("https://klasma.github.io/Logging_0484/artfynd/A 2512-2025 artfynd.xlsx", "A 2512-2025")</f>
        <v/>
      </c>
      <c r="X62">
        <f>HYPERLINK("https://klasma.github.io/Logging_0484/kartor/A 2512-2025 karta.png", "A 2512-2025")</f>
        <v/>
      </c>
      <c r="Y62">
        <f>HYPERLINK("https://klasma.github.io/Logging_0484/kartor_geotiff/A 2512-2025 georefererad karta.tif", "A 2512-2025")</f>
        <v/>
      </c>
      <c r="AA62">
        <f>HYPERLINK("https://klasma.github.io/Logging_0484/klagomål/A 2512-2025 FSC-klagomål.docx", "A 2512-2025")</f>
        <v/>
      </c>
      <c r="AB62">
        <f>HYPERLINK("https://klasma.github.io/Logging_0484/klagomålsmail/A 2512-2025 FSC-klagomål mail.docx", "A 2512-2025")</f>
        <v/>
      </c>
      <c r="AC62">
        <f>HYPERLINK("https://klasma.github.io/Logging_0484/tillsyn/A 2512-2025 tillsynsbegäran.docx", "A 2512-2025")</f>
        <v/>
      </c>
      <c r="AD62">
        <f>HYPERLINK("https://klasma.github.io/Logging_0484/tillsynsmail/A 2512-2025 tillsynsbegäran mail.docx", "A 2512-2025")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46265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46265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46265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31056-2025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46265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HYPERLINK("https://klasma.github.io/Logging_0484/artfynd/A 31056-2025 artfynd.xlsx", "A 31056-2025")</f>
        <v/>
      </c>
      <c r="X66">
        <f>HYPERLINK("https://klasma.github.io/Logging_0484/kartor/A 31056-2025 karta.png", "A 31056-2025")</f>
        <v/>
      </c>
      <c r="Y66">
        <f>HYPERLINK("https://klasma.github.io/Logging_0484/kartor_geotiff/A 31056-2025 georefererad karta.tif", "A 31056-2025")</f>
        <v/>
      </c>
      <c r="AA66">
        <f>HYPERLINK("https://klasma.github.io/Logging_0484/klagomål/A 31056-2025 FSC-klagomål.docx", "A 31056-2025")</f>
        <v/>
      </c>
      <c r="AB66">
        <f>HYPERLINK("https://klasma.github.io/Logging_0484/klagomålsmail/A 31056-2025 FSC-klagomål mail.docx", "A 31056-2025")</f>
        <v/>
      </c>
      <c r="AC66">
        <f>HYPERLINK("https://klasma.github.io/Logging_0484/tillsyn/A 31056-2025 tillsynsbegäran.docx", "A 31056-2025")</f>
        <v/>
      </c>
      <c r="AD66">
        <f>HYPERLINK("https://klasma.github.io/Logging_0484/tillsynsmail/A 31056-2025 tillsynsbegäran mail.docx", "A 31056-2025")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46265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46265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46265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46265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8518-2026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46265</v>
      </c>
      <c r="F71" t="inlineStr">
        <is>
          <t>SÖDERMANLANDS LÄN</t>
        </is>
      </c>
      <c r="G71" t="inlineStr">
        <is>
          <t>ESKILSTUNA</t>
        </is>
      </c>
      <c r="I71" t="n">
        <v>8.9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8518-2026 artfynd.xlsx", "A 8518-2026")</f>
        <v/>
      </c>
      <c r="X71">
        <f>HYPERLINK("https://klasma.github.io/Logging_0484/kartor/A 8518-2026 karta.png", "A 8518-2026")</f>
        <v/>
      </c>
      <c r="Y71">
        <f>HYPERLINK("https://klasma.github.io/Logging_0484/kartor_geotiff/A 8518-2026 georefererad karta.tif", "A 8518-2026")</f>
        <v/>
      </c>
      <c r="AA71">
        <f>HYPERLINK("https://klasma.github.io/Logging_0484/klagomål/A 8518-2026 FSC-klagomål.docx", "A 8518-2026")</f>
        <v/>
      </c>
      <c r="AB71">
        <f>HYPERLINK("https://klasma.github.io/Logging_0484/klagomålsmail/A 8518-2026 FSC-klagomål mail.docx", "A 8518-2026")</f>
        <v/>
      </c>
      <c r="AC71">
        <f>HYPERLINK("https://klasma.github.io/Logging_0484/tillsyn/A 8518-2026 tillsynsbegäran.docx", "A 8518-2026")</f>
        <v/>
      </c>
      <c r="AD71">
        <f>HYPERLINK("https://klasma.github.io/Logging_0484/tillsynsmail/A 8518-2026 tillsynsbegäran mail.docx", "A 8518-2026")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46265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46265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46265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15608-2026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46265</v>
      </c>
      <c r="F75" t="inlineStr">
        <is>
          <t>SÖDERMANLANDS LÄN</t>
        </is>
      </c>
      <c r="G75" t="inlineStr">
        <is>
          <t>ESKILSTUNA</t>
        </is>
      </c>
      <c r="I75" t="n">
        <v>9.6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HYPERLINK("https://klasma.github.io/Logging_0484/artfynd/A 15608-2026 artfynd.xlsx", "A 15608-2026")</f>
        <v/>
      </c>
      <c r="X75">
        <f>HYPERLINK("https://klasma.github.io/Logging_0484/kartor/A 15608-2026 karta.png", "A 15608-2026")</f>
        <v/>
      </c>
      <c r="Y75">
        <f>HYPERLINK("https://klasma.github.io/Logging_0484/kartor_geotiff/A 15608-2026 georefererad karta.tif", "A 15608-2026")</f>
        <v/>
      </c>
      <c r="AA75">
        <f>HYPERLINK("https://klasma.github.io/Logging_0484/klagomål/A 15608-2026 FSC-klagomål.docx", "A 15608-2026")</f>
        <v/>
      </c>
      <c r="AB75">
        <f>HYPERLINK("https://klasma.github.io/Logging_0484/klagomålsmail/A 15608-2026 FSC-klagomål mail.docx", "A 15608-2026")</f>
        <v/>
      </c>
      <c r="AC75">
        <f>HYPERLINK("https://klasma.github.io/Logging_0484/tillsyn/A 15608-2026 tillsynsbegäran.docx", "A 15608-2026")</f>
        <v/>
      </c>
      <c r="AD75">
        <f>HYPERLINK("https://klasma.github.io/Logging_0484/tillsynsmail/A 15608-2026 tillsynsbegäran mail.docx", "A 15608-2026")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46265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30975-2023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46265</v>
      </c>
      <c r="F77" t="inlineStr">
        <is>
          <t>SÖDERMANLANDS LÄN</t>
        </is>
      </c>
      <c r="G77" t="inlineStr">
        <is>
          <t>ESKILSTUNA</t>
        </is>
      </c>
      <c r="I77" t="n">
        <v>0.9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Bombmurkla</t>
        </is>
      </c>
      <c r="W77">
        <f>HYPERLINK("https://klasma.github.io/Logging_0484/artfynd/A 30975-2023 artfynd.xlsx", "A 30975-2023")</f>
        <v/>
      </c>
      <c r="X77">
        <f>HYPERLINK("https://klasma.github.io/Logging_0484/kartor/A 30975-2023 karta.png", "A 30975-2023")</f>
        <v/>
      </c>
      <c r="Y77">
        <f>HYPERLINK("https://klasma.github.io/Logging_0484/kartor_geotiff/A 30975-2023 georefererad karta.tif", "A 30975-2023")</f>
        <v/>
      </c>
      <c r="AA77">
        <f>HYPERLINK("https://klasma.github.io/Logging_0484/klagomål/A 30975-2023 FSC-klagomål.docx", "A 30975-2023")</f>
        <v/>
      </c>
      <c r="AB77">
        <f>HYPERLINK("https://klasma.github.io/Logging_0484/klagomålsmail/A 30975-2023 FSC-klagomål mail.docx", "A 30975-2023")</f>
        <v/>
      </c>
      <c r="AC77">
        <f>HYPERLINK("https://klasma.github.io/Logging_0484/tillsyn/A 30975-2023 tillsynsbegäran.docx", "A 30975-2023")</f>
        <v/>
      </c>
      <c r="AD77">
        <f>HYPERLINK("https://klasma.github.io/Logging_0484/tillsynsmail/A 30975-2023 tillsynsbegäran mail.docx", "A 30975-2023")</f>
        <v/>
      </c>
    </row>
    <row r="78" ht="15" customHeight="1">
      <c r="A78" t="inlineStr">
        <is>
          <t>A 50760-2023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46265</v>
      </c>
      <c r="F78" t="inlineStr">
        <is>
          <t>SÖDERMANLANDS LÄN</t>
        </is>
      </c>
      <c r="G78" t="inlineStr">
        <is>
          <t>ESKILSTUNA</t>
        </is>
      </c>
      <c r="I78" t="n">
        <v>4.1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Pärluggla</t>
        </is>
      </c>
      <c r="W78">
        <f>HYPERLINK("https://klasma.github.io/Logging_0484/artfynd/A 50760-2023 artfynd.xlsx", "A 50760-2023")</f>
        <v/>
      </c>
      <c r="X78">
        <f>HYPERLINK("https://klasma.github.io/Logging_0484/kartor/A 50760-2023 karta.png", "A 50760-2023")</f>
        <v/>
      </c>
      <c r="Y78">
        <f>HYPERLINK("https://klasma.github.io/Logging_0484/kartor_geotiff/A 50760-2023 georefererad karta.tif", "A 50760-2023")</f>
        <v/>
      </c>
      <c r="AA78">
        <f>HYPERLINK("https://klasma.github.io/Logging_0484/klagomål/A 50760-2023 FSC-klagomål.docx", "A 50760-2023")</f>
        <v/>
      </c>
      <c r="AB78">
        <f>HYPERLINK("https://klasma.github.io/Logging_0484/klagomålsmail/A 50760-2023 FSC-klagomål mail.docx", "A 50760-2023")</f>
        <v/>
      </c>
      <c r="AC78">
        <f>HYPERLINK("https://klasma.github.io/Logging_0484/tillsyn/A 50760-2023 tillsynsbegäran.docx", "A 50760-2023")</f>
        <v/>
      </c>
      <c r="AD78">
        <f>HYPERLINK("https://klasma.github.io/Logging_0484/tillsynsmail/A 50760-2023 tillsynsbegäran mail.docx", "A 50760-2023")</f>
        <v/>
      </c>
      <c r="AE78">
        <f>HYPERLINK("https://klasma.github.io/Logging_0484/fåglar/A 50760-2023 prioriterade fågelarter.docx", "A 50760-2023")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46265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HYPERLINK("https://klasma.github.io/Logging_0484/artfynd/A 55087-2022 artfynd.xlsx", "A 55087-2022")</f>
        <v/>
      </c>
      <c r="X79">
        <f>HYPERLINK("https://klasma.github.io/Logging_0484/kartor/A 55087-2022 karta.png", "A 55087-2022")</f>
        <v/>
      </c>
      <c r="Y79">
        <f>HYPERLINK("https://klasma.github.io/Logging_0484/kartor_geotiff/A 55087-2022 georefererad karta.tif", "A 55087-2022")</f>
        <v/>
      </c>
      <c r="AA79">
        <f>HYPERLINK("https://klasma.github.io/Logging_0484/klagomål/A 55087-2022 FSC-klagomål.docx", "A 55087-2022")</f>
        <v/>
      </c>
      <c r="AB79">
        <f>HYPERLINK("https://klasma.github.io/Logging_0484/klagomålsmail/A 55087-2022 FSC-klagomål mail.docx", "A 55087-2022")</f>
        <v/>
      </c>
      <c r="AC79">
        <f>HYPERLINK("https://klasma.github.io/Logging_0484/tillsyn/A 55087-2022 tillsynsbegäran.docx", "A 55087-2022")</f>
        <v/>
      </c>
      <c r="AD79">
        <f>HYPERLINK("https://klasma.github.io/Logging_0484/tillsynsmail/A 55087-2022 tillsynsbegäran mail.docx", "A 55087-2022")</f>
        <v/>
      </c>
      <c r="AE79">
        <f>HYPERLINK("https://klasma.github.io/Logging_0484/fåglar/A 55087-2022 prioriterade fågelarter.docx", "A 55087-2022")</f>
        <v/>
      </c>
    </row>
    <row r="80" ht="15" customHeight="1">
      <c r="A80" t="inlineStr">
        <is>
          <t>A 71976-2021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46265</v>
      </c>
      <c r="F80" t="inlineStr">
        <is>
          <t>SÖDERMANLANDS LÄN</t>
        </is>
      </c>
      <c r="G80" t="inlineStr">
        <is>
          <t>ESKILSTUNA</t>
        </is>
      </c>
      <c r="I80" t="n">
        <v>19.6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Jungfrulin</t>
        </is>
      </c>
      <c r="W80">
        <f>HYPERLINK("https://klasma.github.io/Logging_0484/artfynd/A 71976-2021 artfynd.xlsx", "A 71976-2021")</f>
        <v/>
      </c>
      <c r="X80">
        <f>HYPERLINK("https://klasma.github.io/Logging_0484/kartor/A 71976-2021 karta.png", "A 71976-2021")</f>
        <v/>
      </c>
      <c r="Y80">
        <f>HYPERLINK("https://klasma.github.io/Logging_0484/kartor_geotiff/A 71976-2021 georefererad karta.tif", "A 71976-2021")</f>
        <v/>
      </c>
      <c r="AA80">
        <f>HYPERLINK("https://klasma.github.io/Logging_0484/klagomål/A 71976-2021 FSC-klagomål.docx", "A 71976-2021")</f>
        <v/>
      </c>
      <c r="AB80">
        <f>HYPERLINK("https://klasma.github.io/Logging_0484/klagomålsmail/A 71976-2021 FSC-klagomål mail.docx", "A 71976-2021")</f>
        <v/>
      </c>
      <c r="AC80">
        <f>HYPERLINK("https://klasma.github.io/Logging_0484/tillsyn/A 71976-2021 tillsynsbegäran.docx", "A 71976-2021")</f>
        <v/>
      </c>
      <c r="AD80">
        <f>HYPERLINK("https://klasma.github.io/Logging_0484/tillsynsmail/A 71976-2021 tillsynsbegäran mail.docx", "A 71976-2021")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46265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38361-2024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45545</v>
      </c>
      <c r="E82" s="1" t="n">
        <v>46265</v>
      </c>
      <c r="F82" t="inlineStr">
        <is>
          <t>SÖDERMANLANDS LÄN</t>
        </is>
      </c>
      <c r="G82" t="inlineStr">
        <is>
          <t>ESKILSTUNA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Spillkråka</t>
        </is>
      </c>
      <c r="W82">
        <f>HYPERLINK("https://klasma.github.io/Logging_0484/artfynd/A 38361-2024 artfynd.xlsx", "A 38361-2024")</f>
        <v/>
      </c>
      <c r="X82">
        <f>HYPERLINK("https://klasma.github.io/Logging_0484/kartor/A 38361-2024 karta.png", "A 38361-2024")</f>
        <v/>
      </c>
      <c r="Y82">
        <f>HYPERLINK("https://klasma.github.io/Logging_0484/kartor_geotiff/A 38361-2024 georefererad karta.tif", "A 38361-2024")</f>
        <v/>
      </c>
      <c r="AA82">
        <f>HYPERLINK("https://klasma.github.io/Logging_0484/klagomål/A 38361-2024 FSC-klagomål.docx", "A 38361-2024")</f>
        <v/>
      </c>
      <c r="AB82">
        <f>HYPERLINK("https://klasma.github.io/Logging_0484/klagomålsmail/A 38361-2024 FSC-klagomål mail.docx", "A 38361-2024")</f>
        <v/>
      </c>
      <c r="AC82">
        <f>HYPERLINK("https://klasma.github.io/Logging_0484/tillsyn/A 38361-2024 tillsynsbegäran.docx", "A 38361-2024")</f>
        <v/>
      </c>
      <c r="AD82">
        <f>HYPERLINK("https://klasma.github.io/Logging_0484/tillsynsmail/A 38361-2024 tillsynsbegäran mail.docx", "A 38361-2024")</f>
        <v/>
      </c>
      <c r="AE82">
        <f>HYPERLINK("https://klasma.github.io/Logging_0484/fåglar/A 38361-2024 prioriterade fågelarter.docx", "A 38361-2024")</f>
        <v/>
      </c>
    </row>
    <row r="83" ht="15" customHeight="1">
      <c r="A83" t="inlineStr">
        <is>
          <t>A 48676-2021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46265</v>
      </c>
      <c r="F83" t="inlineStr">
        <is>
          <t>SÖDERMANLANDS LÄN</t>
        </is>
      </c>
      <c r="G83" t="inlineStr">
        <is>
          <t>ESKILSTUNA</t>
        </is>
      </c>
      <c r="I83" t="n">
        <v>8.4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Bronshjon</t>
        </is>
      </c>
      <c r="W83">
        <f>HYPERLINK("https://klasma.github.io/Logging_0484/artfynd/A 48676-2021 artfynd.xlsx", "A 48676-2021")</f>
        <v/>
      </c>
      <c r="X83">
        <f>HYPERLINK("https://klasma.github.io/Logging_0484/kartor/A 48676-2021 karta.png", "A 48676-2021")</f>
        <v/>
      </c>
      <c r="Y83">
        <f>HYPERLINK("https://klasma.github.io/Logging_0484/kartor_geotiff/A 48676-2021 georefererad karta.tif", "A 48676-2021")</f>
        <v/>
      </c>
      <c r="AA83">
        <f>HYPERLINK("https://klasma.github.io/Logging_0484/klagomål/A 48676-2021 FSC-klagomål.docx", "A 48676-2021")</f>
        <v/>
      </c>
      <c r="AB83">
        <f>HYPERLINK("https://klasma.github.io/Logging_0484/klagomålsmail/A 48676-2021 FSC-klagomål mail.docx", "A 48676-2021")</f>
        <v/>
      </c>
      <c r="AC83">
        <f>HYPERLINK("https://klasma.github.io/Logging_0484/tillsyn/A 48676-2021 tillsynsbegäran.docx", "A 48676-2021")</f>
        <v/>
      </c>
      <c r="AD83">
        <f>HYPERLINK("https://klasma.github.io/Logging_0484/tillsynsmail/A 48676-2021 tillsynsbegäran mail.docx", "A 48676-2021")</f>
        <v/>
      </c>
    </row>
    <row r="84" ht="15" customHeight="1">
      <c r="A84" t="inlineStr">
        <is>
          <t>A 23637-2023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46265</v>
      </c>
      <c r="F84" t="inlineStr">
        <is>
          <t>SÖDERMANLANDS LÄN</t>
        </is>
      </c>
      <c r="G84" t="inlineStr">
        <is>
          <t>ESKILSTUNA</t>
        </is>
      </c>
      <c r="I84" t="n">
        <v>15.8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Violett fingersvamp</t>
        </is>
      </c>
      <c r="W84">
        <f>HYPERLINK("https://klasma.github.io/Logging_0484/artfynd/A 23637-2023 artfynd.xlsx", "A 23637-2023")</f>
        <v/>
      </c>
      <c r="X84">
        <f>HYPERLINK("https://klasma.github.io/Logging_0484/kartor/A 23637-2023 karta.png", "A 23637-2023")</f>
        <v/>
      </c>
      <c r="Y84">
        <f>HYPERLINK("https://klasma.github.io/Logging_0484/kartor_geotiff/A 23637-2023 georefererad karta.tif", "A 23637-2023")</f>
        <v/>
      </c>
      <c r="AA84">
        <f>HYPERLINK("https://klasma.github.io/Logging_0484/klagomål/A 23637-2023 FSC-klagomål.docx", "A 23637-2023")</f>
        <v/>
      </c>
      <c r="AB84">
        <f>HYPERLINK("https://klasma.github.io/Logging_0484/klagomålsmail/A 23637-2023 FSC-klagomål mail.docx", "A 23637-2023")</f>
        <v/>
      </c>
      <c r="AC84">
        <f>HYPERLINK("https://klasma.github.io/Logging_0484/tillsyn/A 23637-2023 tillsynsbegäran.docx", "A 23637-2023")</f>
        <v/>
      </c>
      <c r="AD84">
        <f>HYPERLINK("https://klasma.github.io/Logging_0484/tillsynsmail/A 23637-2023 tillsynsbegäran mail.docx", "A 23637-2023")</f>
        <v/>
      </c>
    </row>
    <row r="85" ht="15" customHeight="1">
      <c r="A85" t="inlineStr">
        <is>
          <t>A 14327-2023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45012</v>
      </c>
      <c r="E85" s="1" t="n">
        <v>46265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Kommuner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HYPERLINK("https://klasma.github.io/Logging_0484/artfynd/A 14327-2023 artfynd.xlsx", "A 14327-2023")</f>
        <v/>
      </c>
      <c r="X85">
        <f>HYPERLINK("https://klasma.github.io/Logging_0484/kartor/A 14327-2023 karta.png", "A 14327-2023")</f>
        <v/>
      </c>
      <c r="Y85">
        <f>HYPERLINK("https://klasma.github.io/Logging_0484/kartor_geotiff/A 14327-2023 georefererad karta.tif", "A 14327-2023")</f>
        <v/>
      </c>
      <c r="AA85">
        <f>HYPERLINK("https://klasma.github.io/Logging_0484/klagomål/A 14327-2023 FSC-klagomål.docx", "A 14327-2023")</f>
        <v/>
      </c>
      <c r="AB85">
        <f>HYPERLINK("https://klasma.github.io/Logging_0484/klagomålsmail/A 14327-2023 FSC-klagomål mail.docx", "A 14327-2023")</f>
        <v/>
      </c>
      <c r="AC85">
        <f>HYPERLINK("https://klasma.github.io/Logging_0484/tillsyn/A 14327-2023 tillsynsbegäran.docx", "A 14327-2023")</f>
        <v/>
      </c>
      <c r="AD85">
        <f>HYPERLINK("https://klasma.github.io/Logging_0484/tillsynsmail/A 14327-2023 tillsynsbegäran mail.docx", "A 14327-2023")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46265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HYPERLINK("https://klasma.github.io/Logging_0484/artfynd/A 26097-2026 artfynd.xlsx", "A 26097-2026")</f>
        <v/>
      </c>
      <c r="X86">
        <f>HYPERLINK("https://klasma.github.io/Logging_0484/kartor/A 26097-2026 karta.png", "A 26097-2026")</f>
        <v/>
      </c>
      <c r="Y86">
        <f>HYPERLINK("https://klasma.github.io/Logging_0484/kartor_geotiff/A 26097-2026 georefererad karta.tif", "A 26097-2026")</f>
        <v/>
      </c>
      <c r="AA86">
        <f>HYPERLINK("https://klasma.github.io/Logging_0484/klagomål/A 26097-2026 FSC-klagomål.docx", "A 26097-2026")</f>
        <v/>
      </c>
      <c r="AB86">
        <f>HYPERLINK("https://klasma.github.io/Logging_0484/klagomålsmail/A 26097-2026 FSC-klagomål mail.docx", "A 26097-2026")</f>
        <v/>
      </c>
      <c r="AC86">
        <f>HYPERLINK("https://klasma.github.io/Logging_0484/tillsyn/A 26097-2026 tillsynsbegäran.docx", "A 26097-2026")</f>
        <v/>
      </c>
      <c r="AD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46265</v>
      </c>
      <c r="F87" t="inlineStr">
        <is>
          <t>SÖDERMANLANDS LÄN</t>
        </is>
      </c>
      <c r="G87" t="inlineStr">
        <is>
          <t>ESKILSTUNA</t>
        </is>
      </c>
      <c r="I87" t="n">
        <v>2.8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8</v>
      </c>
      <c r="U87" t="n">
        <v>0</v>
      </c>
      <c r="V87" s="2" t="inlineStr">
        <is>
          <t>Svart trolldruva</t>
        </is>
      </c>
      <c r="W87">
        <f>HYPERLINK("https://klasma.github.io/Logging_0484/artfynd/A 26008-2026 artfynd.xlsx", "A 26008-2026")</f>
        <v/>
      </c>
      <c r="X87">
        <f>HYPERLINK("https://klasma.github.io/Logging_0484/kartor/A 26008-2026 karta.png", "A 26008-2026")</f>
        <v/>
      </c>
      <c r="Y87">
        <f>HYPERLINK("https://klasma.github.io/Logging_0484/kartor_geotiff/A 26008-2026 georefererad karta.tif", "A 26008-2026")</f>
        <v/>
      </c>
      <c r="AA87">
        <f>HYPERLINK("https://klasma.github.io/Logging_0484/klagomål/A 26008-2026 FSC-klagomål.docx", "A 26008-2026")</f>
        <v/>
      </c>
      <c r="AB87">
        <f>HYPERLINK("https://klasma.github.io/Logging_0484/klagomålsmail/A 26008-2026 FSC-klagomål mail.docx", "A 26008-2026")</f>
        <v/>
      </c>
      <c r="AC87">
        <f>HYPERLINK("https://klasma.github.io/Logging_0484/tillsyn/A 26008-2026 tillsynsbegäran.docx", "A 26008-2026")</f>
        <v/>
      </c>
      <c r="AD87">
        <f>HYPERLINK("https://klasma.github.io/Logging_0484/tillsynsmail/A 26008-2026 tillsynsbegäran mail.docx", "A 26008-2026")</f>
        <v/>
      </c>
    </row>
    <row r="88" ht="15" customHeight="1">
      <c r="A88" t="inlineStr">
        <is>
          <t>A 26094-2026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46265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HYPERLINK("https://klasma.github.io/Logging_0484/artfynd/A 26094-2026 artfynd.xlsx", "A 26094-2026")</f>
        <v/>
      </c>
      <c r="X88">
        <f>HYPERLINK("https://klasma.github.io/Logging_0484/kartor/A 26094-2026 karta.png", "A 26094-2026")</f>
        <v/>
      </c>
      <c r="Y88">
        <f>HYPERLINK("https://klasma.github.io/Logging_0484/kartor_geotiff/A 26094-2026 georefererad karta.tif", "A 26094-2026")</f>
        <v/>
      </c>
      <c r="AA88">
        <f>HYPERLINK("https://klasma.github.io/Logging_0484/klagomål/A 26094-2026 FSC-klagomål.docx", "A 26094-2026")</f>
        <v/>
      </c>
      <c r="AB88">
        <f>HYPERLINK("https://klasma.github.io/Logging_0484/klagomålsmail/A 26094-2026 FSC-klagomål mail.docx", "A 26094-2026")</f>
        <v/>
      </c>
      <c r="AC88">
        <f>HYPERLINK("https://klasma.github.io/Logging_0484/tillsyn/A 26094-2026 tillsynsbegäran.docx", "A 26094-2026")</f>
        <v/>
      </c>
      <c r="AD88">
        <f>HYPERLINK("https://klasma.github.io/Logging_0484/tillsynsmail/A 26094-2026 tillsynsbegäran mail.docx", "A 26094-2026")</f>
        <v/>
      </c>
      <c r="AE88">
        <f>HYPERLINK("https://klasma.github.io/Logging_0484/fåglar/A 26094-2026 prioriterade fågelarter.docx", "A 26094-2026")</f>
        <v/>
      </c>
    </row>
    <row r="89" ht="15" customHeight="1">
      <c r="A89" t="inlineStr">
        <is>
          <t>A 27892-2026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46191</v>
      </c>
      <c r="E89" s="1" t="n">
        <v>46265</v>
      </c>
      <c r="F89" t="inlineStr">
        <is>
          <t>SÖDERMANLANDS LÄN</t>
        </is>
      </c>
      <c r="G89" t="inlineStr">
        <is>
          <t>ESKILSTUNA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Nattviol</t>
        </is>
      </c>
      <c r="W89">
        <f>HYPERLINK("https://klasma.github.io/Logging_0484/artfynd/A 27892-2026 artfynd.xlsx", "A 27892-2026")</f>
        <v/>
      </c>
      <c r="X89">
        <f>HYPERLINK("https://klasma.github.io/Logging_0484/kartor/A 27892-2026 karta.png", "A 27892-2026")</f>
        <v/>
      </c>
      <c r="Y89">
        <f>HYPERLINK("https://klasma.github.io/Logging_0484/kartor_geotiff/A 27892-2026 georefererad karta.tif", "A 27892-2026")</f>
        <v/>
      </c>
      <c r="AA89">
        <f>HYPERLINK("https://klasma.github.io/Logging_0484/klagomål/A 27892-2026 FSC-klagomål.docx", "A 27892-2026")</f>
        <v/>
      </c>
      <c r="AB89">
        <f>HYPERLINK("https://klasma.github.io/Logging_0484/klagomålsmail/A 27892-2026 FSC-klagomål mail.docx", "A 27892-2026")</f>
        <v/>
      </c>
      <c r="AC89">
        <f>HYPERLINK("https://klasma.github.io/Logging_0484/tillsyn/A 27892-2026 tillsynsbegäran.docx", "A 27892-2026")</f>
        <v/>
      </c>
      <c r="AD89">
        <f>HYPERLINK("https://klasma.github.io/Logging_0484/tillsynsmail/A 27892-2026 tillsynsbegäran mail.docx", "A 27892-2026")</f>
        <v/>
      </c>
    </row>
    <row r="90" ht="15" customHeight="1">
      <c r="A90" t="inlineStr">
        <is>
          <t>A 29047-2026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46199</v>
      </c>
      <c r="E90" s="1" t="n">
        <v>46265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Kandelabersvamp</t>
        </is>
      </c>
      <c r="W90">
        <f>HYPERLINK("https://klasma.github.io/Logging_0484/artfynd/A 29047-2026 artfynd.xlsx", "A 29047-2026")</f>
        <v/>
      </c>
      <c r="X90">
        <f>HYPERLINK("https://klasma.github.io/Logging_0484/kartor/A 29047-2026 karta.png", "A 29047-2026")</f>
        <v/>
      </c>
      <c r="Y90">
        <f>HYPERLINK("https://klasma.github.io/Logging_0484/kartor_geotiff/A 29047-2026 georefererad karta.tif", "A 29047-2026")</f>
        <v/>
      </c>
      <c r="AA90">
        <f>HYPERLINK("https://klasma.github.io/Logging_0484/klagomål/A 29047-2026 FSC-klagomål.docx", "A 29047-2026")</f>
        <v/>
      </c>
      <c r="AB90">
        <f>HYPERLINK("https://klasma.github.io/Logging_0484/klagomålsmail/A 29047-2026 FSC-klagomål mail.docx", "A 29047-2026")</f>
        <v/>
      </c>
      <c r="AC90">
        <f>HYPERLINK("https://klasma.github.io/Logging_0484/tillsyn/A 29047-2026 tillsynsbegäran.docx", "A 29047-2026")</f>
        <v/>
      </c>
      <c r="AD90">
        <f>HYPERLINK("https://klasma.github.io/Logging_0484/tillsynsmail/A 29047-2026 tillsynsbegäran mail.docx", "A 29047-2026")</f>
        <v/>
      </c>
    </row>
    <row r="91" ht="15" customHeight="1">
      <c r="A91" t="inlineStr">
        <is>
          <t>A 33004-2026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46244</v>
      </c>
      <c r="E91" s="1" t="n">
        <v>46265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HYPERLINK("https://klasma.github.io/Logging_0484/artfynd/A 33004-2026 artfynd.xlsx", "A 33004-2026")</f>
        <v/>
      </c>
      <c r="X91">
        <f>HYPERLINK("https://klasma.github.io/Logging_0484/kartor/A 33004-2026 karta.png", "A 33004-2026")</f>
        <v/>
      </c>
      <c r="Y91">
        <f>HYPERLINK("https://klasma.github.io/Logging_0484/kartor_geotiff/A 33004-2026 georefererad karta.tif", "A 33004-2026")</f>
        <v/>
      </c>
      <c r="AA91">
        <f>HYPERLINK("https://klasma.github.io/Logging_0484/klagomål/A 33004-2026 FSC-klagomål.docx", "A 33004-2026")</f>
        <v/>
      </c>
      <c r="AB91">
        <f>HYPERLINK("https://klasma.github.io/Logging_0484/klagomålsmail/A 33004-2026 FSC-klagomål mail.docx", "A 33004-2026")</f>
        <v/>
      </c>
      <c r="AC91">
        <f>HYPERLINK("https://klasma.github.io/Logging_0484/tillsyn/A 33004-2026 tillsynsbegäran.docx", "A 33004-2026")</f>
        <v/>
      </c>
      <c r="AD91">
        <f>HYPERLINK("https://klasma.github.io/Logging_0484/tillsynsmail/A 33004-2026 tillsynsbegäran mail.docx", "A 33004-2026")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46265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46265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46265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46265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46265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46265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46265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46265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46265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46265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46265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46265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46265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46265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46265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46265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46265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46265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46265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46265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46265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46265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46265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46265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46265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46265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46265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46265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46265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46265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46265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46265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46265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46265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46265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46265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46265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46265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46265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46265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46265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46265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46265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46265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46265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46265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46265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46265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46265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46265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46265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46265</v>
      </c>
      <c r="F143" t="inlineStr">
        <is>
          <t>SÖDERMANLANDS LÄN</t>
        </is>
      </c>
      <c r="G143" t="inlineStr">
        <is>
          <t>ESKILSTUNA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46265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44654</v>
      </c>
      <c r="E145" s="1" t="n">
        <v>46265</v>
      </c>
      <c r="F145" t="inlineStr">
        <is>
          <t>SÖDERMANLANDS LÄN</t>
        </is>
      </c>
      <c r="G145" t="inlineStr">
        <is>
          <t>ESKILSTUNA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44449</v>
      </c>
      <c r="E146" s="1" t="n">
        <v>46265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46265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44616</v>
      </c>
      <c r="E148" s="1" t="n">
        <v>46265</v>
      </c>
      <c r="F148" t="inlineStr">
        <is>
          <t>SÖDERMANLANDS LÄN</t>
        </is>
      </c>
      <c r="G148" t="inlineStr">
        <is>
          <t>ESKILSTUNA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46265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46265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46265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46265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46265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46265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46265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46265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Allmännings- och besparingsskogar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70191-2021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46265</v>
      </c>
      <c r="F157" t="inlineStr">
        <is>
          <t>SÖDERMANLANDS LÄN</t>
        </is>
      </c>
      <c r="G157" t="inlineStr">
        <is>
          <t>ESKILSTUNA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46265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46265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46265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46265</v>
      </c>
      <c r="F161" t="inlineStr">
        <is>
          <t>SÖDERMANLANDS LÄN</t>
        </is>
      </c>
      <c r="G161" t="inlineStr">
        <is>
          <t>ESKILSTUNA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46265</v>
      </c>
      <c r="F162" t="inlineStr">
        <is>
          <t>SÖDERMANLANDS LÄN</t>
        </is>
      </c>
      <c r="G162" t="inlineStr">
        <is>
          <t>ESKILSTUNA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46265</v>
      </c>
      <c r="F163" t="inlineStr">
        <is>
          <t>SÖDERMANLANDS LÄN</t>
        </is>
      </c>
      <c r="G163" t="inlineStr">
        <is>
          <t>ESKILSTUNA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46265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46265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46265</v>
      </c>
      <c r="F166" t="inlineStr">
        <is>
          <t>SÖDERMANLANDS LÄN</t>
        </is>
      </c>
      <c r="G166" t="inlineStr">
        <is>
          <t>ESKILSTUNA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57304-2023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45245</v>
      </c>
      <c r="E167" s="1" t="n">
        <v>46265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Sveaskog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46265</v>
      </c>
      <c r="F168" t="inlineStr">
        <is>
          <t>SÖDERMANLANDS LÄN</t>
        </is>
      </c>
      <c r="G168" t="inlineStr">
        <is>
          <t>ESKILSTUNA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46265</v>
      </c>
      <c r="F169" t="inlineStr">
        <is>
          <t>SÖDERMANLANDS LÄN</t>
        </is>
      </c>
      <c r="G169" t="inlineStr">
        <is>
          <t>ESKILSTUNA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46265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44799</v>
      </c>
      <c r="E171" s="1" t="n">
        <v>46265</v>
      </c>
      <c r="F171" t="inlineStr">
        <is>
          <t>SÖDERMANLANDS LÄN</t>
        </is>
      </c>
      <c r="G171" t="inlineStr">
        <is>
          <t>ESKILSTUNA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46265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44953</v>
      </c>
      <c r="E173" s="1" t="n">
        <v>46265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9.6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46265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46265</v>
      </c>
      <c r="F175" t="inlineStr">
        <is>
          <t>SÖDERMANLANDS LÄN</t>
        </is>
      </c>
      <c r="G175" t="inlineStr">
        <is>
          <t>ESKILSTUNA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46265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46265</v>
      </c>
      <c r="F177" t="inlineStr">
        <is>
          <t>SÖDERMANLANDS LÄN</t>
        </is>
      </c>
      <c r="G177" t="inlineStr">
        <is>
          <t>ESKILSTUNA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61367-2021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44499</v>
      </c>
      <c r="E178" s="1" t="n">
        <v>46265</v>
      </c>
      <c r="F178" t="inlineStr">
        <is>
          <t>SÖDERMANLANDS LÄN</t>
        </is>
      </c>
      <c r="G178" t="inlineStr">
        <is>
          <t>ESKILSTUNA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46265</v>
      </c>
      <c r="F179" t="inlineStr">
        <is>
          <t>SÖDERMANLANDS LÄN</t>
        </is>
      </c>
      <c r="G179" t="inlineStr">
        <is>
          <t>ESKILSTUNA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46265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45365</v>
      </c>
      <c r="E181" s="1" t="n">
        <v>46265</v>
      </c>
      <c r="F181" t="inlineStr">
        <is>
          <t>SÖDERMANLANDS LÄN</t>
        </is>
      </c>
      <c r="G181" t="inlineStr">
        <is>
          <t>ESKILSTUNA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46265</v>
      </c>
      <c r="F182" t="inlineStr">
        <is>
          <t>SÖDERMANLANDS LÄN</t>
        </is>
      </c>
      <c r="G182" t="inlineStr">
        <is>
          <t>ESKILSTUNA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45387</v>
      </c>
      <c r="E183" s="1" t="n">
        <v>46265</v>
      </c>
      <c r="F183" t="inlineStr">
        <is>
          <t>SÖDERMANLANDS LÄN</t>
        </is>
      </c>
      <c r="G183" t="inlineStr">
        <is>
          <t>ESKILSTUNA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45363</v>
      </c>
      <c r="E184" s="1" t="n">
        <v>46265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46265</v>
      </c>
      <c r="F185" t="inlineStr">
        <is>
          <t>SÖDERMANLANDS LÄN</t>
        </is>
      </c>
      <c r="G185" t="inlineStr">
        <is>
          <t>ESKILSTUNA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46265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Kyrkan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46265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45464</v>
      </c>
      <c r="E188" s="1" t="n">
        <v>46265</v>
      </c>
      <c r="F188" t="inlineStr">
        <is>
          <t>SÖDERMANLANDS LÄN</t>
        </is>
      </c>
      <c r="G188" t="inlineStr">
        <is>
          <t>ESKILSTUNA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46265</v>
      </c>
      <c r="F189" t="inlineStr">
        <is>
          <t>SÖDERMANLANDS LÄN</t>
        </is>
      </c>
      <c r="G189" t="inlineStr">
        <is>
          <t>ESKILSTUNA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45464</v>
      </c>
      <c r="E190" s="1" t="n">
        <v>46265</v>
      </c>
      <c r="F190" t="inlineStr">
        <is>
          <t>SÖDERMANLANDS LÄN</t>
        </is>
      </c>
      <c r="G190" t="inlineStr">
        <is>
          <t>ESKILSTUNA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45897</v>
      </c>
      <c r="E191" s="1" t="n">
        <v>46265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46265</v>
      </c>
      <c r="F192" t="inlineStr">
        <is>
          <t>SÖDERMANLANDS LÄN</t>
        </is>
      </c>
      <c r="G192" t="inlineStr">
        <is>
          <t>ESKILSTUNA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46265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Kyrkan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46265</v>
      </c>
      <c r="F194" t="inlineStr">
        <is>
          <t>SÖDERMANLANDS LÄN</t>
        </is>
      </c>
      <c r="G194" t="inlineStr">
        <is>
          <t>ESKILSTUNA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46265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46265</v>
      </c>
      <c r="F196" t="inlineStr">
        <is>
          <t>SÖDERMANLANDS LÄN</t>
        </is>
      </c>
      <c r="G196" t="inlineStr">
        <is>
          <t>ESKILSTUNA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46265</v>
      </c>
      <c r="F197" t="inlineStr">
        <is>
          <t>SÖDERMANLANDS LÄN</t>
        </is>
      </c>
      <c r="G197" t="inlineStr">
        <is>
          <t>ESKILSTUNA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44883</v>
      </c>
      <c r="E198" s="1" t="n">
        <v>46265</v>
      </c>
      <c r="F198" t="inlineStr">
        <is>
          <t>SÖDERMANLANDS LÄN</t>
        </is>
      </c>
      <c r="G198" t="inlineStr">
        <is>
          <t>ESKILSTUNA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45604</v>
      </c>
      <c r="E199" s="1" t="n">
        <v>46265</v>
      </c>
      <c r="F199" t="inlineStr">
        <is>
          <t>SÖDERMANLANDS LÄN</t>
        </is>
      </c>
      <c r="G199" t="inlineStr">
        <is>
          <t>ESKILSTUNA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46265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45012</v>
      </c>
      <c r="E201" s="1" t="n">
        <v>46265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Kommuner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65349-2021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46265</v>
      </c>
      <c r="F202" t="inlineStr">
        <is>
          <t>SÖDERMANLANDS LÄN</t>
        </is>
      </c>
      <c r="G202" t="inlineStr">
        <is>
          <t>ESKILSTUNA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46265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46265</v>
      </c>
      <c r="F204" t="inlineStr">
        <is>
          <t>SÖDERMANLANDS LÄN</t>
        </is>
      </c>
      <c r="G204" t="inlineStr">
        <is>
          <t>ESKILSTUNA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24537-2025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45798</v>
      </c>
      <c r="E205" s="1" t="n">
        <v>46265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44571</v>
      </c>
      <c r="E206" s="1" t="n">
        <v>46265</v>
      </c>
      <c r="F206" t="inlineStr">
        <is>
          <t>SÖDERMANLANDS LÄN</t>
        </is>
      </c>
      <c r="G206" t="inlineStr">
        <is>
          <t>ESKILSTUNA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44837</v>
      </c>
      <c r="E207" s="1" t="n">
        <v>46265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24534-2025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45798</v>
      </c>
      <c r="E208" s="1" t="n">
        <v>46265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Sveaskog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24535-2025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45798</v>
      </c>
      <c r="E209" s="1" t="n">
        <v>46265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24536-2025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45798</v>
      </c>
      <c r="E210" s="1" t="n">
        <v>46265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45979</v>
      </c>
      <c r="E211" s="1" t="n">
        <v>46265</v>
      </c>
      <c r="F211" t="inlineStr">
        <is>
          <t>SÖDERMANLANDS LÄN</t>
        </is>
      </c>
      <c r="G211" t="inlineStr">
        <is>
          <t>ESKILSTUNA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44634</v>
      </c>
      <c r="E212" s="1" t="n">
        <v>46265</v>
      </c>
      <c r="F212" t="inlineStr">
        <is>
          <t>SÖDERMANLANDS LÄN</t>
        </is>
      </c>
      <c r="G212" t="inlineStr">
        <is>
          <t>ESKILSTUNA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46265</v>
      </c>
      <c r="F213" t="inlineStr">
        <is>
          <t>SÖDERMANLANDS LÄN</t>
        </is>
      </c>
      <c r="G213" t="inlineStr">
        <is>
          <t>ESKILSTUNA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46265</v>
      </c>
      <c r="F214" t="inlineStr">
        <is>
          <t>SÖDERMANLANDS LÄN</t>
        </is>
      </c>
      <c r="G214" t="inlineStr">
        <is>
          <t>ESKILSTUNA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46265</v>
      </c>
      <c r="F215" t="inlineStr">
        <is>
          <t>SÖDERMANLANDS LÄN</t>
        </is>
      </c>
      <c r="G215" t="inlineStr">
        <is>
          <t>ESKILSTUNA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46265</v>
      </c>
      <c r="F216" t="inlineStr">
        <is>
          <t>SÖDERMANLANDS LÄN</t>
        </is>
      </c>
      <c r="G216" t="inlineStr">
        <is>
          <t>ESKILSTUNA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46265</v>
      </c>
      <c r="F217" t="inlineStr">
        <is>
          <t>SÖDERMANLANDS LÄN</t>
        </is>
      </c>
      <c r="G217" t="inlineStr">
        <is>
          <t>ESKILSTUNA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46265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Allmännings- och besparingsskogar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44918</v>
      </c>
      <c r="E219" s="1" t="n">
        <v>46265</v>
      </c>
      <c r="F219" t="inlineStr">
        <is>
          <t>SÖDERMANLANDS LÄN</t>
        </is>
      </c>
      <c r="G219" t="inlineStr">
        <is>
          <t>ESKILSTUNA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46265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Allmännings- och besparingsskogar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44588</v>
      </c>
      <c r="E221" s="1" t="n">
        <v>46265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46265</v>
      </c>
      <c r="F222" t="inlineStr">
        <is>
          <t>SÖDERMANLANDS LÄN</t>
        </is>
      </c>
      <c r="G222" t="inlineStr">
        <is>
          <t>ESKILSTUNA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46265</v>
      </c>
      <c r="F223" t="inlineStr">
        <is>
          <t>SÖDERMANLANDS LÄN</t>
        </is>
      </c>
      <c r="G223" t="inlineStr">
        <is>
          <t>ESKILSTUNA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44889</v>
      </c>
      <c r="E224" s="1" t="n">
        <v>46265</v>
      </c>
      <c r="F224" t="inlineStr">
        <is>
          <t>SÖDERMANLANDS LÄN</t>
        </is>
      </c>
      <c r="G224" t="inlineStr">
        <is>
          <t>ESKILSTUNA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45544</v>
      </c>
      <c r="E225" s="1" t="n">
        <v>46265</v>
      </c>
      <c r="F225" t="inlineStr">
        <is>
          <t>SÖDERMANLANDS LÄN</t>
        </is>
      </c>
      <c r="G225" t="inlineStr">
        <is>
          <t>ESKILSTUNA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46265</v>
      </c>
      <c r="F226" t="inlineStr">
        <is>
          <t>SÖDERMANLANDS LÄN</t>
        </is>
      </c>
      <c r="G226" t="inlineStr">
        <is>
          <t>ESKILSTUNA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46265</v>
      </c>
      <c r="F227" t="inlineStr">
        <is>
          <t>SÖDERMANLANDS LÄN</t>
        </is>
      </c>
      <c r="G227" t="inlineStr">
        <is>
          <t>ESKILSTUNA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46265</v>
      </c>
      <c r="F228" t="inlineStr">
        <is>
          <t>SÖDERMANLANDS LÄN</t>
        </is>
      </c>
      <c r="G228" t="inlineStr">
        <is>
          <t>ESKILSTUNA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45750</v>
      </c>
      <c r="E229" s="1" t="n">
        <v>46265</v>
      </c>
      <c r="F229" t="inlineStr">
        <is>
          <t>SÖDERMANLANDS LÄN</t>
        </is>
      </c>
      <c r="G229" t="inlineStr">
        <is>
          <t>ESKILSTUNA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44616</v>
      </c>
      <c r="E230" s="1" t="n">
        <v>46265</v>
      </c>
      <c r="F230" t="inlineStr">
        <is>
          <t>SÖDERMANLANDS LÄN</t>
        </is>
      </c>
      <c r="G230" t="inlineStr">
        <is>
          <t>ESKILSTUNA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46265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44889</v>
      </c>
      <c r="E232" s="1" t="n">
        <v>46265</v>
      </c>
      <c r="F232" t="inlineStr">
        <is>
          <t>SÖDERMANLANDS LÄN</t>
        </is>
      </c>
      <c r="G232" t="inlineStr">
        <is>
          <t>ESKILSTUNA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46265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Allmännings- och besparingsskogar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30096-2025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45826</v>
      </c>
      <c r="E234" s="1" t="n">
        <v>46265</v>
      </c>
      <c r="F234" t="inlineStr">
        <is>
          <t>SÖDERMANLANDS LÄN</t>
        </is>
      </c>
      <c r="G234" t="inlineStr">
        <is>
          <t>ESKILSTUNA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46265</v>
      </c>
      <c r="F235" t="inlineStr">
        <is>
          <t>SÖDERMANLANDS LÄN</t>
        </is>
      </c>
      <c r="G235" t="inlineStr">
        <is>
          <t>ESKILSTUNA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46265</v>
      </c>
      <c r="F236" t="inlineStr">
        <is>
          <t>SÖDERMANLANDS LÄN</t>
        </is>
      </c>
      <c r="G236" t="inlineStr">
        <is>
          <t>ESKILSTUNA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46265</v>
      </c>
      <c r="F237" t="inlineStr">
        <is>
          <t>SÖDERMANLANDS LÄN</t>
        </is>
      </c>
      <c r="G237" t="inlineStr">
        <is>
          <t>ESKILSTUNA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46265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44617</v>
      </c>
      <c r="E239" s="1" t="n">
        <v>46265</v>
      </c>
      <c r="F239" t="inlineStr">
        <is>
          <t>SÖDERMANLANDS LÄN</t>
        </is>
      </c>
      <c r="G239" t="inlineStr">
        <is>
          <t>ESKILSTUNA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12547-2022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44638</v>
      </c>
      <c r="E240" s="1" t="n">
        <v>46265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45036</v>
      </c>
      <c r="E241" s="1" t="n">
        <v>46265</v>
      </c>
      <c r="F241" t="inlineStr">
        <is>
          <t>SÖDERMANLANDS LÄN</t>
        </is>
      </c>
      <c r="G241" t="inlineStr">
        <is>
          <t>ESKILSTUNA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46265</v>
      </c>
      <c r="F242" t="inlineStr">
        <is>
          <t>SÖDERMANLANDS LÄN</t>
        </is>
      </c>
      <c r="G242" t="inlineStr">
        <is>
          <t>ESKILSTUNA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45363</v>
      </c>
      <c r="E243" s="1" t="n">
        <v>46265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Allmännings- och besparingsskogar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46265</v>
      </c>
      <c r="F244" t="inlineStr">
        <is>
          <t>SÖDERMANLANDS LÄN</t>
        </is>
      </c>
      <c r="G244" t="inlineStr">
        <is>
          <t>ESKILSTUNA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45266</v>
      </c>
      <c r="E245" s="1" t="n">
        <v>46265</v>
      </c>
      <c r="F245" t="inlineStr">
        <is>
          <t>SÖDERMANLANDS LÄN</t>
        </is>
      </c>
      <c r="G245" t="inlineStr">
        <is>
          <t>ESKILSTUNA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44739</v>
      </c>
      <c r="E246" s="1" t="n">
        <v>46265</v>
      </c>
      <c r="F246" t="inlineStr">
        <is>
          <t>SÖDERMANLANDS LÄN</t>
        </is>
      </c>
      <c r="G246" t="inlineStr">
        <is>
          <t>ESKILSTUNA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46265</v>
      </c>
      <c r="F247" t="inlineStr">
        <is>
          <t>SÖDERMANLANDS LÄN</t>
        </is>
      </c>
      <c r="G247" t="inlineStr">
        <is>
          <t>ESKILSTUNA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46265</v>
      </c>
      <c r="F248" t="inlineStr">
        <is>
          <t>SÖDERMANLANDS LÄN</t>
        </is>
      </c>
      <c r="G248" t="inlineStr">
        <is>
          <t>ESKILSTUNA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46265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44698</v>
      </c>
      <c r="E250" s="1" t="n">
        <v>46265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Kyrkan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44998</v>
      </c>
      <c r="E251" s="1" t="n">
        <v>46265</v>
      </c>
      <c r="F251" t="inlineStr">
        <is>
          <t>SÖDERMANLANDS LÄN</t>
        </is>
      </c>
      <c r="G251" t="inlineStr">
        <is>
          <t>ESKILSTUNA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44946</v>
      </c>
      <c r="E252" s="1" t="n">
        <v>46265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44946</v>
      </c>
      <c r="E253" s="1" t="n">
        <v>46265</v>
      </c>
      <c r="F253" t="inlineStr">
        <is>
          <t>SÖDERMANLANDS LÄN</t>
        </is>
      </c>
      <c r="G253" t="inlineStr">
        <is>
          <t>ESKILSTUNA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46265</v>
      </c>
      <c r="F254" t="inlineStr">
        <is>
          <t>SÖDERMANLANDS LÄN</t>
        </is>
      </c>
      <c r="G254" t="inlineStr">
        <is>
          <t>ESKILSTUNA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46265</v>
      </c>
      <c r="F255" t="inlineStr">
        <is>
          <t>SÖDERMANLANDS LÄN</t>
        </is>
      </c>
      <c r="G255" t="inlineStr">
        <is>
          <t>ESKILSTUNA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51547-2024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46265</v>
      </c>
      <c r="F256" t="inlineStr">
        <is>
          <t>SÖDERMANLANDS LÄN</t>
        </is>
      </c>
      <c r="G256" t="inlineStr">
        <is>
          <t>ESKILSTUNA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45006</v>
      </c>
      <c r="E257" s="1" t="n">
        <v>46265</v>
      </c>
      <c r="F257" t="inlineStr">
        <is>
          <t>SÖDERMANLANDS LÄN</t>
        </is>
      </c>
      <c r="G257" t="inlineStr">
        <is>
          <t>ESKILSTUNA</t>
        </is>
      </c>
      <c r="I257" t="n">
        <v>16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46265</v>
      </c>
      <c r="F258" t="inlineStr">
        <is>
          <t>SÖDERMANLANDS LÄN</t>
        </is>
      </c>
      <c r="G258" t="inlineStr">
        <is>
          <t>ESKILSTUNA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46265</v>
      </c>
      <c r="F259" t="inlineStr">
        <is>
          <t>SÖDERMANLANDS LÄN</t>
        </is>
      </c>
      <c r="G259" t="inlineStr">
        <is>
          <t>ESKILSTUNA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44946</v>
      </c>
      <c r="E260" s="1" t="n">
        <v>46265</v>
      </c>
      <c r="F260" t="inlineStr">
        <is>
          <t>SÖDERMANLANDS LÄN</t>
        </is>
      </c>
      <c r="G260" t="inlineStr">
        <is>
          <t>ESKILSTUNA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44983</v>
      </c>
      <c r="E261" s="1" t="n">
        <v>46265</v>
      </c>
      <c r="F261" t="inlineStr">
        <is>
          <t>SÖDERMANLANDS LÄN</t>
        </is>
      </c>
      <c r="G261" t="inlineStr">
        <is>
          <t>ESKILSTUNA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46265</v>
      </c>
      <c r="F262" t="inlineStr">
        <is>
          <t>SÖDERMANLANDS LÄN</t>
        </is>
      </c>
      <c r="G262" t="inlineStr">
        <is>
          <t>ESKILSTUNA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61866-2022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46265</v>
      </c>
      <c r="F263" t="inlineStr">
        <is>
          <t>SÖDERMANLANDS LÄN</t>
        </is>
      </c>
      <c r="G263" t="inlineStr">
        <is>
          <t>ESKILSTUNA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46265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45005</v>
      </c>
      <c r="E265" s="1" t="n">
        <v>46265</v>
      </c>
      <c r="F265" t="inlineStr">
        <is>
          <t>SÖDERMANLANDS LÄN</t>
        </is>
      </c>
      <c r="G265" t="inlineStr">
        <is>
          <t>ESKILSTUNA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59276-2021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44490</v>
      </c>
      <c r="E266" s="1" t="n">
        <v>46265</v>
      </c>
      <c r="F266" t="inlineStr">
        <is>
          <t>SÖDERMANLANDS LÄN</t>
        </is>
      </c>
      <c r="G266" t="inlineStr">
        <is>
          <t>ESKILSTUNA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46265</v>
      </c>
      <c r="F267" t="inlineStr">
        <is>
          <t>SÖDERMANLANDS LÄN</t>
        </is>
      </c>
      <c r="G267" t="inlineStr">
        <is>
          <t>ESKILSTUNA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44499</v>
      </c>
      <c r="E268" s="1" t="n">
        <v>46265</v>
      </c>
      <c r="F268" t="inlineStr">
        <is>
          <t>SÖDERMANLANDS LÄN</t>
        </is>
      </c>
      <c r="G268" t="inlineStr">
        <is>
          <t>ESKILSTUNA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65595-2021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46265</v>
      </c>
      <c r="F269" t="inlineStr">
        <is>
          <t>SÖDERMANLANDS LÄN</t>
        </is>
      </c>
      <c r="G269" t="inlineStr">
        <is>
          <t>ESKILSTUNA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46265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46265</v>
      </c>
      <c r="F271" t="inlineStr">
        <is>
          <t>SÖDERMANLANDS LÄN</t>
        </is>
      </c>
      <c r="G271" t="inlineStr">
        <is>
          <t>ESKILSTUNA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38895-2023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45163</v>
      </c>
      <c r="E272" s="1" t="n">
        <v>46265</v>
      </c>
      <c r="F272" t="inlineStr">
        <is>
          <t>SÖDERMANLANDS LÄN</t>
        </is>
      </c>
      <c r="G272" t="inlineStr">
        <is>
          <t>ESKILSTUNA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45713</v>
      </c>
      <c r="E273" s="1" t="n">
        <v>46265</v>
      </c>
      <c r="F273" t="inlineStr">
        <is>
          <t>SÖDERMANLANDS LÄN</t>
        </is>
      </c>
      <c r="G273" t="inlineStr">
        <is>
          <t>ESKILSTUNA</t>
        </is>
      </c>
      <c r="H273" t="inlineStr">
        <is>
          <t>Allmännings- och besparingsskogar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44832</v>
      </c>
      <c r="E274" s="1" t="n">
        <v>46265</v>
      </c>
      <c r="F274" t="inlineStr">
        <is>
          <t>SÖDERMANLANDS LÄN</t>
        </is>
      </c>
      <c r="G274" t="inlineStr">
        <is>
          <t>ESKILSTUNA</t>
        </is>
      </c>
      <c r="I274" t="n">
        <v>19.9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57061-2021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44482</v>
      </c>
      <c r="E275" s="1" t="n">
        <v>46265</v>
      </c>
      <c r="F275" t="inlineStr">
        <is>
          <t>SÖDERMANLANDS LÄN</t>
        </is>
      </c>
      <c r="G275" t="inlineStr">
        <is>
          <t>ESKILSTUNA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46265</v>
      </c>
      <c r="F276" t="inlineStr">
        <is>
          <t>SÖDERMANLANDS LÄN</t>
        </is>
      </c>
      <c r="G276" t="inlineStr">
        <is>
          <t>ESKILSTUNA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55812-2022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44886</v>
      </c>
      <c r="E277" s="1" t="n">
        <v>46265</v>
      </c>
      <c r="F277" t="inlineStr">
        <is>
          <t>SÖDERMANLANDS LÄN</t>
        </is>
      </c>
      <c r="G277" t="inlineStr">
        <is>
          <t>ESKILSTUNA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68022-2021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44525</v>
      </c>
      <c r="E278" s="1" t="n">
        <v>46265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54598-2021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44473</v>
      </c>
      <c r="E279" s="1" t="n">
        <v>46265</v>
      </c>
      <c r="F279" t="inlineStr">
        <is>
          <t>SÖDERMANLANDS LÄN</t>
        </is>
      </c>
      <c r="G279" t="inlineStr">
        <is>
          <t>ESKILSTUNA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46265</v>
      </c>
      <c r="F280" t="inlineStr">
        <is>
          <t>SÖDERMANLANDS LÄN</t>
        </is>
      </c>
      <c r="G280" t="inlineStr">
        <is>
          <t>ESKILSTUNA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46265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52830-2021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44467</v>
      </c>
      <c r="E282" s="1" t="n">
        <v>46265</v>
      </c>
      <c r="F282" t="inlineStr">
        <is>
          <t>SÖDERMANLANDS LÄN</t>
        </is>
      </c>
      <c r="G282" t="inlineStr">
        <is>
          <t>ESKILSTUNA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46265</v>
      </c>
      <c r="F283" t="inlineStr">
        <is>
          <t>SÖDERMANLANDS LÄN</t>
        </is>
      </c>
      <c r="G283" t="inlineStr">
        <is>
          <t>ESKILSTUNA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46265</v>
      </c>
      <c r="F284" t="inlineStr">
        <is>
          <t>SÖDERMANLANDS LÄN</t>
        </is>
      </c>
      <c r="G284" t="inlineStr">
        <is>
          <t>ESKILSTUNA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46265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46265</v>
      </c>
      <c r="F286" t="inlineStr">
        <is>
          <t>SÖDERMANLANDS LÄN</t>
        </is>
      </c>
      <c r="G286" t="inlineStr">
        <is>
          <t>ESKILSTUNA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46265</v>
      </c>
      <c r="F287" t="inlineStr">
        <is>
          <t>SÖDERMANLANDS LÄN</t>
        </is>
      </c>
      <c r="G287" t="inlineStr">
        <is>
          <t>ESKILSTUNA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46265</v>
      </c>
      <c r="F288" t="inlineStr">
        <is>
          <t>SÖDERMANLANDS LÄN</t>
        </is>
      </c>
      <c r="G288" t="inlineStr">
        <is>
          <t>ESKILSTUNA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65614-2021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46265</v>
      </c>
      <c r="F289" t="inlineStr">
        <is>
          <t>SÖDERMANLANDS LÄN</t>
        </is>
      </c>
      <c r="G289" t="inlineStr">
        <is>
          <t>ESKILSTUNA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44916</v>
      </c>
      <c r="E290" s="1" t="n">
        <v>46265</v>
      </c>
      <c r="F290" t="inlineStr">
        <is>
          <t>SÖDERMANLANDS LÄN</t>
        </is>
      </c>
      <c r="G290" t="inlineStr">
        <is>
          <t>ESKILSTUNA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44888</v>
      </c>
      <c r="E291" s="1" t="n">
        <v>46265</v>
      </c>
      <c r="F291" t="inlineStr">
        <is>
          <t>SÖDERMANLANDS LÄN</t>
        </is>
      </c>
      <c r="G291" t="inlineStr">
        <is>
          <t>ESKILSTUNA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44865</v>
      </c>
      <c r="E292" s="1" t="n">
        <v>46265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45756</v>
      </c>
      <c r="E293" s="1" t="n">
        <v>46265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44664</v>
      </c>
      <c r="E294" s="1" t="n">
        <v>46265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46265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25227-2022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44729</v>
      </c>
      <c r="E296" s="1" t="n">
        <v>46265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46265</v>
      </c>
      <c r="F297" t="inlineStr">
        <is>
          <t>SÖDERMANLANDS LÄN</t>
        </is>
      </c>
      <c r="G297" t="inlineStr">
        <is>
          <t>ESKILSTUNA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45407</v>
      </c>
      <c r="E298" s="1" t="n">
        <v>46265</v>
      </c>
      <c r="F298" t="inlineStr">
        <is>
          <t>SÖDERMANLANDS LÄN</t>
        </is>
      </c>
      <c r="G298" t="inlineStr">
        <is>
          <t>ESKILSTUNA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45950</v>
      </c>
      <c r="E299" s="1" t="n">
        <v>46265</v>
      </c>
      <c r="F299" t="inlineStr">
        <is>
          <t>SÖDERMANLANDS LÄN</t>
        </is>
      </c>
      <c r="G299" t="inlineStr">
        <is>
          <t>ESKILSTUNA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46265</v>
      </c>
      <c r="F300" t="inlineStr">
        <is>
          <t>SÖDERMANLANDS LÄN</t>
        </is>
      </c>
      <c r="G300" t="inlineStr">
        <is>
          <t>ESKILSTUNA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45056</v>
      </c>
      <c r="E301" s="1" t="n">
        <v>46265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45079</v>
      </c>
      <c r="E302" s="1" t="n">
        <v>46265</v>
      </c>
      <c r="F302" t="inlineStr">
        <is>
          <t>SÖDERMANLANDS LÄN</t>
        </is>
      </c>
      <c r="G302" t="inlineStr">
        <is>
          <t>ESKILSTUNA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59276-2021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44490</v>
      </c>
      <c r="E303" s="1" t="n">
        <v>46265</v>
      </c>
      <c r="F303" t="inlineStr">
        <is>
          <t>SÖDERMANLANDS LÄN</t>
        </is>
      </c>
      <c r="G303" t="inlineStr">
        <is>
          <t>ESKILSTUNA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45245</v>
      </c>
      <c r="E304" s="1" t="n">
        <v>46265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46265</v>
      </c>
      <c r="F305" t="inlineStr">
        <is>
          <t>SÖDERMANLANDS LÄN</t>
        </is>
      </c>
      <c r="G305" t="inlineStr">
        <is>
          <t>ESKILSTUNA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46265</v>
      </c>
      <c r="F306" t="inlineStr">
        <is>
          <t>SÖDERMANLANDS LÄN</t>
        </is>
      </c>
      <c r="G306" t="inlineStr">
        <is>
          <t>ESKILSTUNA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46265</v>
      </c>
      <c r="F307" t="inlineStr">
        <is>
          <t>SÖDERMANLANDS LÄN</t>
        </is>
      </c>
      <c r="G307" t="inlineStr">
        <is>
          <t>ESKILSTUNA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61170-2021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44497</v>
      </c>
      <c r="E308" s="1" t="n">
        <v>46265</v>
      </c>
      <c r="F308" t="inlineStr">
        <is>
          <t>SÖDERMANLANDS LÄN</t>
        </is>
      </c>
      <c r="G308" t="inlineStr">
        <is>
          <t>ESKILSTUNA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45099</v>
      </c>
      <c r="E309" s="1" t="n">
        <v>46265</v>
      </c>
      <c r="F309" t="inlineStr">
        <is>
          <t>SÖDERMANLANDS LÄN</t>
        </is>
      </c>
      <c r="G309" t="inlineStr">
        <is>
          <t>ESKILSTUNA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46265</v>
      </c>
      <c r="F310" t="inlineStr">
        <is>
          <t>SÖDERMANLANDS LÄN</t>
        </is>
      </c>
      <c r="G310" t="inlineStr">
        <is>
          <t>ESKILSTUNA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45049</v>
      </c>
      <c r="E311" s="1" t="n">
        <v>46265</v>
      </c>
      <c r="F311" t="inlineStr">
        <is>
          <t>SÖDERMANLANDS LÄN</t>
        </is>
      </c>
      <c r="G311" t="inlineStr">
        <is>
          <t>ESKILSTUNA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46265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46265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Övriga Aktiebolag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45007</v>
      </c>
      <c r="E314" s="1" t="n">
        <v>46265</v>
      </c>
      <c r="F314" t="inlineStr">
        <is>
          <t>SÖDERMANLANDS LÄN</t>
        </is>
      </c>
      <c r="G314" t="inlineStr">
        <is>
          <t>ESKILSTUNA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46069</v>
      </c>
      <c r="E315" s="1" t="n">
        <v>46265</v>
      </c>
      <c r="F315" t="inlineStr">
        <is>
          <t>SÖDERMANLANDS LÄN</t>
        </is>
      </c>
      <c r="G315" t="inlineStr">
        <is>
          <t>ESKILSTUNA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45271</v>
      </c>
      <c r="E316" s="1" t="n">
        <v>46265</v>
      </c>
      <c r="F316" t="inlineStr">
        <is>
          <t>SÖDERMANLANDS LÄN</t>
        </is>
      </c>
      <c r="G316" t="inlineStr">
        <is>
          <t>ESKILSTUNA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70265-2021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44536</v>
      </c>
      <c r="E317" s="1" t="n">
        <v>46265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46608-2024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45582</v>
      </c>
      <c r="E318" s="1" t="n">
        <v>46265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68020-2021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44525</v>
      </c>
      <c r="E319" s="1" t="n">
        <v>46265</v>
      </c>
      <c r="F319" t="inlineStr">
        <is>
          <t>SÖDERMANLANDS LÄN</t>
        </is>
      </c>
      <c r="G319" t="inlineStr">
        <is>
          <t>ESKILSTUNA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46265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45544</v>
      </c>
      <c r="E321" s="1" t="n">
        <v>46265</v>
      </c>
      <c r="F321" t="inlineStr">
        <is>
          <t>SÖDERMANLANDS LÄN</t>
        </is>
      </c>
      <c r="G321" t="inlineStr">
        <is>
          <t>ESKILSTUNA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46265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Kyrkan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46265</v>
      </c>
      <c r="F323" t="inlineStr">
        <is>
          <t>SÖDERMANLANDS LÄN</t>
        </is>
      </c>
      <c r="G323" t="inlineStr">
        <is>
          <t>ESKILSTUNA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45069</v>
      </c>
      <c r="E324" s="1" t="n">
        <v>46265</v>
      </c>
      <c r="F324" t="inlineStr">
        <is>
          <t>SÖDERMANLANDS LÄN</t>
        </is>
      </c>
      <c r="G324" t="inlineStr">
        <is>
          <t>ESKILSTUNA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44626</v>
      </c>
      <c r="E325" s="1" t="n">
        <v>46265</v>
      </c>
      <c r="F325" t="inlineStr">
        <is>
          <t>SÖDERMANLANDS LÄN</t>
        </is>
      </c>
      <c r="G325" t="inlineStr">
        <is>
          <t>ESKILSTUNA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44927-2023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45190</v>
      </c>
      <c r="E326" s="1" t="n">
        <v>46265</v>
      </c>
      <c r="F326" t="inlineStr">
        <is>
          <t>SÖDERMANLANDS LÄN</t>
        </is>
      </c>
      <c r="G326" t="inlineStr">
        <is>
          <t>ESKILSTUNA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46265</v>
      </c>
      <c r="F327" t="inlineStr">
        <is>
          <t>SÖDERMANLANDS LÄN</t>
        </is>
      </c>
      <c r="G327" t="inlineStr">
        <is>
          <t>ESKILSTUNA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45435</v>
      </c>
      <c r="E328" s="1" t="n">
        <v>46265</v>
      </c>
      <c r="F328" t="inlineStr">
        <is>
          <t>SÖDERMANLANDS LÄN</t>
        </is>
      </c>
      <c r="G328" t="inlineStr">
        <is>
          <t>ESKILSTUNA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22605-2023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45071</v>
      </c>
      <c r="E329" s="1" t="n">
        <v>46265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44572</v>
      </c>
      <c r="E330" s="1" t="n">
        <v>46265</v>
      </c>
      <c r="F330" t="inlineStr">
        <is>
          <t>SÖDERMANLANDS LÄN</t>
        </is>
      </c>
      <c r="G330" t="inlineStr">
        <is>
          <t>ESKILSTUNA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44606</v>
      </c>
      <c r="E331" s="1" t="n">
        <v>46265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46265</v>
      </c>
      <c r="F332" t="inlineStr">
        <is>
          <t>SÖDERMANLANDS LÄN</t>
        </is>
      </c>
      <c r="G332" t="inlineStr">
        <is>
          <t>ESKILSTUNA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46265</v>
      </c>
      <c r="F333" t="inlineStr">
        <is>
          <t>SÖDERMANLANDS LÄN</t>
        </is>
      </c>
      <c r="G333" t="inlineStr">
        <is>
          <t>ESKILSTUNA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45387</v>
      </c>
      <c r="E334" s="1" t="n">
        <v>46265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Kyrkan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46265</v>
      </c>
      <c r="F335" t="inlineStr">
        <is>
          <t>SÖDERMANLANDS LÄN</t>
        </is>
      </c>
      <c r="G335" t="inlineStr">
        <is>
          <t>ESKILSTUNA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46108</v>
      </c>
      <c r="E336" s="1" t="n">
        <v>46265</v>
      </c>
      <c r="F336" t="inlineStr">
        <is>
          <t>SÖDERMANLANDS LÄN</t>
        </is>
      </c>
      <c r="G336" t="inlineStr">
        <is>
          <t>ESKILSTUNA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46265</v>
      </c>
      <c r="F337" t="inlineStr">
        <is>
          <t>SÖDERMANLANDS LÄN</t>
        </is>
      </c>
      <c r="G337" t="inlineStr">
        <is>
          <t>ESKILSTUNA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46265</v>
      </c>
      <c r="F338" t="inlineStr">
        <is>
          <t>SÖDERMANLANDS LÄN</t>
        </is>
      </c>
      <c r="G338" t="inlineStr">
        <is>
          <t>ESKILSTUNA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46265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46265</v>
      </c>
      <c r="F340" t="inlineStr">
        <is>
          <t>SÖDERMANLANDS LÄN</t>
        </is>
      </c>
      <c r="G340" t="inlineStr">
        <is>
          <t>ESKILSTUNA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46265</v>
      </c>
      <c r="F341" t="inlineStr">
        <is>
          <t>SÖDERMANLANDS LÄN</t>
        </is>
      </c>
      <c r="G341" t="inlineStr">
        <is>
          <t>ESKILSTUNA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18105-2026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46125</v>
      </c>
      <c r="E342" s="1" t="n">
        <v>46265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13153-2026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46092</v>
      </c>
      <c r="E343" s="1" t="n">
        <v>46265</v>
      </c>
      <c r="F343" t="inlineStr">
        <is>
          <t>SÖDERMANLANDS LÄN</t>
        </is>
      </c>
      <c r="G343" t="inlineStr">
        <is>
          <t>ESKILSTUNA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46265</v>
      </c>
      <c r="F344" t="inlineStr">
        <is>
          <t>SÖDERMANLANDS LÄN</t>
        </is>
      </c>
      <c r="G344" t="inlineStr">
        <is>
          <t>ESKILSTUNA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46265</v>
      </c>
      <c r="F345" t="inlineStr">
        <is>
          <t>SÖDERMANLANDS LÄN</t>
        </is>
      </c>
      <c r="G345" t="inlineStr">
        <is>
          <t>ESKILSTUNA</t>
        </is>
      </c>
      <c r="I345" t="n">
        <v>15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46265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46265</v>
      </c>
      <c r="F347" t="inlineStr">
        <is>
          <t>SÖDERMANLANDS LÄN</t>
        </is>
      </c>
      <c r="G347" t="inlineStr">
        <is>
          <t>ESKILSTUNA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4200-2025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45685</v>
      </c>
      <c r="E348" s="1" t="n">
        <v>46265</v>
      </c>
      <c r="F348" t="inlineStr">
        <is>
          <t>SÖDERMANLANDS LÄN</t>
        </is>
      </c>
      <c r="G348" t="inlineStr">
        <is>
          <t>ESKILSTUNA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46265</v>
      </c>
      <c r="F349" t="inlineStr">
        <is>
          <t>SÖDERMANLANDS LÄN</t>
        </is>
      </c>
      <c r="G349" t="inlineStr">
        <is>
          <t>ESKILSTUNA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15917-2022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44664</v>
      </c>
      <c r="E350" s="1" t="n">
        <v>46265</v>
      </c>
      <c r="F350" t="inlineStr">
        <is>
          <t>SÖDERMANLANDS LÄN</t>
        </is>
      </c>
      <c r="G350" t="inlineStr">
        <is>
          <t>ESKILSTUNA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45723</v>
      </c>
      <c r="E351" s="1" t="n">
        <v>46265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46265</v>
      </c>
      <c r="F352" t="inlineStr">
        <is>
          <t>SÖDERMANLANDS LÄN</t>
        </is>
      </c>
      <c r="G352" t="inlineStr">
        <is>
          <t>ESKILSTUNA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45918</v>
      </c>
      <c r="E353" s="1" t="n">
        <v>46265</v>
      </c>
      <c r="F353" t="inlineStr">
        <is>
          <t>SÖDERMANLANDS LÄN</t>
        </is>
      </c>
      <c r="G353" t="inlineStr">
        <is>
          <t>ESKILSTUNA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45240</v>
      </c>
      <c r="E354" s="1" t="n">
        <v>46265</v>
      </c>
      <c r="F354" t="inlineStr">
        <is>
          <t>SÖDERMANLANDS LÄN</t>
        </is>
      </c>
      <c r="G354" t="inlineStr">
        <is>
          <t>ESKILSTUNA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25229-2022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44729</v>
      </c>
      <c r="E355" s="1" t="n">
        <v>46265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36565-2022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46265</v>
      </c>
      <c r="F356" t="inlineStr">
        <is>
          <t>SÖDERMANLANDS LÄN</t>
        </is>
      </c>
      <c r="G356" t="inlineStr">
        <is>
          <t>ESKILSTUNA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61831-2023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45266</v>
      </c>
      <c r="E357" s="1" t="n">
        <v>46265</v>
      </c>
      <c r="F357" t="inlineStr">
        <is>
          <t>SÖDERMANLANDS LÄN</t>
        </is>
      </c>
      <c r="G357" t="inlineStr">
        <is>
          <t>ESKILSTUNA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29068-2022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44749</v>
      </c>
      <c r="E358" s="1" t="n">
        <v>46265</v>
      </c>
      <c r="F358" t="inlineStr">
        <is>
          <t>SÖDERMANLANDS LÄN</t>
        </is>
      </c>
      <c r="G358" t="inlineStr">
        <is>
          <t>ESKILSTUNA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1330-2024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45303</v>
      </c>
      <c r="E359" s="1" t="n">
        <v>46265</v>
      </c>
      <c r="F359" t="inlineStr">
        <is>
          <t>SÖDERMANLANDS LÄN</t>
        </is>
      </c>
      <c r="G359" t="inlineStr">
        <is>
          <t>ESKILSTUNA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1334-2024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45303</v>
      </c>
      <c r="E360" s="1" t="n">
        <v>46265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46265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Kommuner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29750-2022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44755</v>
      </c>
      <c r="E362" s="1" t="n">
        <v>46265</v>
      </c>
      <c r="F362" t="inlineStr">
        <is>
          <t>SÖDERMANLANDS LÄN</t>
        </is>
      </c>
      <c r="G362" t="inlineStr">
        <is>
          <t>ESKILSTUNA</t>
        </is>
      </c>
      <c r="I362" t="n">
        <v>20.1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45715</v>
      </c>
      <c r="E363" s="1" t="n">
        <v>46265</v>
      </c>
      <c r="F363" t="inlineStr">
        <is>
          <t>SÖDERMANLANDS LÄN</t>
        </is>
      </c>
      <c r="G363" t="inlineStr">
        <is>
          <t>ESKILSTUNA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30968-2022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44768</v>
      </c>
      <c r="E364" s="1" t="n">
        <v>46265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Sveaskog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46265</v>
      </c>
      <c r="F365" t="inlineStr">
        <is>
          <t>SÖDERMANLANDS LÄN</t>
        </is>
      </c>
      <c r="G365" t="inlineStr">
        <is>
          <t>ESKILSTUNA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44966</v>
      </c>
      <c r="E366" s="1" t="n">
        <v>46265</v>
      </c>
      <c r="F366" t="inlineStr">
        <is>
          <t>SÖDERMANLANDS LÄN</t>
        </is>
      </c>
      <c r="G366" t="inlineStr">
        <is>
          <t>ESKILSTUNA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44804</v>
      </c>
      <c r="E367" s="1" t="n">
        <v>46265</v>
      </c>
      <c r="F367" t="inlineStr">
        <is>
          <t>SÖDERMANLANDS LÄN</t>
        </is>
      </c>
      <c r="G367" t="inlineStr">
        <is>
          <t>ESKILSTUNA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46265</v>
      </c>
      <c r="F368" t="inlineStr">
        <is>
          <t>SÖDERMANLANDS LÄN</t>
        </is>
      </c>
      <c r="G368" t="inlineStr">
        <is>
          <t>ESKILSTUNA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12297-2023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46265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Kommuner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61830-2023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45266</v>
      </c>
      <c r="E370" s="1" t="n">
        <v>46265</v>
      </c>
      <c r="F370" t="inlineStr">
        <is>
          <t>SÖDERMANLANDS LÄN</t>
        </is>
      </c>
      <c r="G370" t="inlineStr">
        <is>
          <t>ESKILSTUNA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46265</v>
      </c>
      <c r="F371" t="inlineStr">
        <is>
          <t>SÖDERMANLANDS LÄN</t>
        </is>
      </c>
      <c r="G371" t="inlineStr">
        <is>
          <t>ESKILSTUNA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46265</v>
      </c>
      <c r="F372" t="inlineStr">
        <is>
          <t>SÖDERMANLANDS LÄN</t>
        </is>
      </c>
      <c r="G372" t="inlineStr">
        <is>
          <t>ESKILSTUNA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44582</v>
      </c>
      <c r="E373" s="1" t="n">
        <v>46265</v>
      </c>
      <c r="F373" t="inlineStr">
        <is>
          <t>SÖDERMANLANDS LÄN</t>
        </is>
      </c>
      <c r="G373" t="inlineStr">
        <is>
          <t>ESKILSTUNA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36142-2022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46265</v>
      </c>
      <c r="F374" t="inlineStr">
        <is>
          <t>SÖDERMANLANDS LÄN</t>
        </is>
      </c>
      <c r="G374" t="inlineStr">
        <is>
          <t>ESKILSTUNA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44803</v>
      </c>
      <c r="E375" s="1" t="n">
        <v>46265</v>
      </c>
      <c r="F375" t="inlineStr">
        <is>
          <t>SÖDERMANLANDS LÄN</t>
        </is>
      </c>
      <c r="G375" t="inlineStr">
        <is>
          <t>ESKILSTUNA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70613-2021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44537</v>
      </c>
      <c r="E376" s="1" t="n">
        <v>46265</v>
      </c>
      <c r="F376" t="inlineStr">
        <is>
          <t>SÖDERMANLANDS LÄN</t>
        </is>
      </c>
      <c r="G376" t="inlineStr">
        <is>
          <t>ESKILSTUNA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46265</v>
      </c>
      <c r="F377" t="inlineStr">
        <is>
          <t>SÖDERMANLANDS LÄN</t>
        </is>
      </c>
      <c r="G377" t="inlineStr">
        <is>
          <t>ESKILSTUNA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46265</v>
      </c>
      <c r="F378" t="inlineStr">
        <is>
          <t>SÖDERMANLANDS LÄN</t>
        </is>
      </c>
      <c r="G378" t="inlineStr">
        <is>
          <t>ESKILSTUNA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45763</v>
      </c>
      <c r="E379" s="1" t="n">
        <v>46265</v>
      </c>
      <c r="F379" t="inlineStr">
        <is>
          <t>SÖDERMANLANDS LÄN</t>
        </is>
      </c>
      <c r="G379" t="inlineStr">
        <is>
          <t>ESKILSTUNA</t>
        </is>
      </c>
      <c r="I379" t="n">
        <v>15.6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44874</v>
      </c>
      <c r="E380" s="1" t="n">
        <v>46265</v>
      </c>
      <c r="F380" t="inlineStr">
        <is>
          <t>SÖDERMANLANDS LÄN</t>
        </is>
      </c>
      <c r="G380" t="inlineStr">
        <is>
          <t>ESKILSTUNA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46265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50484-2025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45945</v>
      </c>
      <c r="E382" s="1" t="n">
        <v>46265</v>
      </c>
      <c r="F382" t="inlineStr">
        <is>
          <t>SÖDERMANLANDS LÄN</t>
        </is>
      </c>
      <c r="G382" t="inlineStr">
        <is>
          <t>ESKILSTUNA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28582-2023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45103</v>
      </c>
      <c r="E383" s="1" t="n">
        <v>46265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45005</v>
      </c>
      <c r="E384" s="1" t="n">
        <v>46265</v>
      </c>
      <c r="F384" t="inlineStr">
        <is>
          <t>SÖDERMANLANDS LÄN</t>
        </is>
      </c>
      <c r="G384" t="inlineStr">
        <is>
          <t>ESKILSTUNA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39291-2023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46265</v>
      </c>
      <c r="F385" t="inlineStr">
        <is>
          <t>SÖDERMANLANDS LÄN</t>
        </is>
      </c>
      <c r="G385" t="inlineStr">
        <is>
          <t>ESKILSTUNA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44942</v>
      </c>
      <c r="E386" s="1" t="n">
        <v>46265</v>
      </c>
      <c r="F386" t="inlineStr">
        <is>
          <t>SÖDERMANLANDS LÄN</t>
        </is>
      </c>
      <c r="G386" t="inlineStr">
        <is>
          <t>ESKILSTUNA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44819</v>
      </c>
      <c r="E387" s="1" t="n">
        <v>46265</v>
      </c>
      <c r="F387" t="inlineStr">
        <is>
          <t>SÖDERMANLANDS LÄN</t>
        </is>
      </c>
      <c r="G387" t="inlineStr">
        <is>
          <t>ESKILSTUNA</t>
        </is>
      </c>
      <c r="I387" t="n">
        <v>11.6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48671-2021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44452</v>
      </c>
      <c r="E388" s="1" t="n">
        <v>46265</v>
      </c>
      <c r="F388" t="inlineStr">
        <is>
          <t>SÖDERMANLANDS LÄN</t>
        </is>
      </c>
      <c r="G388" t="inlineStr">
        <is>
          <t>ESKILSTUNA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53476-2021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44468</v>
      </c>
      <c r="E389" s="1" t="n">
        <v>46265</v>
      </c>
      <c r="F389" t="inlineStr">
        <is>
          <t>SÖDERMANLANDS LÄN</t>
        </is>
      </c>
      <c r="G389" t="inlineStr">
        <is>
          <t>ESKILSTUNA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52290-2024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46265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Övriga Aktiebolag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46265</v>
      </c>
      <c r="F391" t="inlineStr">
        <is>
          <t>SÖDERMANLANDS LÄN</t>
        </is>
      </c>
      <c r="G391" t="inlineStr">
        <is>
          <t>ESKILSTUNA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46265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55673-2024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46265</v>
      </c>
      <c r="F393" t="inlineStr">
        <is>
          <t>SÖDERMANLANDS LÄN</t>
        </is>
      </c>
      <c r="G393" t="inlineStr">
        <is>
          <t>ESKILSTUNA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46265</v>
      </c>
      <c r="F394" t="inlineStr">
        <is>
          <t>SÖDERMANLANDS LÄN</t>
        </is>
      </c>
      <c r="G394" t="inlineStr">
        <is>
          <t>ESKILSTUNA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45004</v>
      </c>
      <c r="E395" s="1" t="n">
        <v>46265</v>
      </c>
      <c r="F395" t="inlineStr">
        <is>
          <t>SÖDERMANLANDS LÄN</t>
        </is>
      </c>
      <c r="G395" t="inlineStr">
        <is>
          <t>ESKILSTUNA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46872-2022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44851</v>
      </c>
      <c r="E396" s="1" t="n">
        <v>46265</v>
      </c>
      <c r="F396" t="inlineStr">
        <is>
          <t>SÖDERMANLANDS LÄN</t>
        </is>
      </c>
      <c r="G396" t="inlineStr">
        <is>
          <t>ESKILSTUNA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45198</v>
      </c>
      <c r="E397" s="1" t="n">
        <v>46265</v>
      </c>
      <c r="F397" t="inlineStr">
        <is>
          <t>SÖDERMANLANDS LÄN</t>
        </is>
      </c>
      <c r="G397" t="inlineStr">
        <is>
          <t>ESKILSTUNA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44729</v>
      </c>
      <c r="E398" s="1" t="n">
        <v>46265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59151-2022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44904</v>
      </c>
      <c r="E399" s="1" t="n">
        <v>46265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44946</v>
      </c>
      <c r="E400" s="1" t="n">
        <v>46265</v>
      </c>
      <c r="F400" t="inlineStr">
        <is>
          <t>SÖDERMANLANDS LÄN</t>
        </is>
      </c>
      <c r="G400" t="inlineStr">
        <is>
          <t>ESKILSTUNA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57541-2022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44889</v>
      </c>
      <c r="E401" s="1" t="n">
        <v>46265</v>
      </c>
      <c r="F401" t="inlineStr">
        <is>
          <t>SÖDERMANLANDS LÄN</t>
        </is>
      </c>
      <c r="G401" t="inlineStr">
        <is>
          <t>ESKILSTUNA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44592</v>
      </c>
      <c r="E402" s="1" t="n">
        <v>46265</v>
      </c>
      <c r="F402" t="inlineStr">
        <is>
          <t>SÖDERMANLANDS LÄN</t>
        </is>
      </c>
      <c r="G402" t="inlineStr">
        <is>
          <t>ESKILSTUNA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45061</v>
      </c>
      <c r="E403" s="1" t="n">
        <v>46265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44797</v>
      </c>
      <c r="E404" s="1" t="n">
        <v>46265</v>
      </c>
      <c r="F404" t="inlineStr">
        <is>
          <t>SÖDERMANLANDS LÄN</t>
        </is>
      </c>
      <c r="G404" t="inlineStr">
        <is>
          <t>ESKILSTUNA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45329</v>
      </c>
      <c r="E405" s="1" t="n">
        <v>46265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Kyrkan</t>
        </is>
      </c>
      <c r="I405" t="n">
        <v>12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46265</v>
      </c>
      <c r="F406" t="inlineStr">
        <is>
          <t>SÖDERMANLANDS LÄN</t>
        </is>
      </c>
      <c r="G406" t="inlineStr">
        <is>
          <t>ESKILSTUNA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46265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44701</v>
      </c>
      <c r="E408" s="1" t="n">
        <v>46265</v>
      </c>
      <c r="F408" t="inlineStr">
        <is>
          <t>SÖDERMANLANDS LÄN</t>
        </is>
      </c>
      <c r="G408" t="inlineStr">
        <is>
          <t>ESKILSTUNA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45303</v>
      </c>
      <c r="E409" s="1" t="n">
        <v>46265</v>
      </c>
      <c r="F409" t="inlineStr">
        <is>
          <t>SÖDERMANLANDS LÄN</t>
        </is>
      </c>
      <c r="G409" t="inlineStr">
        <is>
          <t>ESKILSTUNA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45170</v>
      </c>
      <c r="E410" s="1" t="n">
        <v>46265</v>
      </c>
      <c r="F410" t="inlineStr">
        <is>
          <t>SÖDERMANLANDS LÄN</t>
        </is>
      </c>
      <c r="G410" t="inlineStr">
        <is>
          <t>ESKILSTUNA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45303</v>
      </c>
      <c r="E411" s="1" t="n">
        <v>46265</v>
      </c>
      <c r="F411" t="inlineStr">
        <is>
          <t>SÖDERMANLANDS LÄN</t>
        </is>
      </c>
      <c r="G411" t="inlineStr">
        <is>
          <t>ESKILSTUNA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36648-2022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44804</v>
      </c>
      <c r="E412" s="1" t="n">
        <v>46265</v>
      </c>
      <c r="F412" t="inlineStr">
        <is>
          <t>SÖDERMANLANDS LÄN</t>
        </is>
      </c>
      <c r="G412" t="inlineStr">
        <is>
          <t>ESKILSTUNA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39543-2023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46265</v>
      </c>
      <c r="F413" t="inlineStr">
        <is>
          <t>SÖDERMANLANDS LÄN</t>
        </is>
      </c>
      <c r="G413" t="inlineStr">
        <is>
          <t>ESKILSTUNA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44732</v>
      </c>
      <c r="E414" s="1" t="n">
        <v>46265</v>
      </c>
      <c r="F414" t="inlineStr">
        <is>
          <t>SÖDERMANLANDS LÄN</t>
        </is>
      </c>
      <c r="G414" t="inlineStr">
        <is>
          <t>ESKILSTUNA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46265</v>
      </c>
      <c r="F415" t="inlineStr">
        <is>
          <t>SÖDERMANLANDS LÄN</t>
        </is>
      </c>
      <c r="G415" t="inlineStr">
        <is>
          <t>ESKILSTUNA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45664</v>
      </c>
      <c r="E416" s="1" t="n">
        <v>46265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Allmännings- och besparingsskogar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46265</v>
      </c>
      <c r="F417" t="inlineStr">
        <is>
          <t>SÖDERMANLANDS LÄN</t>
        </is>
      </c>
      <c r="G417" t="inlineStr">
        <is>
          <t>ESKILSTUNA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33255-2024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45518</v>
      </c>
      <c r="E418" s="1" t="n">
        <v>46265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Övriga Aktiebolag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46265</v>
      </c>
      <c r="F419" t="inlineStr">
        <is>
          <t>SÖDERMANLANDS LÄN</t>
        </is>
      </c>
      <c r="G419" t="inlineStr">
        <is>
          <t>ESKILSTUNA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45303</v>
      </c>
      <c r="E420" s="1" t="n">
        <v>46265</v>
      </c>
      <c r="F420" t="inlineStr">
        <is>
          <t>SÖDERMANLANDS LÄN</t>
        </is>
      </c>
      <c r="G420" t="inlineStr">
        <is>
          <t>ESKILSTUNA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1346-2024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45303</v>
      </c>
      <c r="E421" s="1" t="n">
        <v>46265</v>
      </c>
      <c r="F421" t="inlineStr">
        <is>
          <t>SÖDERMANLANDS LÄN</t>
        </is>
      </c>
      <c r="G421" t="inlineStr">
        <is>
          <t>ESKILSTUNA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53098-2022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44873</v>
      </c>
      <c r="E422" s="1" t="n">
        <v>46265</v>
      </c>
      <c r="F422" t="inlineStr">
        <is>
          <t>SÖDERMANLANDS LÄN</t>
        </is>
      </c>
      <c r="G422" t="inlineStr">
        <is>
          <t>ESKILSTUNA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46265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46265</v>
      </c>
      <c r="F424" t="inlineStr">
        <is>
          <t>SÖDERMANLANDS LÄN</t>
        </is>
      </c>
      <c r="G424" t="inlineStr">
        <is>
          <t>ESKILSTUNA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48998-2023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45209</v>
      </c>
      <c r="E425" s="1" t="n">
        <v>46265</v>
      </c>
      <c r="F425" t="inlineStr">
        <is>
          <t>SÖDERMANLANDS LÄN</t>
        </is>
      </c>
      <c r="G425" t="inlineStr">
        <is>
          <t>ESKILSTUNA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44844</v>
      </c>
      <c r="E426" s="1" t="n">
        <v>46265</v>
      </c>
      <c r="F426" t="inlineStr">
        <is>
          <t>SÖDERMANLANDS LÄN</t>
        </is>
      </c>
      <c r="G426" t="inlineStr">
        <is>
          <t>ESKILSTUNA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45884-2022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44844</v>
      </c>
      <c r="E427" s="1" t="n">
        <v>46265</v>
      </c>
      <c r="F427" t="inlineStr">
        <is>
          <t>SÖDERMANLANDS LÄN</t>
        </is>
      </c>
      <c r="G427" t="inlineStr">
        <is>
          <t>ESKILSTUNA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44942</v>
      </c>
      <c r="E428" s="1" t="n">
        <v>46265</v>
      </c>
      <c r="F428" t="inlineStr">
        <is>
          <t>SÖDERMANLANDS LÄN</t>
        </is>
      </c>
      <c r="G428" t="inlineStr">
        <is>
          <t>ESKILSTUNA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46150</v>
      </c>
      <c r="E429" s="1" t="n">
        <v>46265</v>
      </c>
      <c r="F429" t="inlineStr">
        <is>
          <t>SÖDERMANLANDS LÄN</t>
        </is>
      </c>
      <c r="G429" t="inlineStr">
        <is>
          <t>ESKILSTUNA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32708-2024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45514</v>
      </c>
      <c r="E430" s="1" t="n">
        <v>46265</v>
      </c>
      <c r="F430" t="inlineStr">
        <is>
          <t>SÖDERMANLANDS LÄN</t>
        </is>
      </c>
      <c r="G430" t="inlineStr">
        <is>
          <t>ESKILSTUNA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45058</v>
      </c>
      <c r="E431" s="1" t="n">
        <v>46265</v>
      </c>
      <c r="F431" t="inlineStr">
        <is>
          <t>SÖDERMANLANDS LÄN</t>
        </is>
      </c>
      <c r="G431" t="inlineStr">
        <is>
          <t>ESKILSTUNA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33585-2022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46265</v>
      </c>
      <c r="F432" t="inlineStr">
        <is>
          <t>SÖDERMANLANDS LÄN</t>
        </is>
      </c>
      <c r="G432" t="inlineStr">
        <is>
          <t>ESKILSTUNA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6598-2024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45341</v>
      </c>
      <c r="E433" s="1" t="n">
        <v>46265</v>
      </c>
      <c r="F433" t="inlineStr">
        <is>
          <t>SÖDERMANLANDS LÄN</t>
        </is>
      </c>
      <c r="G433" t="inlineStr">
        <is>
          <t>ESKILSTUNA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45695</v>
      </c>
      <c r="E434" s="1" t="n">
        <v>46265</v>
      </c>
      <c r="F434" t="inlineStr">
        <is>
          <t>SÖDERMANLANDS LÄN</t>
        </is>
      </c>
      <c r="G434" t="inlineStr">
        <is>
          <t>ESKILSTUNA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15592-2023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45020</v>
      </c>
      <c r="E435" s="1" t="n">
        <v>46265</v>
      </c>
      <c r="F435" t="inlineStr">
        <is>
          <t>SÖDERMANLANDS LÄN</t>
        </is>
      </c>
      <c r="G435" t="inlineStr">
        <is>
          <t>ESKILSTUNA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46265</v>
      </c>
      <c r="F436" t="inlineStr">
        <is>
          <t>SÖDERMANLANDS LÄN</t>
        </is>
      </c>
      <c r="G436" t="inlineStr">
        <is>
          <t>ESKILSTUNA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45695</v>
      </c>
      <c r="E437" s="1" t="n">
        <v>46265</v>
      </c>
      <c r="F437" t="inlineStr">
        <is>
          <t>SÖDERMANLANDS LÄN</t>
        </is>
      </c>
      <c r="G437" t="inlineStr">
        <is>
          <t>ESKILSTUNA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45695</v>
      </c>
      <c r="E438" s="1" t="n">
        <v>46265</v>
      </c>
      <c r="F438" t="inlineStr">
        <is>
          <t>SÖDERMANLANDS LÄN</t>
        </is>
      </c>
      <c r="G438" t="inlineStr">
        <is>
          <t>ESKILSTUNA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46265</v>
      </c>
      <c r="F439" t="inlineStr">
        <is>
          <t>SÖDERMANLANDS LÄN</t>
        </is>
      </c>
      <c r="G439" t="inlineStr">
        <is>
          <t>ESKILSTUNA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59138-2024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45637</v>
      </c>
      <c r="E440" s="1" t="n">
        <v>46265</v>
      </c>
      <c r="F440" t="inlineStr">
        <is>
          <t>SÖDERMANLANDS LÄN</t>
        </is>
      </c>
      <c r="G440" t="inlineStr">
        <is>
          <t>ESKILSTUNA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46265</v>
      </c>
      <c r="F441" t="inlineStr">
        <is>
          <t>SÖDERMANLANDS LÄN</t>
        </is>
      </c>
      <c r="G441" t="inlineStr">
        <is>
          <t>ESKILSTUNA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53181-2024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46265</v>
      </c>
      <c r="F442" t="inlineStr">
        <is>
          <t>SÖDERMANLANDS LÄN</t>
        </is>
      </c>
      <c r="G442" t="inlineStr">
        <is>
          <t>ESKILSTUNA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1538-2025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45670</v>
      </c>
      <c r="E443" s="1" t="n">
        <v>46265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70560-2021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44536</v>
      </c>
      <c r="E444" s="1" t="n">
        <v>46265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45615</v>
      </c>
      <c r="E445" s="1" t="n">
        <v>46265</v>
      </c>
      <c r="F445" t="inlineStr">
        <is>
          <t>SÖDERMANLANDS LÄN</t>
        </is>
      </c>
      <c r="G445" t="inlineStr">
        <is>
          <t>ESKILSTUNA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45183</v>
      </c>
      <c r="E446" s="1" t="n">
        <v>46265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9711-2025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45715</v>
      </c>
      <c r="E447" s="1" t="n">
        <v>46265</v>
      </c>
      <c r="F447" t="inlineStr">
        <is>
          <t>SÖDERMANLANDS LÄN</t>
        </is>
      </c>
      <c r="G447" t="inlineStr">
        <is>
          <t>ESKILSTUNA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46265</v>
      </c>
      <c r="F448" t="inlineStr">
        <is>
          <t>SÖDERMANLANDS LÄN</t>
        </is>
      </c>
      <c r="G448" t="inlineStr">
        <is>
          <t>ESKILSTUNA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46265</v>
      </c>
      <c r="F449" t="inlineStr">
        <is>
          <t>SÖDERMANLANDS LÄN</t>
        </is>
      </c>
      <c r="G449" t="inlineStr">
        <is>
          <t>ESKILSTUNA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52203-2025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45953</v>
      </c>
      <c r="E450" s="1" t="n">
        <v>46265</v>
      </c>
      <c r="F450" t="inlineStr">
        <is>
          <t>SÖDERMANLANDS LÄN</t>
        </is>
      </c>
      <c r="G450" t="inlineStr">
        <is>
          <t>ESKILSTUNA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46265</v>
      </c>
      <c r="F451" t="inlineStr">
        <is>
          <t>SÖDERMANLANDS LÄN</t>
        </is>
      </c>
      <c r="G451" t="inlineStr">
        <is>
          <t>ESKILSTUNA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46265</v>
      </c>
      <c r="F452" t="inlineStr">
        <is>
          <t>SÖDERMANLANDS LÄN</t>
        </is>
      </c>
      <c r="G452" t="inlineStr">
        <is>
          <t>ESKILSTUNA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46265</v>
      </c>
      <c r="F453" t="inlineStr">
        <is>
          <t>SÖDERMANLANDS LÄN</t>
        </is>
      </c>
      <c r="G453" t="inlineStr">
        <is>
          <t>ESKILSTUNA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52221-2025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45953</v>
      </c>
      <c r="E454" s="1" t="n">
        <v>46265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46265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46265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26022-2026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46265</v>
      </c>
      <c r="F457" t="inlineStr">
        <is>
          <t>SÖDERMANLANDS LÄN</t>
        </is>
      </c>
      <c r="G457" t="inlineStr">
        <is>
          <t>ESKILSTUNA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46265</v>
      </c>
      <c r="F458" t="inlineStr">
        <is>
          <t>SÖDERMANLANDS LÄN</t>
        </is>
      </c>
      <c r="G458" t="inlineStr">
        <is>
          <t>ESKILSTUNA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46265</v>
      </c>
      <c r="F459" t="inlineStr">
        <is>
          <t>SÖDERMANLANDS LÄN</t>
        </is>
      </c>
      <c r="G459" t="inlineStr">
        <is>
          <t>ESKILSTUNA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46265</v>
      </c>
      <c r="F460" t="inlineStr">
        <is>
          <t>SÖDERMANLANDS LÄN</t>
        </is>
      </c>
      <c r="G460" t="inlineStr">
        <is>
          <t>ESKILSTUNA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46265</v>
      </c>
      <c r="F461" t="inlineStr">
        <is>
          <t>SÖDERMANLANDS LÄN</t>
        </is>
      </c>
      <c r="G461" t="inlineStr">
        <is>
          <t>ESKILSTUNA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27779-2026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46191</v>
      </c>
      <c r="E462" s="1" t="n">
        <v>46265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46265</v>
      </c>
      <c r="F463" t="inlineStr">
        <is>
          <t>SÖDERMANLANDS LÄN</t>
        </is>
      </c>
      <c r="G463" t="inlineStr">
        <is>
          <t>ESKILSTUNA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46265</v>
      </c>
      <c r="F464" t="inlineStr">
        <is>
          <t>SÖDERMANLANDS LÄN</t>
        </is>
      </c>
      <c r="G464" t="inlineStr">
        <is>
          <t>ESKILSTUNA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46238</v>
      </c>
      <c r="E465" s="1" t="n">
        <v>46265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Sveaskog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46237</v>
      </c>
      <c r="E466" s="1" t="n">
        <v>46265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46265</v>
      </c>
      <c r="F467" t="inlineStr">
        <is>
          <t>SÖDERMANLANDS LÄN</t>
        </is>
      </c>
      <c r="G467" t="inlineStr">
        <is>
          <t>ESKILSTUNA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28428-2026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46265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32969-2026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46265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Kommuner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29053-2026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46199</v>
      </c>
      <c r="E470" s="1" t="n">
        <v>46265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46265</v>
      </c>
      <c r="F471" t="inlineStr">
        <is>
          <t>SÖDERMANLANDS LÄN</t>
        </is>
      </c>
      <c r="G471" t="inlineStr">
        <is>
          <t>ESKILSTUNA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29051-2026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46199</v>
      </c>
      <c r="E472" s="1" t="n">
        <v>46265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46241</v>
      </c>
      <c r="E473" s="1" t="n">
        <v>46265</v>
      </c>
      <c r="F473" t="inlineStr">
        <is>
          <t>SÖDERMANLANDS LÄN</t>
        </is>
      </c>
      <c r="G473" t="inlineStr">
        <is>
          <t>ESKILSTUNA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46265</v>
      </c>
      <c r="F474" t="inlineStr">
        <is>
          <t>SÖDERMANLANDS LÄN</t>
        </is>
      </c>
      <c r="G474" t="inlineStr">
        <is>
          <t>ESKILSTUNA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46265</v>
      </c>
      <c r="F475" t="inlineStr">
        <is>
          <t>SÖDERMANLANDS LÄN</t>
        </is>
      </c>
      <c r="G475" t="inlineStr">
        <is>
          <t>ESKILSTUNA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46246</v>
      </c>
      <c r="E476" s="1" t="n">
        <v>46265</v>
      </c>
      <c r="F476" t="inlineStr">
        <is>
          <t>SÖDERMANLANDS LÄN</t>
        </is>
      </c>
      <c r="G476" t="inlineStr">
        <is>
          <t>ESKILSTUNA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46265</v>
      </c>
      <c r="F477" t="inlineStr">
        <is>
          <t>SÖDERMANLANDS LÄN</t>
        </is>
      </c>
      <c r="G477" t="inlineStr">
        <is>
          <t>ESKILSTUNA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46265</v>
      </c>
      <c r="F478" t="inlineStr">
        <is>
          <t>SÖDERMANLANDS LÄN</t>
        </is>
      </c>
      <c r="G478" t="inlineStr">
        <is>
          <t>ESKILSTUNA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46265</v>
      </c>
      <c r="F479" t="inlineStr">
        <is>
          <t>SÖDERMANLANDS LÄN</t>
        </is>
      </c>
      <c r="G479" t="inlineStr">
        <is>
          <t>ESKILSTUNA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30963-2026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46213</v>
      </c>
      <c r="E480" s="1" t="n">
        <v>46265</v>
      </c>
      <c r="F480" t="inlineStr">
        <is>
          <t>SÖDERMANLANDS LÄN</t>
        </is>
      </c>
      <c r="G480" t="inlineStr">
        <is>
          <t>ESKILSTUNA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46265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46265</v>
      </c>
      <c r="F482" t="inlineStr">
        <is>
          <t>SÖDERMANLANDS LÄN</t>
        </is>
      </c>
      <c r="G482" t="inlineStr">
        <is>
          <t>ESKILSTUNA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31131-2026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46216</v>
      </c>
      <c r="E483" s="1" t="n">
        <v>46265</v>
      </c>
      <c r="F483" t="inlineStr">
        <is>
          <t>SÖDERMANLANDS LÄN</t>
        </is>
      </c>
      <c r="G483" t="inlineStr">
        <is>
          <t>ESKILSTUNA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46217</v>
      </c>
      <c r="E484" s="1" t="n">
        <v>46265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Kommuner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46217</v>
      </c>
      <c r="E485" s="1" t="n">
        <v>46265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Kommuner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46216</v>
      </c>
      <c r="E486" s="1" t="n">
        <v>46265</v>
      </c>
      <c r="F486" t="inlineStr">
        <is>
          <t>SÖDERMANLANDS LÄN</t>
        </is>
      </c>
      <c r="G486" t="inlineStr">
        <is>
          <t>ESKILSTUNA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46265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46265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46265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46265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46265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46265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46265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46265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46265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46265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46265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46265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46265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46265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2026-08-31T10:01:18Z</dcterms:created>
  <dcterms:modified xmlns:dcterms="http://purl.org/dc/terms/" xmlns:xsi="http://www.w3.org/2001/XMLSchema-instance" xsi:type="dcterms:W3CDTF">2026-08-31T10:01:19Z</dcterms:modified>
</cp:coreProperties>
</file>