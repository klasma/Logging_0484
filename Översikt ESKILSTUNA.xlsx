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5064-2020</t>
        </is>
      </c>
      <c r="B2" s="1" t="n">
        <v>43859</v>
      </c>
      <c r="C2" s="1" t="n">
        <v>45473</v>
      </c>
      <c r="D2" t="inlineStr">
        <is>
          <t>SÖDERMANLANDS LÄN</t>
        </is>
      </c>
      <c r="E2" t="inlineStr">
        <is>
          <t>ESKILSTUNA</t>
        </is>
      </c>
      <c r="F2" t="inlineStr">
        <is>
          <t>Kyrkan</t>
        </is>
      </c>
      <c r="G2" t="n">
        <v>44.2</v>
      </c>
      <c r="H2" t="n">
        <v>9</v>
      </c>
      <c r="I2" t="n">
        <v>7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Grönfink
Rynkskinn
Ulltickeporing
Mindre hackspett
Rödvingetrast
Spillkråka
Talltita
Ullticka
Björksplintborre
Blomkålssvamp
Bronshjon
Fjällig taggsvamp s.str.
Grön sköldmossa
Kornig nållav
Vågbandad barkbock
Sparvuggla
Nattviol
Blåsippa</t>
        </is>
      </c>
      <c r="S2">
        <f>HYPERLINK("https://klasma.github.io/Logging_0484/artfynd/A 5064-2020 artfynd.xlsx", "A 5064-2020")</f>
        <v/>
      </c>
      <c r="T2">
        <f>HYPERLINK("https://klasma.github.io/Logging_0484/kartor/A 5064-2020 karta.png", "A 5064-2020")</f>
        <v/>
      </c>
      <c r="V2">
        <f>HYPERLINK("https://klasma.github.io/Logging_0484/klagomål/A 5064-2020 FSC-klagomål.docx", "A 5064-2020")</f>
        <v/>
      </c>
      <c r="W2">
        <f>HYPERLINK("https://klasma.github.io/Logging_0484/klagomålsmail/A 5064-2020 FSC-klagomål mail.docx", "A 5064-2020")</f>
        <v/>
      </c>
      <c r="X2">
        <f>HYPERLINK("https://klasma.github.io/Logging_0484/tillsyn/A 5064-2020 tillsynsbegäran.docx", "A 5064-2020")</f>
        <v/>
      </c>
      <c r="Y2">
        <f>HYPERLINK("https://klasma.github.io/Logging_0484/tillsynsmail/A 5064-2020 tillsynsbegäran mail.docx", "A 5064-2020")</f>
        <v/>
      </c>
      <c r="Z2">
        <f>HYPERLINK("https://klasma.github.io/Logging_0484/fåglar/A 5064-2020 prioriterade fågelarter.docx", "A 5064-2020")</f>
        <v/>
      </c>
    </row>
    <row r="3" ht="15" customHeight="1">
      <c r="A3" t="inlineStr">
        <is>
          <t>A 38819-2021</t>
        </is>
      </c>
      <c r="B3" s="1" t="n">
        <v>44410</v>
      </c>
      <c r="C3" s="1" t="n">
        <v>45473</v>
      </c>
      <c r="D3" t="inlineStr">
        <is>
          <t>SÖDERMANLANDS LÄN</t>
        </is>
      </c>
      <c r="E3" t="inlineStr">
        <is>
          <t>ESKILSTUNA</t>
        </is>
      </c>
      <c r="F3" t="inlineStr">
        <is>
          <t>Sveaskog</t>
        </is>
      </c>
      <c r="G3" t="n">
        <v>8.6</v>
      </c>
      <c r="H3" t="n">
        <v>2</v>
      </c>
      <c r="I3" t="n">
        <v>12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18</v>
      </c>
      <c r="R3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3">
        <f>HYPERLINK("https://klasma.github.io/Logging_0484/artfynd/A 38819-2021 artfynd.xlsx", "A 38819-2021")</f>
        <v/>
      </c>
      <c r="T3">
        <f>HYPERLINK("https://klasma.github.io/Logging_0484/kartor/A 38819-2021 karta.png", "A 38819-2021")</f>
        <v/>
      </c>
      <c r="V3">
        <f>HYPERLINK("https://klasma.github.io/Logging_0484/klagomål/A 38819-2021 FSC-klagomål.docx", "A 38819-2021")</f>
        <v/>
      </c>
      <c r="W3">
        <f>HYPERLINK("https://klasma.github.io/Logging_0484/klagomålsmail/A 38819-2021 FSC-klagomål mail.docx", "A 38819-2021")</f>
        <v/>
      </c>
      <c r="X3">
        <f>HYPERLINK("https://klasma.github.io/Logging_0484/tillsyn/A 38819-2021 tillsynsbegäran.docx", "A 38819-2021")</f>
        <v/>
      </c>
      <c r="Y3">
        <f>HYPERLINK("https://klasma.github.io/Logging_0484/tillsynsmail/A 38819-2021 tillsynsbegäran mail.docx", "A 38819-2021")</f>
        <v/>
      </c>
    </row>
    <row r="4" ht="15" customHeight="1">
      <c r="A4" t="inlineStr">
        <is>
          <t>A 50772-2023</t>
        </is>
      </c>
      <c r="B4" s="1" t="n">
        <v>45217</v>
      </c>
      <c r="C4" s="1" t="n">
        <v>45473</v>
      </c>
      <c r="D4" t="inlineStr">
        <is>
          <t>SÖDERMANLANDS LÄN</t>
        </is>
      </c>
      <c r="E4" t="inlineStr">
        <is>
          <t>ESKILSTUNA</t>
        </is>
      </c>
      <c r="G4" t="n">
        <v>10.8</v>
      </c>
      <c r="H4" t="n">
        <v>3</v>
      </c>
      <c r="I4" t="n">
        <v>7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4">
        <f>HYPERLINK("https://klasma.github.io/Logging_0484/artfynd/A 50772-2023 artfynd.xlsx", "A 50772-2023")</f>
        <v/>
      </c>
      <c r="T4">
        <f>HYPERLINK("https://klasma.github.io/Logging_0484/kartor/A 50772-2023 karta.png", "A 50772-2023")</f>
        <v/>
      </c>
      <c r="V4">
        <f>HYPERLINK("https://klasma.github.io/Logging_0484/klagomål/A 50772-2023 FSC-klagomål.docx", "A 50772-2023")</f>
        <v/>
      </c>
      <c r="W4">
        <f>HYPERLINK("https://klasma.github.io/Logging_0484/klagomålsmail/A 50772-2023 FSC-klagomål mail.docx", "A 50772-2023")</f>
        <v/>
      </c>
      <c r="X4">
        <f>HYPERLINK("https://klasma.github.io/Logging_0484/tillsyn/A 50772-2023 tillsynsbegäran.docx", "A 50772-2023")</f>
        <v/>
      </c>
      <c r="Y4">
        <f>HYPERLINK("https://klasma.github.io/Logging_0484/tillsynsmail/A 50772-2023 tillsynsbegäran mail.docx", "A 50772-2023")</f>
        <v/>
      </c>
      <c r="Z4">
        <f>HYPERLINK("https://klasma.github.io/Logging_0484/fåglar/A 50772-2023 prioriterade fågelarter.docx", "A 50772-2023")</f>
        <v/>
      </c>
    </row>
    <row r="5" ht="15" customHeight="1">
      <c r="A5" t="inlineStr">
        <is>
          <t>A 29642-2022</t>
        </is>
      </c>
      <c r="B5" s="1" t="n">
        <v>44754</v>
      </c>
      <c r="C5" s="1" t="n">
        <v>45473</v>
      </c>
      <c r="D5" t="inlineStr">
        <is>
          <t>SÖDERMANLANDS LÄN</t>
        </is>
      </c>
      <c r="E5" t="inlineStr">
        <is>
          <t>ESKILSTUNA</t>
        </is>
      </c>
      <c r="F5" t="inlineStr">
        <is>
          <t>Kommuner</t>
        </is>
      </c>
      <c r="G5" t="n">
        <v>14.9</v>
      </c>
      <c r="H5" t="n">
        <v>6</v>
      </c>
      <c r="I5" t="n">
        <v>5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13</v>
      </c>
      <c r="R5" s="2" t="inlineStr">
        <is>
          <t>Leptoporus erubescens
Spillkråka
Talltita
Tvåtandad spolsnäcka
Ullticka
Grön sköldmossa
Hasselticka
Igelkottsröksvamp
Jättesvampmal
Mindre märgborre
Vanlig groda
Vanlig snok
Blåsippa</t>
        </is>
      </c>
      <c r="S5">
        <f>HYPERLINK("https://klasma.github.io/Logging_0484/artfynd/A 29642-2022 artfynd.xlsx", "A 29642-2022")</f>
        <v/>
      </c>
      <c r="T5">
        <f>HYPERLINK("https://klasma.github.io/Logging_0484/kartor/A 29642-2022 karta.png", "A 29642-2022")</f>
        <v/>
      </c>
      <c r="V5">
        <f>HYPERLINK("https://klasma.github.io/Logging_0484/klagomål/A 29642-2022 FSC-klagomål.docx", "A 29642-2022")</f>
        <v/>
      </c>
      <c r="W5">
        <f>HYPERLINK("https://klasma.github.io/Logging_0484/klagomålsmail/A 29642-2022 FSC-klagomål mail.docx", "A 29642-2022")</f>
        <v/>
      </c>
      <c r="X5">
        <f>HYPERLINK("https://klasma.github.io/Logging_0484/tillsyn/A 29642-2022 tillsynsbegäran.docx", "A 29642-2022")</f>
        <v/>
      </c>
      <c r="Y5">
        <f>HYPERLINK("https://klasma.github.io/Logging_0484/tillsynsmail/A 29642-2022 tillsynsbegäran mail.docx", "A 29642-2022")</f>
        <v/>
      </c>
      <c r="Z5">
        <f>HYPERLINK("https://klasma.github.io/Logging_0484/fåglar/A 29642-2022 prioriterade fågelarter.docx", "A 29642-2022")</f>
        <v/>
      </c>
    </row>
    <row r="6" ht="15" customHeight="1">
      <c r="A6" t="inlineStr">
        <is>
          <t>A 42022-2021</t>
        </is>
      </c>
      <c r="B6" s="1" t="n">
        <v>44426</v>
      </c>
      <c r="C6" s="1" t="n">
        <v>45473</v>
      </c>
      <c r="D6" t="inlineStr">
        <is>
          <t>SÖDERMANLANDS LÄN</t>
        </is>
      </c>
      <c r="E6" t="inlineStr">
        <is>
          <t>ESKILSTUNA</t>
        </is>
      </c>
      <c r="G6" t="n">
        <v>3.9</v>
      </c>
      <c r="H6" t="n">
        <v>4</v>
      </c>
      <c r="I6" t="n">
        <v>6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11</v>
      </c>
      <c r="R6" s="2" t="inlineStr">
        <is>
          <t>Knärot
Dofttaggsvamp
Talltita
Blåmossa
Dropptaggsvamp
Fjällig taggsvamp s.str.
Grönpyrola
Kalktallört
Tjockfotad fingersvamp
Fläcknycklar
Blåsippa</t>
        </is>
      </c>
      <c r="S6">
        <f>HYPERLINK("https://klasma.github.io/Logging_0484/artfynd/A 42022-2021 artfynd.xlsx", "A 42022-2021")</f>
        <v/>
      </c>
      <c r="T6">
        <f>HYPERLINK("https://klasma.github.io/Logging_0484/kartor/A 42022-2021 karta.png", "A 42022-2021")</f>
        <v/>
      </c>
      <c r="U6">
        <f>HYPERLINK("https://klasma.github.io/Logging_0484/knärot/A 42022-2021 karta knärot.png", "A 42022-2021")</f>
        <v/>
      </c>
      <c r="V6">
        <f>HYPERLINK("https://klasma.github.io/Logging_0484/klagomål/A 42022-2021 FSC-klagomål.docx", "A 42022-2021")</f>
        <v/>
      </c>
      <c r="W6">
        <f>HYPERLINK("https://klasma.github.io/Logging_0484/klagomålsmail/A 42022-2021 FSC-klagomål mail.docx", "A 42022-2021")</f>
        <v/>
      </c>
      <c r="X6">
        <f>HYPERLINK("https://klasma.github.io/Logging_0484/tillsyn/A 42022-2021 tillsynsbegäran.docx", "A 42022-2021")</f>
        <v/>
      </c>
      <c r="Y6">
        <f>HYPERLINK("https://klasma.github.io/Logging_0484/tillsynsmail/A 42022-2021 tillsynsbegäran mail.docx", "A 42022-2021")</f>
        <v/>
      </c>
      <c r="Z6">
        <f>HYPERLINK("https://klasma.github.io/Logging_0484/fåglar/A 42022-2021 prioriterade fågelarter.docx", "A 42022-2021")</f>
        <v/>
      </c>
    </row>
    <row r="7" ht="15" customHeight="1">
      <c r="A7" t="inlineStr">
        <is>
          <t>A 62575-2021</t>
        </is>
      </c>
      <c r="B7" s="1" t="n">
        <v>44503</v>
      </c>
      <c r="C7" s="1" t="n">
        <v>45473</v>
      </c>
      <c r="D7" t="inlineStr">
        <is>
          <t>SÖDERMANLANDS LÄN</t>
        </is>
      </c>
      <c r="E7" t="inlineStr">
        <is>
          <t>ESKILSTUNA</t>
        </is>
      </c>
      <c r="G7" t="n">
        <v>13.1</v>
      </c>
      <c r="H7" t="n">
        <v>10</v>
      </c>
      <c r="I7" t="n">
        <v>0</v>
      </c>
      <c r="J7" t="n">
        <v>8</v>
      </c>
      <c r="K7" t="n">
        <v>1</v>
      </c>
      <c r="L7" t="n">
        <v>1</v>
      </c>
      <c r="M7" t="n">
        <v>0</v>
      </c>
      <c r="N7" t="n">
        <v>0</v>
      </c>
      <c r="O7" t="n">
        <v>10</v>
      </c>
      <c r="P7" t="n">
        <v>2</v>
      </c>
      <c r="Q7" t="n">
        <v>10</v>
      </c>
      <c r="R7" s="2" t="inlineStr">
        <is>
          <t>Storspov
Tofsvipa
Blå kärrhök
Duvhök
Gulsparv
Järpe
Kråka
Mindre hackspett
Sävsparv
Talltita</t>
        </is>
      </c>
      <c r="S7">
        <f>HYPERLINK("https://klasma.github.io/Logging_0484/artfynd/A 62575-2021 artfynd.xlsx", "A 62575-2021")</f>
        <v/>
      </c>
      <c r="T7">
        <f>HYPERLINK("https://klasma.github.io/Logging_0484/kartor/A 62575-2021 karta.png", "A 62575-2021")</f>
        <v/>
      </c>
      <c r="V7">
        <f>HYPERLINK("https://klasma.github.io/Logging_0484/klagomål/A 62575-2021 FSC-klagomål.docx", "A 62575-2021")</f>
        <v/>
      </c>
      <c r="W7">
        <f>HYPERLINK("https://klasma.github.io/Logging_0484/klagomålsmail/A 62575-2021 FSC-klagomål mail.docx", "A 62575-2021")</f>
        <v/>
      </c>
      <c r="X7">
        <f>HYPERLINK("https://klasma.github.io/Logging_0484/tillsyn/A 62575-2021 tillsynsbegäran.docx", "A 62575-2021")</f>
        <v/>
      </c>
      <c r="Y7">
        <f>HYPERLINK("https://klasma.github.io/Logging_0484/tillsynsmail/A 62575-2021 tillsynsbegäran mail.docx", "A 62575-2021")</f>
        <v/>
      </c>
      <c r="Z7">
        <f>HYPERLINK("https://klasma.github.io/Logging_0484/fåglar/A 62575-2021 prioriterade fågelarter.docx", "A 62575-2021")</f>
        <v/>
      </c>
    </row>
    <row r="8" ht="15" customHeight="1">
      <c r="A8" t="inlineStr">
        <is>
          <t>A 52556-2019</t>
        </is>
      </c>
      <c r="B8" s="1" t="n">
        <v>43745</v>
      </c>
      <c r="C8" s="1" t="n">
        <v>45473</v>
      </c>
      <c r="D8" t="inlineStr">
        <is>
          <t>SÖDERMANLANDS LÄN</t>
        </is>
      </c>
      <c r="E8" t="inlineStr">
        <is>
          <t>ESKILSTUNA</t>
        </is>
      </c>
      <c r="G8" t="n">
        <v>6.8</v>
      </c>
      <c r="H8" t="n">
        <v>5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8</v>
      </c>
      <c r="R8" s="2" t="inlineStr">
        <is>
          <t>Vippärt
Grönpyrola
Gullgröppa
Plattlummer
Tjäder
Vanlig snok
Blåsippa
Gullviva</t>
        </is>
      </c>
      <c r="S8">
        <f>HYPERLINK("https://klasma.github.io/Logging_0484/artfynd/A 52556-2019 artfynd.xlsx", "A 52556-2019")</f>
        <v/>
      </c>
      <c r="T8">
        <f>HYPERLINK("https://klasma.github.io/Logging_0484/kartor/A 52556-2019 karta.png", "A 52556-2019")</f>
        <v/>
      </c>
      <c r="V8">
        <f>HYPERLINK("https://klasma.github.io/Logging_0484/klagomål/A 52556-2019 FSC-klagomål.docx", "A 52556-2019")</f>
        <v/>
      </c>
      <c r="W8">
        <f>HYPERLINK("https://klasma.github.io/Logging_0484/klagomålsmail/A 52556-2019 FSC-klagomål mail.docx", "A 52556-2019")</f>
        <v/>
      </c>
      <c r="X8">
        <f>HYPERLINK("https://klasma.github.io/Logging_0484/tillsyn/A 52556-2019 tillsynsbegäran.docx", "A 52556-2019")</f>
        <v/>
      </c>
      <c r="Y8">
        <f>HYPERLINK("https://klasma.github.io/Logging_0484/tillsynsmail/A 52556-2019 tillsynsbegäran mail.docx", "A 52556-2019")</f>
        <v/>
      </c>
      <c r="Z8">
        <f>HYPERLINK("https://klasma.github.io/Logging_0484/fåglar/A 52556-2019 prioriterade fågelarter.docx", "A 52556-2019")</f>
        <v/>
      </c>
    </row>
    <row r="9" ht="15" customHeight="1">
      <c r="A9" t="inlineStr">
        <is>
          <t>A 313-2020</t>
        </is>
      </c>
      <c r="B9" s="1" t="n">
        <v>43816</v>
      </c>
      <c r="C9" s="1" t="n">
        <v>45473</v>
      </c>
      <c r="D9" t="inlineStr">
        <is>
          <t>SÖDERMANLANDS LÄN</t>
        </is>
      </c>
      <c r="E9" t="inlineStr">
        <is>
          <t>ESKILSTUNA</t>
        </is>
      </c>
      <c r="G9" t="n">
        <v>9.699999999999999</v>
      </c>
      <c r="H9" t="n">
        <v>2</v>
      </c>
      <c r="I9" t="n">
        <v>4</v>
      </c>
      <c r="J9" t="n">
        <v>0</v>
      </c>
      <c r="K9" t="n">
        <v>0</v>
      </c>
      <c r="L9" t="n">
        <v>1</v>
      </c>
      <c r="M9" t="n">
        <v>1</v>
      </c>
      <c r="N9" t="n">
        <v>0</v>
      </c>
      <c r="O9" t="n">
        <v>2</v>
      </c>
      <c r="P9" t="n">
        <v>2</v>
      </c>
      <c r="Q9" t="n">
        <v>8</v>
      </c>
      <c r="R9" s="2" t="inlineStr">
        <is>
          <t>Skogsalm
Ask
Springkorn
Svart trolldruva
Tibast
Vårärt
Blåsippa
Gullviva</t>
        </is>
      </c>
      <c r="S9">
        <f>HYPERLINK("https://klasma.github.io/Logging_0484/artfynd/A 313-2020 artfynd.xlsx", "A 313-2020")</f>
        <v/>
      </c>
      <c r="T9">
        <f>HYPERLINK("https://klasma.github.io/Logging_0484/kartor/A 313-2020 karta.png", "A 313-2020")</f>
        <v/>
      </c>
      <c r="V9">
        <f>HYPERLINK("https://klasma.github.io/Logging_0484/klagomål/A 313-2020 FSC-klagomål.docx", "A 313-2020")</f>
        <v/>
      </c>
      <c r="W9">
        <f>HYPERLINK("https://klasma.github.io/Logging_0484/klagomålsmail/A 313-2020 FSC-klagomål mail.docx", "A 313-2020")</f>
        <v/>
      </c>
      <c r="X9">
        <f>HYPERLINK("https://klasma.github.io/Logging_0484/tillsyn/A 313-2020 tillsynsbegäran.docx", "A 313-2020")</f>
        <v/>
      </c>
      <c r="Y9">
        <f>HYPERLINK("https://klasma.github.io/Logging_0484/tillsynsmail/A 313-2020 tillsynsbegäran mail.docx", "A 313-2020")</f>
        <v/>
      </c>
    </row>
    <row r="10" ht="15" customHeight="1">
      <c r="A10" t="inlineStr">
        <is>
          <t>A 54208-2021</t>
        </is>
      </c>
      <c r="B10" s="1" t="n">
        <v>44470</v>
      </c>
      <c r="C10" s="1" t="n">
        <v>45473</v>
      </c>
      <c r="D10" t="inlineStr">
        <is>
          <t>SÖDERMANLANDS LÄN</t>
        </is>
      </c>
      <c r="E10" t="inlineStr">
        <is>
          <t>ESKILSTUNA</t>
        </is>
      </c>
      <c r="G10" t="n">
        <v>12.9</v>
      </c>
      <c r="H10" t="n">
        <v>2</v>
      </c>
      <c r="I10" t="n">
        <v>3</v>
      </c>
      <c r="J10" t="n">
        <v>2</v>
      </c>
      <c r="K10" t="n">
        <v>2</v>
      </c>
      <c r="L10" t="n">
        <v>0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Bombmurkla
Knärot
Ullticka
Vedtrappmossa
Dropptaggsvamp
Grönpyrola
Vedticka</t>
        </is>
      </c>
      <c r="S10">
        <f>HYPERLINK("https://klasma.github.io/Logging_0484/artfynd/A 54208-2021 artfynd.xlsx", "A 54208-2021")</f>
        <v/>
      </c>
      <c r="T10">
        <f>HYPERLINK("https://klasma.github.io/Logging_0484/kartor/A 54208-2021 karta.png", "A 54208-2021")</f>
        <v/>
      </c>
      <c r="U10">
        <f>HYPERLINK("https://klasma.github.io/Logging_0484/knärot/A 54208-2021 karta knärot.png", "A 54208-2021")</f>
        <v/>
      </c>
      <c r="V10">
        <f>HYPERLINK("https://klasma.github.io/Logging_0484/klagomål/A 54208-2021 FSC-klagomål.docx", "A 54208-2021")</f>
        <v/>
      </c>
      <c r="W10">
        <f>HYPERLINK("https://klasma.github.io/Logging_0484/klagomålsmail/A 54208-2021 FSC-klagomål mail.docx", "A 54208-2021")</f>
        <v/>
      </c>
      <c r="X10">
        <f>HYPERLINK("https://klasma.github.io/Logging_0484/tillsyn/A 54208-2021 tillsynsbegäran.docx", "A 54208-2021")</f>
        <v/>
      </c>
      <c r="Y10">
        <f>HYPERLINK("https://klasma.github.io/Logging_0484/tillsynsmail/A 54208-2021 tillsynsbegäran mail.docx", "A 54208-2021")</f>
        <v/>
      </c>
    </row>
    <row r="11" ht="15" customHeight="1">
      <c r="A11" t="inlineStr">
        <is>
          <t>A 22264-2022</t>
        </is>
      </c>
      <c r="B11" s="1" t="n">
        <v>44712</v>
      </c>
      <c r="C11" s="1" t="n">
        <v>45473</v>
      </c>
      <c r="D11" t="inlineStr">
        <is>
          <t>SÖDERMANLANDS LÄN</t>
        </is>
      </c>
      <c r="E11" t="inlineStr">
        <is>
          <t>ESKILSTUNA</t>
        </is>
      </c>
      <c r="F11" t="inlineStr">
        <is>
          <t>Sveaskog</t>
        </is>
      </c>
      <c r="G11" t="n">
        <v>4.7</v>
      </c>
      <c r="H11" t="n">
        <v>3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Motaggsvamp
Grönpyrola
Mindre märgborre
Skarp dropptaggsvamp
Lopplummer
Mattlummer
Revlummer</t>
        </is>
      </c>
      <c r="S11">
        <f>HYPERLINK("https://klasma.github.io/Logging_0484/artfynd/A 22264-2022 artfynd.xlsx", "A 22264-2022")</f>
        <v/>
      </c>
      <c r="T11">
        <f>HYPERLINK("https://klasma.github.io/Logging_0484/kartor/A 22264-2022 karta.png", "A 22264-2022")</f>
        <v/>
      </c>
      <c r="V11">
        <f>HYPERLINK("https://klasma.github.io/Logging_0484/klagomål/A 22264-2022 FSC-klagomål.docx", "A 22264-2022")</f>
        <v/>
      </c>
      <c r="W11">
        <f>HYPERLINK("https://klasma.github.io/Logging_0484/klagomålsmail/A 22264-2022 FSC-klagomål mail.docx", "A 22264-2022")</f>
        <v/>
      </c>
      <c r="X11">
        <f>HYPERLINK("https://klasma.github.io/Logging_0484/tillsyn/A 22264-2022 tillsynsbegäran.docx", "A 22264-2022")</f>
        <v/>
      </c>
      <c r="Y11">
        <f>HYPERLINK("https://klasma.github.io/Logging_0484/tillsynsmail/A 22264-2022 tillsynsbegäran mail.docx", "A 22264-2022")</f>
        <v/>
      </c>
    </row>
    <row r="12" ht="15" customHeight="1">
      <c r="A12" t="inlineStr">
        <is>
          <t>A 8757-2023</t>
        </is>
      </c>
      <c r="B12" s="1" t="n">
        <v>44978</v>
      </c>
      <c r="C12" s="1" t="n">
        <v>45473</v>
      </c>
      <c r="D12" t="inlineStr">
        <is>
          <t>SÖDERMANLANDS LÄN</t>
        </is>
      </c>
      <c r="E12" t="inlineStr">
        <is>
          <t>ESKILSTUNA</t>
        </is>
      </c>
      <c r="F12" t="inlineStr">
        <is>
          <t>Övriga Aktiebolag</t>
        </is>
      </c>
      <c r="G12" t="n">
        <v>6.8</v>
      </c>
      <c r="H12" t="n">
        <v>6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Grönsångare
Spillkråka
Talltita
Mindre märgborre
Gröngöling
Grönsiska
Kungsfågel</t>
        </is>
      </c>
      <c r="S12">
        <f>HYPERLINK("https://klasma.github.io/Logging_0484/artfynd/A 8757-2023 artfynd.xlsx", "A 8757-2023")</f>
        <v/>
      </c>
      <c r="T12">
        <f>HYPERLINK("https://klasma.github.io/Logging_0484/kartor/A 8757-2023 karta.png", "A 8757-2023")</f>
        <v/>
      </c>
      <c r="U12">
        <f>HYPERLINK("https://klasma.github.io/Logging_0484/knärot/A 8757-2023 karta knärot.png", "A 8757-2023")</f>
        <v/>
      </c>
      <c r="V12">
        <f>HYPERLINK("https://klasma.github.io/Logging_0484/klagomål/A 8757-2023 FSC-klagomål.docx", "A 8757-2023")</f>
        <v/>
      </c>
      <c r="W12">
        <f>HYPERLINK("https://klasma.github.io/Logging_0484/klagomålsmail/A 8757-2023 FSC-klagomål mail.docx", "A 8757-2023")</f>
        <v/>
      </c>
      <c r="X12">
        <f>HYPERLINK("https://klasma.github.io/Logging_0484/tillsyn/A 8757-2023 tillsynsbegäran.docx", "A 8757-2023")</f>
        <v/>
      </c>
      <c r="Y12">
        <f>HYPERLINK("https://klasma.github.io/Logging_0484/tillsynsmail/A 8757-2023 tillsynsbegäran mail.docx", "A 8757-2023")</f>
        <v/>
      </c>
      <c r="Z12">
        <f>HYPERLINK("https://klasma.github.io/Logging_0484/fåglar/A 8757-2023 prioriterade fågelarter.docx", "A 8757-2023")</f>
        <v/>
      </c>
    </row>
    <row r="13" ht="15" customHeight="1">
      <c r="A13" t="inlineStr">
        <is>
          <t>A 42793-2023</t>
        </is>
      </c>
      <c r="B13" s="1" t="n">
        <v>45181</v>
      </c>
      <c r="C13" s="1" t="n">
        <v>45473</v>
      </c>
      <c r="D13" t="inlineStr">
        <is>
          <t>SÖDERMANLANDS LÄN</t>
        </is>
      </c>
      <c r="E13" t="inlineStr">
        <is>
          <t>ESKILSTUNA</t>
        </is>
      </c>
      <c r="F13" t="inlineStr">
        <is>
          <t>Allmännings- och besparingsskogar</t>
        </is>
      </c>
      <c r="G13" t="n">
        <v>14.7</v>
      </c>
      <c r="H13" t="n">
        <v>2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7</v>
      </c>
      <c r="R13" s="2" t="inlineStr">
        <is>
          <t>Motaggsvamp
Spillkråka
Tallticka
Talltita
Blomkålssvamp
Dropptaggsvamp
Mindre märgborre</t>
        </is>
      </c>
      <c r="S13">
        <f>HYPERLINK("https://klasma.github.io/Logging_0484/artfynd/A 42793-2023 artfynd.xlsx", "A 42793-2023")</f>
        <v/>
      </c>
      <c r="T13">
        <f>HYPERLINK("https://klasma.github.io/Logging_0484/kartor/A 42793-2023 karta.png", "A 42793-2023")</f>
        <v/>
      </c>
      <c r="U13">
        <f>HYPERLINK("https://klasma.github.io/Logging_0484/knärot/A 42793-2023 karta knärot.png", "A 42793-2023")</f>
        <v/>
      </c>
      <c r="V13">
        <f>HYPERLINK("https://klasma.github.io/Logging_0484/klagomål/A 42793-2023 FSC-klagomål.docx", "A 42793-2023")</f>
        <v/>
      </c>
      <c r="W13">
        <f>HYPERLINK("https://klasma.github.io/Logging_0484/klagomålsmail/A 42793-2023 FSC-klagomål mail.docx", "A 42793-2023")</f>
        <v/>
      </c>
      <c r="X13">
        <f>HYPERLINK("https://klasma.github.io/Logging_0484/tillsyn/A 42793-2023 tillsynsbegäran.docx", "A 42793-2023")</f>
        <v/>
      </c>
      <c r="Y13">
        <f>HYPERLINK("https://klasma.github.io/Logging_0484/tillsynsmail/A 42793-2023 tillsynsbegäran mail.docx", "A 42793-2023")</f>
        <v/>
      </c>
      <c r="Z13">
        <f>HYPERLINK("https://klasma.github.io/Logging_0484/fåglar/A 42793-2023 prioriterade fågelarter.docx", "A 42793-2023")</f>
        <v/>
      </c>
    </row>
    <row r="14" ht="15" customHeight="1">
      <c r="A14" t="inlineStr">
        <is>
          <t>A 51652-2019</t>
        </is>
      </c>
      <c r="B14" s="1" t="n">
        <v>43740</v>
      </c>
      <c r="C14" s="1" t="n">
        <v>45473</v>
      </c>
      <c r="D14" t="inlineStr">
        <is>
          <t>SÖDERMANLANDS LÄN</t>
        </is>
      </c>
      <c r="E14" t="inlineStr">
        <is>
          <t>ESKILSTUNA</t>
        </is>
      </c>
      <c r="G14" t="n">
        <v>9.300000000000001</v>
      </c>
      <c r="H14" t="n">
        <v>6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6</v>
      </c>
      <c r="R14" s="2" t="inlineStr">
        <is>
          <t>Brunlångöra
Nordfladdermus
Dvärgpipistrell
Större brunfladdermus
Trollpipistrell
Vattenfladdermus</t>
        </is>
      </c>
      <c r="S14">
        <f>HYPERLINK("https://klasma.github.io/Logging_0484/artfynd/A 51652-2019 artfynd.xlsx", "A 51652-2019")</f>
        <v/>
      </c>
      <c r="T14">
        <f>HYPERLINK("https://klasma.github.io/Logging_0484/kartor/A 51652-2019 karta.png", "A 51652-2019")</f>
        <v/>
      </c>
      <c r="V14">
        <f>HYPERLINK("https://klasma.github.io/Logging_0484/klagomål/A 51652-2019 FSC-klagomål.docx", "A 51652-2019")</f>
        <v/>
      </c>
      <c r="W14">
        <f>HYPERLINK("https://klasma.github.io/Logging_0484/klagomålsmail/A 51652-2019 FSC-klagomål mail.docx", "A 51652-2019")</f>
        <v/>
      </c>
      <c r="X14">
        <f>HYPERLINK("https://klasma.github.io/Logging_0484/tillsyn/A 51652-2019 tillsynsbegäran.docx", "A 51652-2019")</f>
        <v/>
      </c>
      <c r="Y14">
        <f>HYPERLINK("https://klasma.github.io/Logging_0484/tillsynsmail/A 51652-2019 tillsynsbegäran mail.docx", "A 51652-2019")</f>
        <v/>
      </c>
    </row>
    <row r="15" ht="15" customHeight="1">
      <c r="A15" t="inlineStr">
        <is>
          <t>A 71970-2021</t>
        </is>
      </c>
      <c r="B15" s="1" t="n">
        <v>44544</v>
      </c>
      <c r="C15" s="1" t="n">
        <v>45473</v>
      </c>
      <c r="D15" t="inlineStr">
        <is>
          <t>SÖDERMANLANDS LÄN</t>
        </is>
      </c>
      <c r="E15" t="inlineStr">
        <is>
          <t>ESKILSTUNA</t>
        </is>
      </c>
      <c r="G15" t="n">
        <v>18.1</v>
      </c>
      <c r="H15" t="n">
        <v>4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Spillkråka
Grönpyrola
Kalktallört
Fläcknycklar
Revlummer</t>
        </is>
      </c>
      <c r="S15">
        <f>HYPERLINK("https://klasma.github.io/Logging_0484/artfynd/A 71970-2021 artfynd.xlsx", "A 71970-2021")</f>
        <v/>
      </c>
      <c r="T15">
        <f>HYPERLINK("https://klasma.github.io/Logging_0484/kartor/A 71970-2021 karta.png", "A 71970-2021")</f>
        <v/>
      </c>
      <c r="U15">
        <f>HYPERLINK("https://klasma.github.io/Logging_0484/knärot/A 71970-2021 karta knärot.png", "A 71970-2021")</f>
        <v/>
      </c>
      <c r="V15">
        <f>HYPERLINK("https://klasma.github.io/Logging_0484/klagomål/A 71970-2021 FSC-klagomål.docx", "A 71970-2021")</f>
        <v/>
      </c>
      <c r="W15">
        <f>HYPERLINK("https://klasma.github.io/Logging_0484/klagomålsmail/A 71970-2021 FSC-klagomål mail.docx", "A 71970-2021")</f>
        <v/>
      </c>
      <c r="X15">
        <f>HYPERLINK("https://klasma.github.io/Logging_0484/tillsyn/A 71970-2021 tillsynsbegäran.docx", "A 71970-2021")</f>
        <v/>
      </c>
      <c r="Y15">
        <f>HYPERLINK("https://klasma.github.io/Logging_0484/tillsynsmail/A 71970-2021 tillsynsbegäran mail.docx", "A 71970-2021")</f>
        <v/>
      </c>
      <c r="Z15">
        <f>HYPERLINK("https://klasma.github.io/Logging_0484/fåglar/A 71970-2021 prioriterade fågelarter.docx", "A 71970-2021")</f>
        <v/>
      </c>
    </row>
    <row r="16" ht="15" customHeight="1">
      <c r="A16" t="inlineStr">
        <is>
          <t>A 45535-2023</t>
        </is>
      </c>
      <c r="B16" s="1" t="n">
        <v>45194</v>
      </c>
      <c r="C16" s="1" t="n">
        <v>45473</v>
      </c>
      <c r="D16" t="inlineStr">
        <is>
          <t>SÖDERMANLANDS LÄN</t>
        </is>
      </c>
      <c r="E16" t="inlineStr">
        <is>
          <t>ESKILSTUNA</t>
        </is>
      </c>
      <c r="G16" t="n">
        <v>5.8</v>
      </c>
      <c r="H16" t="n">
        <v>3</v>
      </c>
      <c r="I16" t="n">
        <v>1</v>
      </c>
      <c r="J16" t="n">
        <v>2</v>
      </c>
      <c r="K16" t="n">
        <v>1</v>
      </c>
      <c r="L16" t="n">
        <v>0</v>
      </c>
      <c r="M16" t="n">
        <v>1</v>
      </c>
      <c r="N16" t="n">
        <v>0</v>
      </c>
      <c r="O16" t="n">
        <v>4</v>
      </c>
      <c r="P16" t="n">
        <v>2</v>
      </c>
      <c r="Q16" t="n">
        <v>6</v>
      </c>
      <c r="R16" s="2" t="inlineStr">
        <is>
          <t>Skogsalm
Knärot
Talltita
Ullticka
Bronshjon
Gröngöling</t>
        </is>
      </c>
      <c r="S16">
        <f>HYPERLINK("https://klasma.github.io/Logging_0484/artfynd/A 45535-2023 artfynd.xlsx", "A 45535-2023")</f>
        <v/>
      </c>
      <c r="T16">
        <f>HYPERLINK("https://klasma.github.io/Logging_0484/kartor/A 45535-2023 karta.png", "A 45535-2023")</f>
        <v/>
      </c>
      <c r="U16">
        <f>HYPERLINK("https://klasma.github.io/Logging_0484/knärot/A 45535-2023 karta knärot.png", "A 45535-2023")</f>
        <v/>
      </c>
      <c r="V16">
        <f>HYPERLINK("https://klasma.github.io/Logging_0484/klagomål/A 45535-2023 FSC-klagomål.docx", "A 45535-2023")</f>
        <v/>
      </c>
      <c r="W16">
        <f>HYPERLINK("https://klasma.github.io/Logging_0484/klagomålsmail/A 45535-2023 FSC-klagomål mail.docx", "A 45535-2023")</f>
        <v/>
      </c>
      <c r="X16">
        <f>HYPERLINK("https://klasma.github.io/Logging_0484/tillsyn/A 45535-2023 tillsynsbegäran.docx", "A 45535-2023")</f>
        <v/>
      </c>
      <c r="Y16">
        <f>HYPERLINK("https://klasma.github.io/Logging_0484/tillsynsmail/A 45535-2023 tillsynsbegäran mail.docx", "A 45535-2023")</f>
        <v/>
      </c>
      <c r="Z16">
        <f>HYPERLINK("https://klasma.github.io/Logging_0484/fåglar/A 45535-2023 prioriterade fågelarter.docx", "A 45535-2023")</f>
        <v/>
      </c>
    </row>
    <row r="17" ht="15" customHeight="1">
      <c r="A17" t="inlineStr">
        <is>
          <t>A 49457-2020</t>
        </is>
      </c>
      <c r="B17" s="1" t="n">
        <v>44105</v>
      </c>
      <c r="C17" s="1" t="n">
        <v>45473</v>
      </c>
      <c r="D17" t="inlineStr">
        <is>
          <t>SÖDERMANLANDS LÄN</t>
        </is>
      </c>
      <c r="E17" t="inlineStr">
        <is>
          <t>ESKILSTUNA</t>
        </is>
      </c>
      <c r="G17" t="n">
        <v>11.6</v>
      </c>
      <c r="H17" t="n">
        <v>1</v>
      </c>
      <c r="I17" t="n">
        <v>2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Leptoporus erubescens
Spillkråka
Tallticka
Blodticka
Mindre märgborre</t>
        </is>
      </c>
      <c r="S17">
        <f>HYPERLINK("https://klasma.github.io/Logging_0484/artfynd/A 49457-2020 artfynd.xlsx", "A 49457-2020")</f>
        <v/>
      </c>
      <c r="T17">
        <f>HYPERLINK("https://klasma.github.io/Logging_0484/kartor/A 49457-2020 karta.png", "A 49457-2020")</f>
        <v/>
      </c>
      <c r="V17">
        <f>HYPERLINK("https://klasma.github.io/Logging_0484/klagomål/A 49457-2020 FSC-klagomål.docx", "A 49457-2020")</f>
        <v/>
      </c>
      <c r="W17">
        <f>HYPERLINK("https://klasma.github.io/Logging_0484/klagomålsmail/A 49457-2020 FSC-klagomål mail.docx", "A 49457-2020")</f>
        <v/>
      </c>
      <c r="X17">
        <f>HYPERLINK("https://klasma.github.io/Logging_0484/tillsyn/A 49457-2020 tillsynsbegäran.docx", "A 49457-2020")</f>
        <v/>
      </c>
      <c r="Y17">
        <f>HYPERLINK("https://klasma.github.io/Logging_0484/tillsynsmail/A 49457-2020 tillsynsbegäran mail.docx", "A 49457-2020")</f>
        <v/>
      </c>
      <c r="Z17">
        <f>HYPERLINK("https://klasma.github.io/Logging_0484/fåglar/A 49457-2020 prioriterade fågelarter.docx", "A 49457-2020")</f>
        <v/>
      </c>
    </row>
    <row r="18" ht="15" customHeight="1">
      <c r="A18" t="inlineStr">
        <is>
          <t>A 37981-2022</t>
        </is>
      </c>
      <c r="B18" s="1" t="n">
        <v>44811</v>
      </c>
      <c r="C18" s="1" t="n">
        <v>45473</v>
      </c>
      <c r="D18" t="inlineStr">
        <is>
          <t>SÖDERMANLANDS LÄN</t>
        </is>
      </c>
      <c r="E18" t="inlineStr">
        <is>
          <t>ESKILSTUNA</t>
        </is>
      </c>
      <c r="G18" t="n">
        <v>3.7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Vippärt
Ängsskära
Vårärt
Blåsippa
Gullviva</t>
        </is>
      </c>
      <c r="S18">
        <f>HYPERLINK("https://klasma.github.io/Logging_0484/artfynd/A 37981-2022 artfynd.xlsx", "A 37981-2022")</f>
        <v/>
      </c>
      <c r="T18">
        <f>HYPERLINK("https://klasma.github.io/Logging_0484/kartor/A 37981-2022 karta.png", "A 37981-2022")</f>
        <v/>
      </c>
      <c r="V18">
        <f>HYPERLINK("https://klasma.github.io/Logging_0484/klagomål/A 37981-2022 FSC-klagomål.docx", "A 37981-2022")</f>
        <v/>
      </c>
      <c r="W18">
        <f>HYPERLINK("https://klasma.github.io/Logging_0484/klagomålsmail/A 37981-2022 FSC-klagomål mail.docx", "A 37981-2022")</f>
        <v/>
      </c>
      <c r="X18">
        <f>HYPERLINK("https://klasma.github.io/Logging_0484/tillsyn/A 37981-2022 tillsynsbegäran.docx", "A 37981-2022")</f>
        <v/>
      </c>
      <c r="Y18">
        <f>HYPERLINK("https://klasma.github.io/Logging_0484/tillsynsmail/A 37981-2022 tillsynsbegäran mail.docx", "A 37981-2022")</f>
        <v/>
      </c>
    </row>
    <row r="19" ht="15" customHeight="1">
      <c r="A19" t="inlineStr">
        <is>
          <t>A 40382-2022</t>
        </is>
      </c>
      <c r="B19" s="1" t="n">
        <v>44819</v>
      </c>
      <c r="C19" s="1" t="n">
        <v>45473</v>
      </c>
      <c r="D19" t="inlineStr">
        <is>
          <t>SÖDERMANLANDS LÄN</t>
        </is>
      </c>
      <c r="E19" t="inlineStr">
        <is>
          <t>ESKILSTUNA</t>
        </is>
      </c>
      <c r="G19" t="n">
        <v>2.5</v>
      </c>
      <c r="H19" t="n">
        <v>5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Brunlångöra
Nordfladdermus
Dvärgpipistrell
Gråskimlig fladdermus
Större brunfladdermus</t>
        </is>
      </c>
      <c r="S19">
        <f>HYPERLINK("https://klasma.github.io/Logging_0484/artfynd/A 40382-2022 artfynd.xlsx", "A 40382-2022")</f>
        <v/>
      </c>
      <c r="T19">
        <f>HYPERLINK("https://klasma.github.io/Logging_0484/kartor/A 40382-2022 karta.png", "A 40382-2022")</f>
        <v/>
      </c>
      <c r="V19">
        <f>HYPERLINK("https://klasma.github.io/Logging_0484/klagomål/A 40382-2022 FSC-klagomål.docx", "A 40382-2022")</f>
        <v/>
      </c>
      <c r="W19">
        <f>HYPERLINK("https://klasma.github.io/Logging_0484/klagomålsmail/A 40382-2022 FSC-klagomål mail.docx", "A 40382-2022")</f>
        <v/>
      </c>
      <c r="X19">
        <f>HYPERLINK("https://klasma.github.io/Logging_0484/tillsyn/A 40382-2022 tillsynsbegäran.docx", "A 40382-2022")</f>
        <v/>
      </c>
      <c r="Y19">
        <f>HYPERLINK("https://klasma.github.io/Logging_0484/tillsynsmail/A 40382-2022 tillsynsbegäran mail.docx", "A 40382-2022")</f>
        <v/>
      </c>
    </row>
    <row r="20" ht="15" customHeight="1">
      <c r="A20" t="inlineStr">
        <is>
          <t>A 17144-2023</t>
        </is>
      </c>
      <c r="B20" s="1" t="n">
        <v>45034</v>
      </c>
      <c r="C20" s="1" t="n">
        <v>45473</v>
      </c>
      <c r="D20" t="inlineStr">
        <is>
          <t>SÖDERMANLANDS LÄN</t>
        </is>
      </c>
      <c r="E20" t="inlineStr">
        <is>
          <t>ESKILSTUNA</t>
        </is>
      </c>
      <c r="G20" t="n">
        <v>3.8</v>
      </c>
      <c r="H20" t="n">
        <v>2</v>
      </c>
      <c r="I20" t="n">
        <v>1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5</v>
      </c>
      <c r="R20" s="2" t="inlineStr">
        <is>
          <t>Knärot
Grantaggsvamp
Motaggsvamp
Spillkråka
Mindre märgborre</t>
        </is>
      </c>
      <c r="S20">
        <f>HYPERLINK("https://klasma.github.io/Logging_0484/artfynd/A 17144-2023 artfynd.xlsx", "A 17144-2023")</f>
        <v/>
      </c>
      <c r="T20">
        <f>HYPERLINK("https://klasma.github.io/Logging_0484/kartor/A 17144-2023 karta.png", "A 17144-2023")</f>
        <v/>
      </c>
      <c r="U20">
        <f>HYPERLINK("https://klasma.github.io/Logging_0484/knärot/A 17144-2023 karta knärot.png", "A 17144-2023")</f>
        <v/>
      </c>
      <c r="V20">
        <f>HYPERLINK("https://klasma.github.io/Logging_0484/klagomål/A 17144-2023 FSC-klagomål.docx", "A 17144-2023")</f>
        <v/>
      </c>
      <c r="W20">
        <f>HYPERLINK("https://klasma.github.io/Logging_0484/klagomålsmail/A 17144-2023 FSC-klagomål mail.docx", "A 17144-2023")</f>
        <v/>
      </c>
      <c r="X20">
        <f>HYPERLINK("https://klasma.github.io/Logging_0484/tillsyn/A 17144-2023 tillsynsbegäran.docx", "A 17144-2023")</f>
        <v/>
      </c>
      <c r="Y20">
        <f>HYPERLINK("https://klasma.github.io/Logging_0484/tillsynsmail/A 17144-2023 tillsynsbegäran mail.docx", "A 17144-2023")</f>
        <v/>
      </c>
      <c r="Z20">
        <f>HYPERLINK("https://klasma.github.io/Logging_0484/fåglar/A 17144-2023 prioriterade fågelarter.docx", "A 17144-2023")</f>
        <v/>
      </c>
    </row>
    <row r="21" ht="15" customHeight="1">
      <c r="A21" t="inlineStr">
        <is>
          <t>A 48387-2023</t>
        </is>
      </c>
      <c r="B21" s="1" t="n">
        <v>45205</v>
      </c>
      <c r="C21" s="1" t="n">
        <v>45473</v>
      </c>
      <c r="D21" t="inlineStr">
        <is>
          <t>SÖDERMANLANDS LÄN</t>
        </is>
      </c>
      <c r="E21" t="inlineStr">
        <is>
          <t>ESKILSTUNA</t>
        </is>
      </c>
      <c r="G21" t="n">
        <v>8.9</v>
      </c>
      <c r="H21" t="n">
        <v>4</v>
      </c>
      <c r="I21" t="n">
        <v>0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Havsörn
Spillkråka
Tallticka
Blåsippa</t>
        </is>
      </c>
      <c r="S21">
        <f>HYPERLINK("https://klasma.github.io/Logging_0484/artfynd/A 48387-2023 artfynd.xlsx", "A 48387-2023")</f>
        <v/>
      </c>
      <c r="T21">
        <f>HYPERLINK("https://klasma.github.io/Logging_0484/kartor/A 48387-2023 karta.png", "A 48387-2023")</f>
        <v/>
      </c>
      <c r="U21">
        <f>HYPERLINK("https://klasma.github.io/Logging_0484/knärot/A 48387-2023 karta knärot.png", "A 48387-2023")</f>
        <v/>
      </c>
      <c r="V21">
        <f>HYPERLINK("https://klasma.github.io/Logging_0484/klagomål/A 48387-2023 FSC-klagomål.docx", "A 48387-2023")</f>
        <v/>
      </c>
      <c r="W21">
        <f>HYPERLINK("https://klasma.github.io/Logging_0484/klagomålsmail/A 48387-2023 FSC-klagomål mail.docx", "A 48387-2023")</f>
        <v/>
      </c>
      <c r="X21">
        <f>HYPERLINK("https://klasma.github.io/Logging_0484/tillsyn/A 48387-2023 tillsynsbegäran.docx", "A 48387-2023")</f>
        <v/>
      </c>
      <c r="Y21">
        <f>HYPERLINK("https://klasma.github.io/Logging_0484/tillsynsmail/A 48387-2023 tillsynsbegäran mail.docx", "A 48387-2023")</f>
        <v/>
      </c>
      <c r="Z21">
        <f>HYPERLINK("https://klasma.github.io/Logging_0484/fåglar/A 48387-2023 prioriterade fågelarter.docx", "A 48387-2023")</f>
        <v/>
      </c>
    </row>
    <row r="22" ht="15" customHeight="1">
      <c r="A22" t="inlineStr">
        <is>
          <t>A 44820-2019</t>
        </is>
      </c>
      <c r="B22" s="1" t="n">
        <v>43712</v>
      </c>
      <c r="C22" s="1" t="n">
        <v>45473</v>
      </c>
      <c r="D22" t="inlineStr">
        <is>
          <t>SÖDERMANLANDS LÄN</t>
        </is>
      </c>
      <c r="E22" t="inlineStr">
        <is>
          <t>ESKILSTUNA</t>
        </is>
      </c>
      <c r="F22" t="inlineStr">
        <is>
          <t>Allmännings- och besparingsskogar</t>
        </is>
      </c>
      <c r="G22" t="n">
        <v>16.1</v>
      </c>
      <c r="H22" t="n">
        <v>3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Spillkråka
Talltita
Jättesvampmal
Revlummer</t>
        </is>
      </c>
      <c r="S22">
        <f>HYPERLINK("https://klasma.github.io/Logging_0484/artfynd/A 44820-2019 artfynd.xlsx", "A 44820-2019")</f>
        <v/>
      </c>
      <c r="T22">
        <f>HYPERLINK("https://klasma.github.io/Logging_0484/kartor/A 44820-2019 karta.png", "A 44820-2019")</f>
        <v/>
      </c>
      <c r="V22">
        <f>HYPERLINK("https://klasma.github.io/Logging_0484/klagomål/A 44820-2019 FSC-klagomål.docx", "A 44820-2019")</f>
        <v/>
      </c>
      <c r="W22">
        <f>HYPERLINK("https://klasma.github.io/Logging_0484/klagomålsmail/A 44820-2019 FSC-klagomål mail.docx", "A 44820-2019")</f>
        <v/>
      </c>
      <c r="X22">
        <f>HYPERLINK("https://klasma.github.io/Logging_0484/tillsyn/A 44820-2019 tillsynsbegäran.docx", "A 44820-2019")</f>
        <v/>
      </c>
      <c r="Y22">
        <f>HYPERLINK("https://klasma.github.io/Logging_0484/tillsynsmail/A 44820-2019 tillsynsbegäran mail.docx", "A 44820-2019")</f>
        <v/>
      </c>
      <c r="Z22">
        <f>HYPERLINK("https://klasma.github.io/Logging_0484/fåglar/A 44820-2019 prioriterade fågelarter.docx", "A 44820-2019")</f>
        <v/>
      </c>
    </row>
    <row r="23" ht="15" customHeight="1">
      <c r="A23" t="inlineStr">
        <is>
          <t>A 6861-2021</t>
        </is>
      </c>
      <c r="B23" s="1" t="n">
        <v>44237</v>
      </c>
      <c r="C23" s="1" t="n">
        <v>45473</v>
      </c>
      <c r="D23" t="inlineStr">
        <is>
          <t>SÖDERMANLANDS LÄN</t>
        </is>
      </c>
      <c r="E23" t="inlineStr">
        <is>
          <t>ESKILSTUNA</t>
        </is>
      </c>
      <c r="F23" t="inlineStr">
        <is>
          <t>Kyrkan</t>
        </is>
      </c>
      <c r="G23" t="n">
        <v>9</v>
      </c>
      <c r="H23" t="n">
        <v>2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Knärot
Blodticka
Grönpyrola
Blåsippa</t>
        </is>
      </c>
      <c r="S23">
        <f>HYPERLINK("https://klasma.github.io/Logging_0484/artfynd/A 6861-2021 artfynd.xlsx", "A 6861-2021")</f>
        <v/>
      </c>
      <c r="T23">
        <f>HYPERLINK("https://klasma.github.io/Logging_0484/kartor/A 6861-2021 karta.png", "A 6861-2021")</f>
        <v/>
      </c>
      <c r="U23">
        <f>HYPERLINK("https://klasma.github.io/Logging_0484/knärot/A 6861-2021 karta knärot.png", "A 6861-2021")</f>
        <v/>
      </c>
      <c r="V23">
        <f>HYPERLINK("https://klasma.github.io/Logging_0484/klagomål/A 6861-2021 FSC-klagomål.docx", "A 6861-2021")</f>
        <v/>
      </c>
      <c r="W23">
        <f>HYPERLINK("https://klasma.github.io/Logging_0484/klagomålsmail/A 6861-2021 FSC-klagomål mail.docx", "A 6861-2021")</f>
        <v/>
      </c>
      <c r="X23">
        <f>HYPERLINK("https://klasma.github.io/Logging_0484/tillsyn/A 6861-2021 tillsynsbegäran.docx", "A 6861-2021")</f>
        <v/>
      </c>
      <c r="Y23">
        <f>HYPERLINK("https://klasma.github.io/Logging_0484/tillsynsmail/A 6861-2021 tillsynsbegäran mail.docx", "A 6861-2021")</f>
        <v/>
      </c>
    </row>
    <row r="24" ht="15" customHeight="1">
      <c r="A24" t="inlineStr">
        <is>
          <t>A 24111-2021</t>
        </is>
      </c>
      <c r="B24" s="1" t="n">
        <v>44336</v>
      </c>
      <c r="C24" s="1" t="n">
        <v>45473</v>
      </c>
      <c r="D24" t="inlineStr">
        <is>
          <t>SÖDERMANLANDS LÄN</t>
        </is>
      </c>
      <c r="E24" t="inlineStr">
        <is>
          <t>ESKILSTUNA</t>
        </is>
      </c>
      <c r="G24" t="n">
        <v>5.7</v>
      </c>
      <c r="H24" t="n">
        <v>2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Svinrot
Svart trolldruva
Blåsippa
Gullviva</t>
        </is>
      </c>
      <c r="S24">
        <f>HYPERLINK("https://klasma.github.io/Logging_0484/artfynd/A 24111-2021 artfynd.xlsx", "A 24111-2021")</f>
        <v/>
      </c>
      <c r="T24">
        <f>HYPERLINK("https://klasma.github.io/Logging_0484/kartor/A 24111-2021 karta.png", "A 24111-2021")</f>
        <v/>
      </c>
      <c r="V24">
        <f>HYPERLINK("https://klasma.github.io/Logging_0484/klagomål/A 24111-2021 FSC-klagomål.docx", "A 24111-2021")</f>
        <v/>
      </c>
      <c r="W24">
        <f>HYPERLINK("https://klasma.github.io/Logging_0484/klagomålsmail/A 24111-2021 FSC-klagomål mail.docx", "A 24111-2021")</f>
        <v/>
      </c>
      <c r="X24">
        <f>HYPERLINK("https://klasma.github.io/Logging_0484/tillsyn/A 24111-2021 tillsynsbegäran.docx", "A 24111-2021")</f>
        <v/>
      </c>
      <c r="Y24">
        <f>HYPERLINK("https://klasma.github.io/Logging_0484/tillsynsmail/A 24111-2021 tillsynsbegäran mail.docx", "A 24111-2021")</f>
        <v/>
      </c>
    </row>
    <row r="25" ht="15" customHeight="1">
      <c r="A25" t="inlineStr">
        <is>
          <t>A 2968-2022</t>
        </is>
      </c>
      <c r="B25" s="1" t="n">
        <v>44581</v>
      </c>
      <c r="C25" s="1" t="n">
        <v>45473</v>
      </c>
      <c r="D25" t="inlineStr">
        <is>
          <t>SÖDERMANLANDS LÄN</t>
        </is>
      </c>
      <c r="E25" t="inlineStr">
        <is>
          <t>ESKILSTUNA</t>
        </is>
      </c>
      <c r="F25" t="inlineStr">
        <is>
          <t>Kommuner</t>
        </is>
      </c>
      <c r="G25" t="n">
        <v>5</v>
      </c>
      <c r="H25" t="n">
        <v>1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s="2" t="inlineStr">
        <is>
          <t>Bronshjon
Dropptaggsvamp
Vedticka
Blåsippa</t>
        </is>
      </c>
      <c r="S25">
        <f>HYPERLINK("https://klasma.github.io/Logging_0484/artfynd/A 2968-2022 artfynd.xlsx", "A 2968-2022")</f>
        <v/>
      </c>
      <c r="T25">
        <f>HYPERLINK("https://klasma.github.io/Logging_0484/kartor/A 2968-2022 karta.png", "A 2968-2022")</f>
        <v/>
      </c>
      <c r="V25">
        <f>HYPERLINK("https://klasma.github.io/Logging_0484/klagomål/A 2968-2022 FSC-klagomål.docx", "A 2968-2022")</f>
        <v/>
      </c>
      <c r="W25">
        <f>HYPERLINK("https://klasma.github.io/Logging_0484/klagomålsmail/A 2968-2022 FSC-klagomål mail.docx", "A 2968-2022")</f>
        <v/>
      </c>
      <c r="X25">
        <f>HYPERLINK("https://klasma.github.io/Logging_0484/tillsyn/A 2968-2022 tillsynsbegäran.docx", "A 2968-2022")</f>
        <v/>
      </c>
      <c r="Y25">
        <f>HYPERLINK("https://klasma.github.io/Logging_0484/tillsynsmail/A 2968-2022 tillsynsbegäran mail.docx", "A 2968-2022")</f>
        <v/>
      </c>
    </row>
    <row r="26" ht="15" customHeight="1">
      <c r="A26" t="inlineStr">
        <is>
          <t>A 30969-2022</t>
        </is>
      </c>
      <c r="B26" s="1" t="n">
        <v>44768</v>
      </c>
      <c r="C26" s="1" t="n">
        <v>45473</v>
      </c>
      <c r="D26" t="inlineStr">
        <is>
          <t>SÖDERMANLANDS LÄN</t>
        </is>
      </c>
      <c r="E26" t="inlineStr">
        <is>
          <t>ESKILSTUNA</t>
        </is>
      </c>
      <c r="F26" t="inlineStr">
        <is>
          <t>Sveaskog</t>
        </is>
      </c>
      <c r="G26" t="n">
        <v>4</v>
      </c>
      <c r="H26" t="n">
        <v>3</v>
      </c>
      <c r="I26" t="n">
        <v>1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4</v>
      </c>
      <c r="R26" s="2" t="inlineStr">
        <is>
          <t>Stare
Havsörn
Spillkråka
Hasselticka</t>
        </is>
      </c>
      <c r="S26">
        <f>HYPERLINK("https://klasma.github.io/Logging_0484/artfynd/A 30969-2022 artfynd.xlsx", "A 30969-2022")</f>
        <v/>
      </c>
      <c r="T26">
        <f>HYPERLINK("https://klasma.github.io/Logging_0484/kartor/A 30969-2022 karta.png", "A 30969-2022")</f>
        <v/>
      </c>
      <c r="V26">
        <f>HYPERLINK("https://klasma.github.io/Logging_0484/klagomål/A 30969-2022 FSC-klagomål.docx", "A 30969-2022")</f>
        <v/>
      </c>
      <c r="W26">
        <f>HYPERLINK("https://klasma.github.io/Logging_0484/klagomålsmail/A 30969-2022 FSC-klagomål mail.docx", "A 30969-2022")</f>
        <v/>
      </c>
      <c r="X26">
        <f>HYPERLINK("https://klasma.github.io/Logging_0484/tillsyn/A 30969-2022 tillsynsbegäran.docx", "A 30969-2022")</f>
        <v/>
      </c>
      <c r="Y26">
        <f>HYPERLINK("https://klasma.github.io/Logging_0484/tillsynsmail/A 30969-2022 tillsynsbegäran mail.docx", "A 30969-2022")</f>
        <v/>
      </c>
      <c r="Z26">
        <f>HYPERLINK("https://klasma.github.io/Logging_0484/fåglar/A 30969-2022 prioriterade fågelarter.docx", "A 30969-2022")</f>
        <v/>
      </c>
    </row>
    <row r="27" ht="15" customHeight="1">
      <c r="A27" t="inlineStr">
        <is>
          <t>A 33699-2022</t>
        </is>
      </c>
      <c r="B27" s="1" t="n">
        <v>44789</v>
      </c>
      <c r="C27" s="1" t="n">
        <v>45473</v>
      </c>
      <c r="D27" t="inlineStr">
        <is>
          <t>SÖDERMANLANDS LÄN</t>
        </is>
      </c>
      <c r="E27" t="inlineStr">
        <is>
          <t>ESKILSTUNA</t>
        </is>
      </c>
      <c r="G27" t="n">
        <v>6.5</v>
      </c>
      <c r="H27" t="n">
        <v>3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Knärot
Mindre märgborre
Blåsippa
Mattlummer</t>
        </is>
      </c>
      <c r="S27">
        <f>HYPERLINK("https://klasma.github.io/Logging_0484/artfynd/A 33699-2022 artfynd.xlsx", "A 33699-2022")</f>
        <v/>
      </c>
      <c r="T27">
        <f>HYPERLINK("https://klasma.github.io/Logging_0484/kartor/A 33699-2022 karta.png", "A 33699-2022")</f>
        <v/>
      </c>
      <c r="U27">
        <f>HYPERLINK("https://klasma.github.io/Logging_0484/knärot/A 33699-2022 karta knärot.png", "A 33699-2022")</f>
        <v/>
      </c>
      <c r="V27">
        <f>HYPERLINK("https://klasma.github.io/Logging_0484/klagomål/A 33699-2022 FSC-klagomål.docx", "A 33699-2022")</f>
        <v/>
      </c>
      <c r="W27">
        <f>HYPERLINK("https://klasma.github.io/Logging_0484/klagomålsmail/A 33699-2022 FSC-klagomål mail.docx", "A 33699-2022")</f>
        <v/>
      </c>
      <c r="X27">
        <f>HYPERLINK("https://klasma.github.io/Logging_0484/tillsyn/A 33699-2022 tillsynsbegäran.docx", "A 33699-2022")</f>
        <v/>
      </c>
      <c r="Y27">
        <f>HYPERLINK("https://klasma.github.io/Logging_0484/tillsynsmail/A 33699-2022 tillsynsbegäran mail.docx", "A 33699-2022")</f>
        <v/>
      </c>
    </row>
    <row r="28" ht="15" customHeight="1">
      <c r="A28" t="inlineStr">
        <is>
          <t>A 4219-2023</t>
        </is>
      </c>
      <c r="B28" s="1" t="n">
        <v>44953</v>
      </c>
      <c r="C28" s="1" t="n">
        <v>45473</v>
      </c>
      <c r="D28" t="inlineStr">
        <is>
          <t>SÖDERMANLANDS LÄN</t>
        </is>
      </c>
      <c r="E28" t="inlineStr">
        <is>
          <t>ESKILSTUNA</t>
        </is>
      </c>
      <c r="F28" t="inlineStr">
        <is>
          <t>Kyrkan</t>
        </is>
      </c>
      <c r="G28" t="n">
        <v>0.6</v>
      </c>
      <c r="H28" t="n">
        <v>2</v>
      </c>
      <c r="I28" t="n">
        <v>1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4</v>
      </c>
      <c r="R28" s="2" t="inlineStr">
        <is>
          <t>Knärot
Leptoporus erubescens
Talltita
Mindre märgborre</t>
        </is>
      </c>
      <c r="S28">
        <f>HYPERLINK("https://klasma.github.io/Logging_0484/artfynd/A 4219-2023 artfynd.xlsx", "A 4219-2023")</f>
        <v/>
      </c>
      <c r="T28">
        <f>HYPERLINK("https://klasma.github.io/Logging_0484/kartor/A 4219-2023 karta.png", "A 4219-2023")</f>
        <v/>
      </c>
      <c r="U28">
        <f>HYPERLINK("https://klasma.github.io/Logging_0484/knärot/A 4219-2023 karta knärot.png", "A 4219-2023")</f>
        <v/>
      </c>
      <c r="V28">
        <f>HYPERLINK("https://klasma.github.io/Logging_0484/klagomål/A 4219-2023 FSC-klagomål.docx", "A 4219-2023")</f>
        <v/>
      </c>
      <c r="W28">
        <f>HYPERLINK("https://klasma.github.io/Logging_0484/klagomålsmail/A 4219-2023 FSC-klagomål mail.docx", "A 4219-2023")</f>
        <v/>
      </c>
      <c r="X28">
        <f>HYPERLINK("https://klasma.github.io/Logging_0484/tillsyn/A 4219-2023 tillsynsbegäran.docx", "A 4219-2023")</f>
        <v/>
      </c>
      <c r="Y28">
        <f>HYPERLINK("https://klasma.github.io/Logging_0484/tillsynsmail/A 4219-2023 tillsynsbegäran mail.docx", "A 4219-2023")</f>
        <v/>
      </c>
      <c r="Z28">
        <f>HYPERLINK("https://klasma.github.io/Logging_0484/fåglar/A 4219-2023 prioriterade fågelarter.docx", "A 4219-2023")</f>
        <v/>
      </c>
    </row>
    <row r="29" ht="15" customHeight="1">
      <c r="A29" t="inlineStr">
        <is>
          <t>A 21734-2023</t>
        </is>
      </c>
      <c r="B29" s="1" t="n">
        <v>45063</v>
      </c>
      <c r="C29" s="1" t="n">
        <v>45473</v>
      </c>
      <c r="D29" t="inlineStr">
        <is>
          <t>SÖDERMANLANDS LÄN</t>
        </is>
      </c>
      <c r="E29" t="inlineStr">
        <is>
          <t>ESKILSTUNA</t>
        </is>
      </c>
      <c r="G29" t="n">
        <v>10.5</v>
      </c>
      <c r="H29" t="n">
        <v>0</v>
      </c>
      <c r="I29" t="n">
        <v>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s="2" t="inlineStr">
        <is>
          <t>Dropptaggsvamp
Grönpyrola
Kryddspindling
Skarp dropptaggsvamp</t>
        </is>
      </c>
      <c r="S29">
        <f>HYPERLINK("https://klasma.github.io/Logging_0484/artfynd/A 21734-2023 artfynd.xlsx", "A 21734-2023")</f>
        <v/>
      </c>
      <c r="T29">
        <f>HYPERLINK("https://klasma.github.io/Logging_0484/kartor/A 21734-2023 karta.png", "A 21734-2023")</f>
        <v/>
      </c>
      <c r="V29">
        <f>HYPERLINK("https://klasma.github.io/Logging_0484/klagomål/A 21734-2023 FSC-klagomål.docx", "A 21734-2023")</f>
        <v/>
      </c>
      <c r="W29">
        <f>HYPERLINK("https://klasma.github.io/Logging_0484/klagomålsmail/A 21734-2023 FSC-klagomål mail.docx", "A 21734-2023")</f>
        <v/>
      </c>
      <c r="X29">
        <f>HYPERLINK("https://klasma.github.io/Logging_0484/tillsyn/A 21734-2023 tillsynsbegäran.docx", "A 21734-2023")</f>
        <v/>
      </c>
      <c r="Y29">
        <f>HYPERLINK("https://klasma.github.io/Logging_0484/tillsynsmail/A 21734-2023 tillsynsbegäran mail.docx", "A 21734-2023")</f>
        <v/>
      </c>
    </row>
    <row r="30" ht="15" customHeight="1">
      <c r="A30" t="inlineStr">
        <is>
          <t>A 49457-2023</t>
        </is>
      </c>
      <c r="B30" s="1" t="n">
        <v>45211</v>
      </c>
      <c r="C30" s="1" t="n">
        <v>45473</v>
      </c>
      <c r="D30" t="inlineStr">
        <is>
          <t>SÖDERMANLANDS LÄN</t>
        </is>
      </c>
      <c r="E30" t="inlineStr">
        <is>
          <t>ESKILSTUNA</t>
        </is>
      </c>
      <c r="G30" t="n">
        <v>0.7</v>
      </c>
      <c r="H30" t="n">
        <v>4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4</v>
      </c>
      <c r="R30" s="2" t="inlineStr">
        <is>
          <t>Fläcknycklar
Blåsippa
Lopplummer
Revlummer</t>
        </is>
      </c>
      <c r="S30">
        <f>HYPERLINK("https://klasma.github.io/Logging_0484/artfynd/A 49457-2023 artfynd.xlsx", "A 49457-2023")</f>
        <v/>
      </c>
      <c r="T30">
        <f>HYPERLINK("https://klasma.github.io/Logging_0484/kartor/A 49457-2023 karta.png", "A 49457-2023")</f>
        <v/>
      </c>
      <c r="V30">
        <f>HYPERLINK("https://klasma.github.io/Logging_0484/klagomål/A 49457-2023 FSC-klagomål.docx", "A 49457-2023")</f>
        <v/>
      </c>
      <c r="W30">
        <f>HYPERLINK("https://klasma.github.io/Logging_0484/klagomålsmail/A 49457-2023 FSC-klagomål mail.docx", "A 49457-2023")</f>
        <v/>
      </c>
      <c r="X30">
        <f>HYPERLINK("https://klasma.github.io/Logging_0484/tillsyn/A 49457-2023 tillsynsbegäran.docx", "A 49457-2023")</f>
        <v/>
      </c>
      <c r="Y30">
        <f>HYPERLINK("https://klasma.github.io/Logging_0484/tillsynsmail/A 49457-2023 tillsynsbegäran mail.docx", "A 49457-2023")</f>
        <v/>
      </c>
    </row>
    <row r="31" ht="15" customHeight="1">
      <c r="A31" t="inlineStr">
        <is>
          <t>A 52802-2023</t>
        </is>
      </c>
      <c r="B31" s="1" t="n">
        <v>45226</v>
      </c>
      <c r="C31" s="1" t="n">
        <v>45473</v>
      </c>
      <c r="D31" t="inlineStr">
        <is>
          <t>SÖDERMANLANDS LÄN</t>
        </is>
      </c>
      <c r="E31" t="inlineStr">
        <is>
          <t>ESKILSTUNA</t>
        </is>
      </c>
      <c r="G31" t="n">
        <v>4.8</v>
      </c>
      <c r="H31" t="n">
        <v>1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Klasefibbla
Skogsklocka
Talltita
Bronshjon</t>
        </is>
      </c>
      <c r="S31">
        <f>HYPERLINK("https://klasma.github.io/Logging_0484/artfynd/A 52802-2023 artfynd.xlsx", "A 52802-2023")</f>
        <v/>
      </c>
      <c r="T31">
        <f>HYPERLINK("https://klasma.github.io/Logging_0484/kartor/A 52802-2023 karta.png", "A 52802-2023")</f>
        <v/>
      </c>
      <c r="V31">
        <f>HYPERLINK("https://klasma.github.io/Logging_0484/klagomål/A 52802-2023 FSC-klagomål.docx", "A 52802-2023")</f>
        <v/>
      </c>
      <c r="W31">
        <f>HYPERLINK("https://klasma.github.io/Logging_0484/klagomålsmail/A 52802-2023 FSC-klagomål mail.docx", "A 52802-2023")</f>
        <v/>
      </c>
      <c r="X31">
        <f>HYPERLINK("https://klasma.github.io/Logging_0484/tillsyn/A 52802-2023 tillsynsbegäran.docx", "A 52802-2023")</f>
        <v/>
      </c>
      <c r="Y31">
        <f>HYPERLINK("https://klasma.github.io/Logging_0484/tillsynsmail/A 52802-2023 tillsynsbegäran mail.docx", "A 52802-2023")</f>
        <v/>
      </c>
      <c r="Z31">
        <f>HYPERLINK("https://klasma.github.io/Logging_0484/fåglar/A 52802-2023 prioriterade fågelarter.docx", "A 52802-2023")</f>
        <v/>
      </c>
    </row>
    <row r="32" ht="15" customHeight="1">
      <c r="A32" t="inlineStr">
        <is>
          <t>A 43401-2019</t>
        </is>
      </c>
      <c r="B32" s="1" t="n">
        <v>43706</v>
      </c>
      <c r="C32" s="1" t="n">
        <v>45473</v>
      </c>
      <c r="D32" t="inlineStr">
        <is>
          <t>SÖDERMANLANDS LÄN</t>
        </is>
      </c>
      <c r="E32" t="inlineStr">
        <is>
          <t>ESKILSTUNA</t>
        </is>
      </c>
      <c r="G32" t="n">
        <v>22.9</v>
      </c>
      <c r="H32" t="n">
        <v>2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Grön sköldmossa
Stubbspretmossa
Lopplummer</t>
        </is>
      </c>
      <c r="S32">
        <f>HYPERLINK("https://klasma.github.io/Logging_0484/artfynd/A 43401-2019 artfynd.xlsx", "A 43401-2019")</f>
        <v/>
      </c>
      <c r="T32">
        <f>HYPERLINK("https://klasma.github.io/Logging_0484/kartor/A 43401-2019 karta.png", "A 43401-2019")</f>
        <v/>
      </c>
      <c r="V32">
        <f>HYPERLINK("https://klasma.github.io/Logging_0484/klagomål/A 43401-2019 FSC-klagomål.docx", "A 43401-2019")</f>
        <v/>
      </c>
      <c r="W32">
        <f>HYPERLINK("https://klasma.github.io/Logging_0484/klagomålsmail/A 43401-2019 FSC-klagomål mail.docx", "A 43401-2019")</f>
        <v/>
      </c>
      <c r="X32">
        <f>HYPERLINK("https://klasma.github.io/Logging_0484/tillsyn/A 43401-2019 tillsynsbegäran.docx", "A 43401-2019")</f>
        <v/>
      </c>
      <c r="Y32">
        <f>HYPERLINK("https://klasma.github.io/Logging_0484/tillsynsmail/A 43401-2019 tillsynsbegäran mail.docx", "A 43401-2019")</f>
        <v/>
      </c>
    </row>
    <row r="33" ht="15" customHeight="1">
      <c r="A33" t="inlineStr">
        <is>
          <t>A 51649-2019</t>
        </is>
      </c>
      <c r="B33" s="1" t="n">
        <v>43740</v>
      </c>
      <c r="C33" s="1" t="n">
        <v>45473</v>
      </c>
      <c r="D33" t="inlineStr">
        <is>
          <t>SÖDERMANLANDS LÄN</t>
        </is>
      </c>
      <c r="E33" t="inlineStr">
        <is>
          <t>ESKILSTUNA</t>
        </is>
      </c>
      <c r="G33" t="n">
        <v>26.1</v>
      </c>
      <c r="H33" t="n">
        <v>2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Knärot
Blåmossa
Blåsippa</t>
        </is>
      </c>
      <c r="S33">
        <f>HYPERLINK("https://klasma.github.io/Logging_0484/artfynd/A 51649-2019 artfynd.xlsx", "A 51649-2019")</f>
        <v/>
      </c>
      <c r="T33">
        <f>HYPERLINK("https://klasma.github.io/Logging_0484/kartor/A 51649-2019 karta.png", "A 51649-2019")</f>
        <v/>
      </c>
      <c r="U33">
        <f>HYPERLINK("https://klasma.github.io/Logging_0484/knärot/A 51649-2019 karta knärot.png", "A 51649-2019")</f>
        <v/>
      </c>
      <c r="V33">
        <f>HYPERLINK("https://klasma.github.io/Logging_0484/klagomål/A 51649-2019 FSC-klagomål.docx", "A 51649-2019")</f>
        <v/>
      </c>
      <c r="W33">
        <f>HYPERLINK("https://klasma.github.io/Logging_0484/klagomålsmail/A 51649-2019 FSC-klagomål mail.docx", "A 51649-2019")</f>
        <v/>
      </c>
      <c r="X33">
        <f>HYPERLINK("https://klasma.github.io/Logging_0484/tillsyn/A 51649-2019 tillsynsbegäran.docx", "A 51649-2019")</f>
        <v/>
      </c>
      <c r="Y33">
        <f>HYPERLINK("https://klasma.github.io/Logging_0484/tillsynsmail/A 51649-2019 tillsynsbegäran mail.docx", "A 51649-2019")</f>
        <v/>
      </c>
    </row>
    <row r="34" ht="15" customHeight="1">
      <c r="A34" t="inlineStr">
        <is>
          <t>A 57180-2020</t>
        </is>
      </c>
      <c r="B34" s="1" t="n">
        <v>44139</v>
      </c>
      <c r="C34" s="1" t="n">
        <v>45473</v>
      </c>
      <c r="D34" t="inlineStr">
        <is>
          <t>SÖDERMANLANDS LÄN</t>
        </is>
      </c>
      <c r="E34" t="inlineStr">
        <is>
          <t>ESKILSTUNA</t>
        </is>
      </c>
      <c r="F34" t="inlineStr">
        <is>
          <t>Kommuner</t>
        </is>
      </c>
      <c r="G34" t="n">
        <v>3.6</v>
      </c>
      <c r="H34" t="n">
        <v>1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Ask
Fyrflikig jordstjärna
Blåsippa</t>
        </is>
      </c>
      <c r="S34">
        <f>HYPERLINK("https://klasma.github.io/Logging_0484/artfynd/A 57180-2020 artfynd.xlsx", "A 57180-2020")</f>
        <v/>
      </c>
      <c r="T34">
        <f>HYPERLINK("https://klasma.github.io/Logging_0484/kartor/A 57180-2020 karta.png", "A 57180-2020")</f>
        <v/>
      </c>
      <c r="V34">
        <f>HYPERLINK("https://klasma.github.io/Logging_0484/klagomål/A 57180-2020 FSC-klagomål.docx", "A 57180-2020")</f>
        <v/>
      </c>
      <c r="W34">
        <f>HYPERLINK("https://klasma.github.io/Logging_0484/klagomålsmail/A 57180-2020 FSC-klagomål mail.docx", "A 57180-2020")</f>
        <v/>
      </c>
      <c r="X34">
        <f>HYPERLINK("https://klasma.github.io/Logging_0484/tillsyn/A 57180-2020 tillsynsbegäran.docx", "A 57180-2020")</f>
        <v/>
      </c>
      <c r="Y34">
        <f>HYPERLINK("https://klasma.github.io/Logging_0484/tillsynsmail/A 57180-2020 tillsynsbegäran mail.docx", "A 57180-2020")</f>
        <v/>
      </c>
    </row>
    <row r="35" ht="15" customHeight="1">
      <c r="A35" t="inlineStr">
        <is>
          <t>A 15323-2021</t>
        </is>
      </c>
      <c r="B35" s="1" t="n">
        <v>44284</v>
      </c>
      <c r="C35" s="1" t="n">
        <v>45473</v>
      </c>
      <c r="D35" t="inlineStr">
        <is>
          <t>SÖDERMANLANDS LÄN</t>
        </is>
      </c>
      <c r="E35" t="inlineStr">
        <is>
          <t>ESKILSTUNA</t>
        </is>
      </c>
      <c r="F35" t="inlineStr">
        <is>
          <t>Kyrkan</t>
        </is>
      </c>
      <c r="G35" t="n">
        <v>8.5</v>
      </c>
      <c r="H35" t="n">
        <v>3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Knärot
Spillkråka
Blåsippa</t>
        </is>
      </c>
      <c r="S35">
        <f>HYPERLINK("https://klasma.github.io/Logging_0484/artfynd/A 15323-2021 artfynd.xlsx", "A 15323-2021")</f>
        <v/>
      </c>
      <c r="T35">
        <f>HYPERLINK("https://klasma.github.io/Logging_0484/kartor/A 15323-2021 karta.png", "A 15323-2021")</f>
        <v/>
      </c>
      <c r="U35">
        <f>HYPERLINK("https://klasma.github.io/Logging_0484/knärot/A 15323-2021 karta knärot.png", "A 15323-2021")</f>
        <v/>
      </c>
      <c r="V35">
        <f>HYPERLINK("https://klasma.github.io/Logging_0484/klagomål/A 15323-2021 FSC-klagomål.docx", "A 15323-2021")</f>
        <v/>
      </c>
      <c r="W35">
        <f>HYPERLINK("https://klasma.github.io/Logging_0484/klagomålsmail/A 15323-2021 FSC-klagomål mail.docx", "A 15323-2021")</f>
        <v/>
      </c>
      <c r="X35">
        <f>HYPERLINK("https://klasma.github.io/Logging_0484/tillsyn/A 15323-2021 tillsynsbegäran.docx", "A 15323-2021")</f>
        <v/>
      </c>
      <c r="Y35">
        <f>HYPERLINK("https://klasma.github.io/Logging_0484/tillsynsmail/A 15323-2021 tillsynsbegäran mail.docx", "A 15323-2021")</f>
        <v/>
      </c>
      <c r="Z35">
        <f>HYPERLINK("https://klasma.github.io/Logging_0484/fåglar/A 15323-2021 prioriterade fågelarter.docx", "A 15323-2021")</f>
        <v/>
      </c>
    </row>
    <row r="36" ht="15" customHeight="1">
      <c r="A36" t="inlineStr">
        <is>
          <t>A 15060-2022</t>
        </is>
      </c>
      <c r="B36" s="1" t="n">
        <v>44657</v>
      </c>
      <c r="C36" s="1" t="n">
        <v>45473</v>
      </c>
      <c r="D36" t="inlineStr">
        <is>
          <t>SÖDERMANLANDS LÄN</t>
        </is>
      </c>
      <c r="E36" t="inlineStr">
        <is>
          <t>ESKILSTUNA</t>
        </is>
      </c>
      <c r="F36" t="inlineStr">
        <is>
          <t>Kommuner</t>
        </is>
      </c>
      <c r="G36" t="n">
        <v>1.3</v>
      </c>
      <c r="H36" t="n">
        <v>1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Duvhök
Ullticka
Granbarkgnagare</t>
        </is>
      </c>
      <c r="S36">
        <f>HYPERLINK("https://klasma.github.io/Logging_0484/artfynd/A 15060-2022 artfynd.xlsx", "A 15060-2022")</f>
        <v/>
      </c>
      <c r="T36">
        <f>HYPERLINK("https://klasma.github.io/Logging_0484/kartor/A 15060-2022 karta.png", "A 15060-2022")</f>
        <v/>
      </c>
      <c r="V36">
        <f>HYPERLINK("https://klasma.github.io/Logging_0484/klagomål/A 15060-2022 FSC-klagomål.docx", "A 15060-2022")</f>
        <v/>
      </c>
      <c r="W36">
        <f>HYPERLINK("https://klasma.github.io/Logging_0484/klagomålsmail/A 15060-2022 FSC-klagomål mail.docx", "A 15060-2022")</f>
        <v/>
      </c>
      <c r="X36">
        <f>HYPERLINK("https://klasma.github.io/Logging_0484/tillsyn/A 15060-2022 tillsynsbegäran.docx", "A 15060-2022")</f>
        <v/>
      </c>
      <c r="Y36">
        <f>HYPERLINK("https://klasma.github.io/Logging_0484/tillsynsmail/A 15060-2022 tillsynsbegäran mail.docx", "A 15060-2022")</f>
        <v/>
      </c>
      <c r="Z36">
        <f>HYPERLINK("https://klasma.github.io/Logging_0484/fåglar/A 15060-2022 prioriterade fågelarter.docx", "A 15060-2022")</f>
        <v/>
      </c>
    </row>
    <row r="37" ht="15" customHeight="1">
      <c r="A37" t="inlineStr">
        <is>
          <t>A 22265-2022</t>
        </is>
      </c>
      <c r="B37" s="1" t="n">
        <v>44712</v>
      </c>
      <c r="C37" s="1" t="n">
        <v>45473</v>
      </c>
      <c r="D37" t="inlineStr">
        <is>
          <t>SÖDERMANLANDS LÄN</t>
        </is>
      </c>
      <c r="E37" t="inlineStr">
        <is>
          <t>ESKILSTUNA</t>
        </is>
      </c>
      <c r="F37" t="inlineStr">
        <is>
          <t>Sveaskog</t>
        </is>
      </c>
      <c r="G37" t="n">
        <v>4.3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Motaggsvamp
Blåmossa
Mattlummer</t>
        </is>
      </c>
      <c r="S37">
        <f>HYPERLINK("https://klasma.github.io/Logging_0484/artfynd/A 22265-2022 artfynd.xlsx", "A 22265-2022")</f>
        <v/>
      </c>
      <c r="T37">
        <f>HYPERLINK("https://klasma.github.io/Logging_0484/kartor/A 22265-2022 karta.png", "A 22265-2022")</f>
        <v/>
      </c>
      <c r="U37">
        <f>HYPERLINK("https://klasma.github.io/Logging_0484/knärot/A 22265-2022 karta knärot.png", "A 22265-2022")</f>
        <v/>
      </c>
      <c r="V37">
        <f>HYPERLINK("https://klasma.github.io/Logging_0484/klagomål/A 22265-2022 FSC-klagomål.docx", "A 22265-2022")</f>
        <v/>
      </c>
      <c r="W37">
        <f>HYPERLINK("https://klasma.github.io/Logging_0484/klagomålsmail/A 22265-2022 FSC-klagomål mail.docx", "A 22265-2022")</f>
        <v/>
      </c>
      <c r="X37">
        <f>HYPERLINK("https://klasma.github.io/Logging_0484/tillsyn/A 22265-2022 tillsynsbegäran.docx", "A 22265-2022")</f>
        <v/>
      </c>
      <c r="Y37">
        <f>HYPERLINK("https://klasma.github.io/Logging_0484/tillsynsmail/A 22265-2022 tillsynsbegäran mail.docx", "A 22265-2022")</f>
        <v/>
      </c>
    </row>
    <row r="38" ht="15" customHeight="1">
      <c r="A38" t="inlineStr">
        <is>
          <t>A 61503-2022</t>
        </is>
      </c>
      <c r="B38" s="1" t="n">
        <v>44916</v>
      </c>
      <c r="C38" s="1" t="n">
        <v>45473</v>
      </c>
      <c r="D38" t="inlineStr">
        <is>
          <t>SÖDERMANLANDS LÄN</t>
        </is>
      </c>
      <c r="E38" t="inlineStr">
        <is>
          <t>ESKILSTUNA</t>
        </is>
      </c>
      <c r="G38" t="n">
        <v>1.8</v>
      </c>
      <c r="H38" t="n">
        <v>0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3</v>
      </c>
      <c r="R38" s="2" t="inlineStr">
        <is>
          <t>Mindre bastardsvärmare
Skogsklocka
Svinrot</t>
        </is>
      </c>
      <c r="S38">
        <f>HYPERLINK("https://klasma.github.io/Logging_0484/artfynd/A 61503-2022 artfynd.xlsx", "A 61503-2022")</f>
        <v/>
      </c>
      <c r="T38">
        <f>HYPERLINK("https://klasma.github.io/Logging_0484/kartor/A 61503-2022 karta.png", "A 61503-2022")</f>
        <v/>
      </c>
      <c r="V38">
        <f>HYPERLINK("https://klasma.github.io/Logging_0484/klagomål/A 61503-2022 FSC-klagomål.docx", "A 61503-2022")</f>
        <v/>
      </c>
      <c r="W38">
        <f>HYPERLINK("https://klasma.github.io/Logging_0484/klagomålsmail/A 61503-2022 FSC-klagomål mail.docx", "A 61503-2022")</f>
        <v/>
      </c>
      <c r="X38">
        <f>HYPERLINK("https://klasma.github.io/Logging_0484/tillsyn/A 61503-2022 tillsynsbegäran.docx", "A 61503-2022")</f>
        <v/>
      </c>
      <c r="Y38">
        <f>HYPERLINK("https://klasma.github.io/Logging_0484/tillsynsmail/A 61503-2022 tillsynsbegäran mail.docx", "A 61503-2022")</f>
        <v/>
      </c>
    </row>
    <row r="39" ht="15" customHeight="1">
      <c r="A39" t="inlineStr">
        <is>
          <t>A 4212-2023</t>
        </is>
      </c>
      <c r="B39" s="1" t="n">
        <v>44953</v>
      </c>
      <c r="C39" s="1" t="n">
        <v>45473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Kyrkan</t>
        </is>
      </c>
      <c r="G39" t="n">
        <v>0.7</v>
      </c>
      <c r="H39" t="n">
        <v>2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Mindre hackspett
Granbarkgnagare
Blåsippa</t>
        </is>
      </c>
      <c r="S39">
        <f>HYPERLINK("https://klasma.github.io/Logging_0484/artfynd/A 4212-2023 artfynd.xlsx", "A 4212-2023")</f>
        <v/>
      </c>
      <c r="T39">
        <f>HYPERLINK("https://klasma.github.io/Logging_0484/kartor/A 4212-2023 karta.png", "A 4212-2023")</f>
        <v/>
      </c>
      <c r="U39">
        <f>HYPERLINK("https://klasma.github.io/Logging_0484/knärot/A 4212-2023 karta knärot.png", "A 4212-2023")</f>
        <v/>
      </c>
      <c r="V39">
        <f>HYPERLINK("https://klasma.github.io/Logging_0484/klagomål/A 4212-2023 FSC-klagomål.docx", "A 4212-2023")</f>
        <v/>
      </c>
      <c r="W39">
        <f>HYPERLINK("https://klasma.github.io/Logging_0484/klagomålsmail/A 4212-2023 FSC-klagomål mail.docx", "A 4212-2023")</f>
        <v/>
      </c>
      <c r="X39">
        <f>HYPERLINK("https://klasma.github.io/Logging_0484/tillsyn/A 4212-2023 tillsynsbegäran.docx", "A 4212-2023")</f>
        <v/>
      </c>
      <c r="Y39">
        <f>HYPERLINK("https://klasma.github.io/Logging_0484/tillsynsmail/A 4212-2023 tillsynsbegäran mail.docx", "A 4212-2023")</f>
        <v/>
      </c>
      <c r="Z39">
        <f>HYPERLINK("https://klasma.github.io/Logging_0484/fåglar/A 4212-2023 prioriterade fågelarter.docx", "A 4212-2023")</f>
        <v/>
      </c>
    </row>
    <row r="40" ht="15" customHeight="1">
      <c r="A40" t="inlineStr">
        <is>
          <t>A 18968-2023</t>
        </is>
      </c>
      <c r="B40" s="1" t="n">
        <v>45044</v>
      </c>
      <c r="C40" s="1" t="n">
        <v>45473</v>
      </c>
      <c r="D40" t="inlineStr">
        <is>
          <t>SÖDERMANLANDS LÄN</t>
        </is>
      </c>
      <c r="E40" t="inlineStr">
        <is>
          <t>ESKILSTUNA</t>
        </is>
      </c>
      <c r="G40" t="n">
        <v>3.6</v>
      </c>
      <c r="H40" t="n">
        <v>0</v>
      </c>
      <c r="I40" t="n">
        <v>2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3</v>
      </c>
      <c r="R40" s="2" t="inlineStr">
        <is>
          <t>Ask
Svart trolldruva
Tibast</t>
        </is>
      </c>
      <c r="S40">
        <f>HYPERLINK("https://klasma.github.io/Logging_0484/artfynd/A 18968-2023 artfynd.xlsx", "A 18968-2023")</f>
        <v/>
      </c>
      <c r="T40">
        <f>HYPERLINK("https://klasma.github.io/Logging_0484/kartor/A 18968-2023 karta.png", "A 18968-2023")</f>
        <v/>
      </c>
      <c r="V40">
        <f>HYPERLINK("https://klasma.github.io/Logging_0484/klagomål/A 18968-2023 FSC-klagomål.docx", "A 18968-2023")</f>
        <v/>
      </c>
      <c r="W40">
        <f>HYPERLINK("https://klasma.github.io/Logging_0484/klagomålsmail/A 18968-2023 FSC-klagomål mail.docx", "A 18968-2023")</f>
        <v/>
      </c>
      <c r="X40">
        <f>HYPERLINK("https://klasma.github.io/Logging_0484/tillsyn/A 18968-2023 tillsynsbegäran.docx", "A 18968-2023")</f>
        <v/>
      </c>
      <c r="Y40">
        <f>HYPERLINK("https://klasma.github.io/Logging_0484/tillsynsmail/A 18968-2023 tillsynsbegäran mail.docx", "A 18968-2023")</f>
        <v/>
      </c>
    </row>
    <row r="41" ht="15" customHeight="1">
      <c r="A41" t="inlineStr">
        <is>
          <t>A 18962-2023</t>
        </is>
      </c>
      <c r="B41" s="1" t="n">
        <v>45044</v>
      </c>
      <c r="C41" s="1" t="n">
        <v>45473</v>
      </c>
      <c r="D41" t="inlineStr">
        <is>
          <t>SÖDERMANLANDS LÄN</t>
        </is>
      </c>
      <c r="E41" t="inlineStr">
        <is>
          <t>ESKILSTUNA</t>
        </is>
      </c>
      <c r="G41" t="n">
        <v>7.3</v>
      </c>
      <c r="H41" t="n">
        <v>1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Mindre märgborre
Vätteros
Blåsippa</t>
        </is>
      </c>
      <c r="S41">
        <f>HYPERLINK("https://klasma.github.io/Logging_0484/artfynd/A 18962-2023 artfynd.xlsx", "A 18962-2023")</f>
        <v/>
      </c>
      <c r="T41">
        <f>HYPERLINK("https://klasma.github.io/Logging_0484/kartor/A 18962-2023 karta.png", "A 18962-2023")</f>
        <v/>
      </c>
      <c r="U41">
        <f>HYPERLINK("https://klasma.github.io/Logging_0484/knärot/A 18962-2023 karta knärot.png", "A 18962-2023")</f>
        <v/>
      </c>
      <c r="V41">
        <f>HYPERLINK("https://klasma.github.io/Logging_0484/klagomål/A 18962-2023 FSC-klagomål.docx", "A 18962-2023")</f>
        <v/>
      </c>
      <c r="W41">
        <f>HYPERLINK("https://klasma.github.io/Logging_0484/klagomålsmail/A 18962-2023 FSC-klagomål mail.docx", "A 18962-2023")</f>
        <v/>
      </c>
      <c r="X41">
        <f>HYPERLINK("https://klasma.github.io/Logging_0484/tillsyn/A 18962-2023 tillsynsbegäran.docx", "A 18962-2023")</f>
        <v/>
      </c>
      <c r="Y41">
        <f>HYPERLINK("https://klasma.github.io/Logging_0484/tillsynsmail/A 18962-2023 tillsynsbegäran mail.docx", "A 18962-2023")</f>
        <v/>
      </c>
    </row>
    <row r="42" ht="15" customHeight="1">
      <c r="A42" t="inlineStr">
        <is>
          <t>A 12443-2024</t>
        </is>
      </c>
      <c r="B42" s="1" t="n">
        <v>45379</v>
      </c>
      <c r="C42" s="1" t="n">
        <v>45473</v>
      </c>
      <c r="D42" t="inlineStr">
        <is>
          <t>SÖDERMANLANDS LÄN</t>
        </is>
      </c>
      <c r="E42" t="inlineStr">
        <is>
          <t>ESKILSTUNA</t>
        </is>
      </c>
      <c r="F42" t="inlineStr">
        <is>
          <t>Allmännings- och besparingsskogar</t>
        </is>
      </c>
      <c r="G42" t="n">
        <v>8.9</v>
      </c>
      <c r="H42" t="n">
        <v>3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Blåsippa
Mattlummer
Revlummer</t>
        </is>
      </c>
      <c r="S42">
        <f>HYPERLINK("https://klasma.github.io/Logging_0484/artfynd/A 12443-2024 artfynd.xlsx", "A 12443-2024")</f>
        <v/>
      </c>
      <c r="T42">
        <f>HYPERLINK("https://klasma.github.io/Logging_0484/kartor/A 12443-2024 karta.png", "A 12443-2024")</f>
        <v/>
      </c>
      <c r="V42">
        <f>HYPERLINK("https://klasma.github.io/Logging_0484/klagomål/A 12443-2024 FSC-klagomål.docx", "A 12443-2024")</f>
        <v/>
      </c>
      <c r="W42">
        <f>HYPERLINK("https://klasma.github.io/Logging_0484/klagomålsmail/A 12443-2024 FSC-klagomål mail.docx", "A 12443-2024")</f>
        <v/>
      </c>
      <c r="X42">
        <f>HYPERLINK("https://klasma.github.io/Logging_0484/tillsyn/A 12443-2024 tillsynsbegäran.docx", "A 12443-2024")</f>
        <v/>
      </c>
      <c r="Y42">
        <f>HYPERLINK("https://klasma.github.io/Logging_0484/tillsynsmail/A 12443-2024 tillsynsbegäran mail.docx", "A 12443-2024")</f>
        <v/>
      </c>
    </row>
    <row r="43" ht="15" customHeight="1">
      <c r="A43" t="inlineStr">
        <is>
          <t>A 24767-2024</t>
        </is>
      </c>
      <c r="B43" s="1" t="n">
        <v>45460</v>
      </c>
      <c r="C43" s="1" t="n">
        <v>45473</v>
      </c>
      <c r="D43" t="inlineStr">
        <is>
          <t>SÖDERMANLANDS LÄN</t>
        </is>
      </c>
      <c r="E43" t="inlineStr">
        <is>
          <t>ESKILSTUNA</t>
        </is>
      </c>
      <c r="G43" t="n">
        <v>15.2</v>
      </c>
      <c r="H43" t="n">
        <v>3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Fläcknycklar
Lopplummer
Mattlummer</t>
        </is>
      </c>
      <c r="S43">
        <f>HYPERLINK("https://klasma.github.io/Logging_0484/artfynd/A 24767-2024 artfynd.xlsx", "A 24767-2024")</f>
        <v/>
      </c>
      <c r="T43">
        <f>HYPERLINK("https://klasma.github.io/Logging_0484/kartor/A 24767-2024 karta.png", "A 24767-2024")</f>
        <v/>
      </c>
      <c r="V43">
        <f>HYPERLINK("https://klasma.github.io/Logging_0484/klagomål/A 24767-2024 FSC-klagomål.docx", "A 24767-2024")</f>
        <v/>
      </c>
      <c r="W43">
        <f>HYPERLINK("https://klasma.github.io/Logging_0484/klagomålsmail/A 24767-2024 FSC-klagomål mail.docx", "A 24767-2024")</f>
        <v/>
      </c>
      <c r="X43">
        <f>HYPERLINK("https://klasma.github.io/Logging_0484/tillsyn/A 24767-2024 tillsynsbegäran.docx", "A 24767-2024")</f>
        <v/>
      </c>
      <c r="Y43">
        <f>HYPERLINK("https://klasma.github.io/Logging_0484/tillsynsmail/A 24767-2024 tillsynsbegäran mail.docx", "A 24767-2024")</f>
        <v/>
      </c>
    </row>
    <row r="44" ht="15" customHeight="1">
      <c r="A44" t="inlineStr">
        <is>
          <t>A 51654-2019</t>
        </is>
      </c>
      <c r="B44" s="1" t="n">
        <v>43740</v>
      </c>
      <c r="C44" s="1" t="n">
        <v>45473</v>
      </c>
      <c r="D44" t="inlineStr">
        <is>
          <t>SÖDERMANLANDS LÄN</t>
        </is>
      </c>
      <c r="E44" t="inlineStr">
        <is>
          <t>ESKILSTUNA</t>
        </is>
      </c>
      <c r="G44" t="n">
        <v>7.9</v>
      </c>
      <c r="H44" t="n">
        <v>2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Spillkråka
Svartvit flugsnappare</t>
        </is>
      </c>
      <c r="S44">
        <f>HYPERLINK("https://klasma.github.io/Logging_0484/artfynd/A 51654-2019 artfynd.xlsx", "A 51654-2019")</f>
        <v/>
      </c>
      <c r="T44">
        <f>HYPERLINK("https://klasma.github.io/Logging_0484/kartor/A 51654-2019 karta.png", "A 51654-2019")</f>
        <v/>
      </c>
      <c r="V44">
        <f>HYPERLINK("https://klasma.github.io/Logging_0484/klagomål/A 51654-2019 FSC-klagomål.docx", "A 51654-2019")</f>
        <v/>
      </c>
      <c r="W44">
        <f>HYPERLINK("https://klasma.github.io/Logging_0484/klagomålsmail/A 51654-2019 FSC-klagomål mail.docx", "A 51654-2019")</f>
        <v/>
      </c>
      <c r="X44">
        <f>HYPERLINK("https://klasma.github.io/Logging_0484/tillsyn/A 51654-2019 tillsynsbegäran.docx", "A 51654-2019")</f>
        <v/>
      </c>
      <c r="Y44">
        <f>HYPERLINK("https://klasma.github.io/Logging_0484/tillsynsmail/A 51654-2019 tillsynsbegäran mail.docx", "A 51654-2019")</f>
        <v/>
      </c>
      <c r="Z44">
        <f>HYPERLINK("https://klasma.github.io/Logging_0484/fåglar/A 51654-2019 prioriterade fågelarter.docx", "A 51654-2019")</f>
        <v/>
      </c>
    </row>
    <row r="45" ht="15" customHeight="1">
      <c r="A45" t="inlineStr">
        <is>
          <t>A 69146-2019</t>
        </is>
      </c>
      <c r="B45" s="1" t="n">
        <v>43815</v>
      </c>
      <c r="C45" s="1" t="n">
        <v>45473</v>
      </c>
      <c r="D45" t="inlineStr">
        <is>
          <t>SÖDERMANLANDS LÄN</t>
        </is>
      </c>
      <c r="E45" t="inlineStr">
        <is>
          <t>ESKILSTUNA</t>
        </is>
      </c>
      <c r="G45" t="n">
        <v>19.3</v>
      </c>
      <c r="H45" t="n">
        <v>2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Järpe
Kungsörn</t>
        </is>
      </c>
      <c r="S45">
        <f>HYPERLINK("https://klasma.github.io/Logging_0484/artfynd/A 69146-2019 artfynd.xlsx", "A 69146-2019")</f>
        <v/>
      </c>
      <c r="T45">
        <f>HYPERLINK("https://klasma.github.io/Logging_0484/kartor/A 69146-2019 karta.png", "A 69146-2019")</f>
        <v/>
      </c>
      <c r="V45">
        <f>HYPERLINK("https://klasma.github.io/Logging_0484/klagomål/A 69146-2019 FSC-klagomål.docx", "A 69146-2019")</f>
        <v/>
      </c>
      <c r="W45">
        <f>HYPERLINK("https://klasma.github.io/Logging_0484/klagomålsmail/A 69146-2019 FSC-klagomål mail.docx", "A 69146-2019")</f>
        <v/>
      </c>
      <c r="X45">
        <f>HYPERLINK("https://klasma.github.io/Logging_0484/tillsyn/A 69146-2019 tillsynsbegäran.docx", "A 69146-2019")</f>
        <v/>
      </c>
      <c r="Y45">
        <f>HYPERLINK("https://klasma.github.io/Logging_0484/tillsynsmail/A 69146-2019 tillsynsbegäran mail.docx", "A 69146-2019")</f>
        <v/>
      </c>
      <c r="Z45">
        <f>HYPERLINK("https://klasma.github.io/Logging_0484/fåglar/A 69146-2019 prioriterade fågelarter.docx", "A 69146-2019")</f>
        <v/>
      </c>
    </row>
    <row r="46" ht="15" customHeight="1">
      <c r="A46" t="inlineStr">
        <is>
          <t>A 3683-2020</t>
        </is>
      </c>
      <c r="B46" s="1" t="n">
        <v>43845</v>
      </c>
      <c r="C46" s="1" t="n">
        <v>45473</v>
      </c>
      <c r="D46" t="inlineStr">
        <is>
          <t>SÖDERMANLANDS LÄN</t>
        </is>
      </c>
      <c r="E46" t="inlineStr">
        <is>
          <t>ESKILSTUNA</t>
        </is>
      </c>
      <c r="G46" t="n">
        <v>10.3</v>
      </c>
      <c r="H46" t="n">
        <v>2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Blåsippa</t>
        </is>
      </c>
      <c r="S46">
        <f>HYPERLINK("https://klasma.github.io/Logging_0484/artfynd/A 3683-2020 artfynd.xlsx", "A 3683-2020")</f>
        <v/>
      </c>
      <c r="T46">
        <f>HYPERLINK("https://klasma.github.io/Logging_0484/kartor/A 3683-2020 karta.png", "A 3683-2020")</f>
        <v/>
      </c>
      <c r="U46">
        <f>HYPERLINK("https://klasma.github.io/Logging_0484/knärot/A 3683-2020 karta knärot.png", "A 3683-2020")</f>
        <v/>
      </c>
      <c r="V46">
        <f>HYPERLINK("https://klasma.github.io/Logging_0484/klagomål/A 3683-2020 FSC-klagomål.docx", "A 3683-2020")</f>
        <v/>
      </c>
      <c r="W46">
        <f>HYPERLINK("https://klasma.github.io/Logging_0484/klagomålsmail/A 3683-2020 FSC-klagomål mail.docx", "A 3683-2020")</f>
        <v/>
      </c>
      <c r="X46">
        <f>HYPERLINK("https://klasma.github.io/Logging_0484/tillsyn/A 3683-2020 tillsynsbegäran.docx", "A 3683-2020")</f>
        <v/>
      </c>
      <c r="Y46">
        <f>HYPERLINK("https://klasma.github.io/Logging_0484/tillsynsmail/A 3683-2020 tillsynsbegäran mail.docx", "A 3683-2020")</f>
        <v/>
      </c>
    </row>
    <row r="47" ht="15" customHeight="1">
      <c r="A47" t="inlineStr">
        <is>
          <t>A 5581-2020</t>
        </is>
      </c>
      <c r="B47" s="1" t="n">
        <v>43861</v>
      </c>
      <c r="C47" s="1" t="n">
        <v>45473</v>
      </c>
      <c r="D47" t="inlineStr">
        <is>
          <t>SÖDERMANLANDS LÄN</t>
        </is>
      </c>
      <c r="E47" t="inlineStr">
        <is>
          <t>ESKILSTUNA</t>
        </is>
      </c>
      <c r="G47" t="n">
        <v>7.1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Rävticka
Vedticka</t>
        </is>
      </c>
      <c r="S47">
        <f>HYPERLINK("https://klasma.github.io/Logging_0484/artfynd/A 5581-2020 artfynd.xlsx", "A 5581-2020")</f>
        <v/>
      </c>
      <c r="T47">
        <f>HYPERLINK("https://klasma.github.io/Logging_0484/kartor/A 5581-2020 karta.png", "A 5581-2020")</f>
        <v/>
      </c>
      <c r="V47">
        <f>HYPERLINK("https://klasma.github.io/Logging_0484/klagomål/A 5581-2020 FSC-klagomål.docx", "A 5581-2020")</f>
        <v/>
      </c>
      <c r="W47">
        <f>HYPERLINK("https://klasma.github.io/Logging_0484/klagomålsmail/A 5581-2020 FSC-klagomål mail.docx", "A 5581-2020")</f>
        <v/>
      </c>
      <c r="X47">
        <f>HYPERLINK("https://klasma.github.io/Logging_0484/tillsyn/A 5581-2020 tillsynsbegäran.docx", "A 5581-2020")</f>
        <v/>
      </c>
      <c r="Y47">
        <f>HYPERLINK("https://klasma.github.io/Logging_0484/tillsynsmail/A 5581-2020 tillsynsbegäran mail.docx", "A 5581-2020")</f>
        <v/>
      </c>
    </row>
    <row r="48" ht="15" customHeight="1">
      <c r="A48" t="inlineStr">
        <is>
          <t>A 46353-2020</t>
        </is>
      </c>
      <c r="B48" s="1" t="n">
        <v>44092</v>
      </c>
      <c r="C48" s="1" t="n">
        <v>45473</v>
      </c>
      <c r="D48" t="inlineStr">
        <is>
          <t>SÖDERMANLANDS LÄN</t>
        </is>
      </c>
      <c r="E48" t="inlineStr">
        <is>
          <t>ESKILSTUNA</t>
        </is>
      </c>
      <c r="F48" t="inlineStr">
        <is>
          <t>Sveaskog</t>
        </is>
      </c>
      <c r="G48" t="n">
        <v>1.5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Sandviol
Revlummer</t>
        </is>
      </c>
      <c r="S48">
        <f>HYPERLINK("https://klasma.github.io/Logging_0484/artfynd/A 46353-2020 artfynd.xlsx", "A 46353-2020")</f>
        <v/>
      </c>
      <c r="T48">
        <f>HYPERLINK("https://klasma.github.io/Logging_0484/kartor/A 46353-2020 karta.png", "A 46353-2020")</f>
        <v/>
      </c>
      <c r="V48">
        <f>HYPERLINK("https://klasma.github.io/Logging_0484/klagomål/A 46353-2020 FSC-klagomål.docx", "A 46353-2020")</f>
        <v/>
      </c>
      <c r="W48">
        <f>HYPERLINK("https://klasma.github.io/Logging_0484/klagomålsmail/A 46353-2020 FSC-klagomål mail.docx", "A 46353-2020")</f>
        <v/>
      </c>
      <c r="X48">
        <f>HYPERLINK("https://klasma.github.io/Logging_0484/tillsyn/A 46353-2020 tillsynsbegäran.docx", "A 46353-2020")</f>
        <v/>
      </c>
      <c r="Y48">
        <f>HYPERLINK("https://klasma.github.io/Logging_0484/tillsynsmail/A 46353-2020 tillsynsbegäran mail.docx", "A 46353-2020")</f>
        <v/>
      </c>
    </row>
    <row r="49" ht="15" customHeight="1">
      <c r="A49" t="inlineStr">
        <is>
          <t>A 56191-2020</t>
        </is>
      </c>
      <c r="B49" s="1" t="n">
        <v>44133</v>
      </c>
      <c r="C49" s="1" t="n">
        <v>45473</v>
      </c>
      <c r="D49" t="inlineStr">
        <is>
          <t>SÖDERMANLANDS LÄN</t>
        </is>
      </c>
      <c r="E49" t="inlineStr">
        <is>
          <t>ESKILSTUNA</t>
        </is>
      </c>
      <c r="F49" t="inlineStr">
        <is>
          <t>Kommuner</t>
        </is>
      </c>
      <c r="G49" t="n">
        <v>4.9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Svart trolldruva
Blåsippa</t>
        </is>
      </c>
      <c r="S49">
        <f>HYPERLINK("https://klasma.github.io/Logging_0484/artfynd/A 56191-2020 artfynd.xlsx", "A 56191-2020")</f>
        <v/>
      </c>
      <c r="T49">
        <f>HYPERLINK("https://klasma.github.io/Logging_0484/kartor/A 56191-2020 karta.png", "A 56191-2020")</f>
        <v/>
      </c>
      <c r="V49">
        <f>HYPERLINK("https://klasma.github.io/Logging_0484/klagomål/A 56191-2020 FSC-klagomål.docx", "A 56191-2020")</f>
        <v/>
      </c>
      <c r="W49">
        <f>HYPERLINK("https://klasma.github.io/Logging_0484/klagomålsmail/A 56191-2020 FSC-klagomål mail.docx", "A 56191-2020")</f>
        <v/>
      </c>
      <c r="X49">
        <f>HYPERLINK("https://klasma.github.io/Logging_0484/tillsyn/A 56191-2020 tillsynsbegäran.docx", "A 56191-2020")</f>
        <v/>
      </c>
      <c r="Y49">
        <f>HYPERLINK("https://klasma.github.io/Logging_0484/tillsynsmail/A 56191-2020 tillsynsbegäran mail.docx", "A 56191-2020")</f>
        <v/>
      </c>
    </row>
    <row r="50" ht="15" customHeight="1">
      <c r="A50" t="inlineStr">
        <is>
          <t>A 69068-2021</t>
        </is>
      </c>
      <c r="B50" s="1" t="n">
        <v>44530</v>
      </c>
      <c r="C50" s="1" t="n">
        <v>45473</v>
      </c>
      <c r="D50" t="inlineStr">
        <is>
          <t>SÖDERMANLANDS LÄN</t>
        </is>
      </c>
      <c r="E50" t="inlineStr">
        <is>
          <t>ESKILSTUNA</t>
        </is>
      </c>
      <c r="G50" t="n">
        <v>3.9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Tallticka
Mindre märgborre</t>
        </is>
      </c>
      <c r="S50">
        <f>HYPERLINK("https://klasma.github.io/Logging_0484/artfynd/A 69068-2021 artfynd.xlsx", "A 69068-2021")</f>
        <v/>
      </c>
      <c r="T50">
        <f>HYPERLINK("https://klasma.github.io/Logging_0484/kartor/A 69068-2021 karta.png", "A 69068-2021")</f>
        <v/>
      </c>
      <c r="V50">
        <f>HYPERLINK("https://klasma.github.io/Logging_0484/klagomål/A 69068-2021 FSC-klagomål.docx", "A 69068-2021")</f>
        <v/>
      </c>
      <c r="W50">
        <f>HYPERLINK("https://klasma.github.io/Logging_0484/klagomålsmail/A 69068-2021 FSC-klagomål mail.docx", "A 69068-2021")</f>
        <v/>
      </c>
      <c r="X50">
        <f>HYPERLINK("https://klasma.github.io/Logging_0484/tillsyn/A 69068-2021 tillsynsbegäran.docx", "A 69068-2021")</f>
        <v/>
      </c>
      <c r="Y50">
        <f>HYPERLINK("https://klasma.github.io/Logging_0484/tillsynsmail/A 69068-2021 tillsynsbegäran mail.docx", "A 69068-2021")</f>
        <v/>
      </c>
    </row>
    <row r="51" ht="15" customHeight="1">
      <c r="A51" t="inlineStr">
        <is>
          <t>A 71969-2021</t>
        </is>
      </c>
      <c r="B51" s="1" t="n">
        <v>44544</v>
      </c>
      <c r="C51" s="1" t="n">
        <v>45473</v>
      </c>
      <c r="D51" t="inlineStr">
        <is>
          <t>SÖDERMANLANDS LÄN</t>
        </is>
      </c>
      <c r="E51" t="inlineStr">
        <is>
          <t>ESKILSTUNA</t>
        </is>
      </c>
      <c r="G51" t="n">
        <v>6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Fjällig taggsvamp s.str.
Blåsippa</t>
        </is>
      </c>
      <c r="S51">
        <f>HYPERLINK("https://klasma.github.io/Logging_0484/artfynd/A 71969-2021 artfynd.xlsx", "A 71969-2021")</f>
        <v/>
      </c>
      <c r="T51">
        <f>HYPERLINK("https://klasma.github.io/Logging_0484/kartor/A 71969-2021 karta.png", "A 71969-2021")</f>
        <v/>
      </c>
      <c r="V51">
        <f>HYPERLINK("https://klasma.github.io/Logging_0484/klagomål/A 71969-2021 FSC-klagomål.docx", "A 71969-2021")</f>
        <v/>
      </c>
      <c r="W51">
        <f>HYPERLINK("https://klasma.github.io/Logging_0484/klagomålsmail/A 71969-2021 FSC-klagomål mail.docx", "A 71969-2021")</f>
        <v/>
      </c>
      <c r="X51">
        <f>HYPERLINK("https://klasma.github.io/Logging_0484/tillsyn/A 71969-2021 tillsynsbegäran.docx", "A 71969-2021")</f>
        <v/>
      </c>
      <c r="Y51">
        <f>HYPERLINK("https://klasma.github.io/Logging_0484/tillsynsmail/A 71969-2021 tillsynsbegäran mail.docx", "A 71969-2021")</f>
        <v/>
      </c>
    </row>
    <row r="52" ht="15" customHeight="1">
      <c r="A52" t="inlineStr">
        <is>
          <t>A 22267-2022</t>
        </is>
      </c>
      <c r="B52" s="1" t="n">
        <v>44712</v>
      </c>
      <c r="C52" s="1" t="n">
        <v>45473</v>
      </c>
      <c r="D52" t="inlineStr">
        <is>
          <t>SÖDERMANLANDS LÄN</t>
        </is>
      </c>
      <c r="E52" t="inlineStr">
        <is>
          <t>ESKILSTUNA</t>
        </is>
      </c>
      <c r="F52" t="inlineStr">
        <is>
          <t>Sveaskog</t>
        </is>
      </c>
      <c r="G52" t="n">
        <v>6.4</v>
      </c>
      <c r="H52" t="n">
        <v>2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Lopplummer
Revlummer</t>
        </is>
      </c>
      <c r="S52">
        <f>HYPERLINK("https://klasma.github.io/Logging_0484/artfynd/A 22267-2022 artfynd.xlsx", "A 22267-2022")</f>
        <v/>
      </c>
      <c r="T52">
        <f>HYPERLINK("https://klasma.github.io/Logging_0484/kartor/A 22267-2022 karta.png", "A 22267-2022")</f>
        <v/>
      </c>
      <c r="V52">
        <f>HYPERLINK("https://klasma.github.io/Logging_0484/klagomål/A 22267-2022 FSC-klagomål.docx", "A 22267-2022")</f>
        <v/>
      </c>
      <c r="W52">
        <f>HYPERLINK("https://klasma.github.io/Logging_0484/klagomålsmail/A 22267-2022 FSC-klagomål mail.docx", "A 22267-2022")</f>
        <v/>
      </c>
      <c r="X52">
        <f>HYPERLINK("https://klasma.github.io/Logging_0484/tillsyn/A 22267-2022 tillsynsbegäran.docx", "A 22267-2022")</f>
        <v/>
      </c>
      <c r="Y52">
        <f>HYPERLINK("https://klasma.github.io/Logging_0484/tillsynsmail/A 22267-2022 tillsynsbegäran mail.docx", "A 22267-2022")</f>
        <v/>
      </c>
    </row>
    <row r="53" ht="15" customHeight="1">
      <c r="A53" t="inlineStr">
        <is>
          <t>A 571-2023</t>
        </is>
      </c>
      <c r="B53" s="1" t="n">
        <v>44930</v>
      </c>
      <c r="C53" s="1" t="n">
        <v>45473</v>
      </c>
      <c r="D53" t="inlineStr">
        <is>
          <t>SÖDERMANLANDS LÄN</t>
        </is>
      </c>
      <c r="E53" t="inlineStr">
        <is>
          <t>ESKILSTUNA</t>
        </is>
      </c>
      <c r="F53" t="inlineStr">
        <is>
          <t>Kyrkan</t>
        </is>
      </c>
      <c r="G53" t="n">
        <v>2.6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Spillkråka
Revlummer</t>
        </is>
      </c>
      <c r="S53">
        <f>HYPERLINK("https://klasma.github.io/Logging_0484/artfynd/A 571-2023 artfynd.xlsx", "A 571-2023")</f>
        <v/>
      </c>
      <c r="T53">
        <f>HYPERLINK("https://klasma.github.io/Logging_0484/kartor/A 571-2023 karta.png", "A 571-2023")</f>
        <v/>
      </c>
      <c r="V53">
        <f>HYPERLINK("https://klasma.github.io/Logging_0484/klagomål/A 571-2023 FSC-klagomål.docx", "A 571-2023")</f>
        <v/>
      </c>
      <c r="W53">
        <f>HYPERLINK("https://klasma.github.io/Logging_0484/klagomålsmail/A 571-2023 FSC-klagomål mail.docx", "A 571-2023")</f>
        <v/>
      </c>
      <c r="X53">
        <f>HYPERLINK("https://klasma.github.io/Logging_0484/tillsyn/A 571-2023 tillsynsbegäran.docx", "A 571-2023")</f>
        <v/>
      </c>
      <c r="Y53">
        <f>HYPERLINK("https://klasma.github.io/Logging_0484/tillsynsmail/A 571-2023 tillsynsbegäran mail.docx", "A 571-2023")</f>
        <v/>
      </c>
      <c r="Z53">
        <f>HYPERLINK("https://klasma.github.io/Logging_0484/fåglar/A 571-2023 prioriterade fågelarter.docx", "A 571-2023")</f>
        <v/>
      </c>
    </row>
    <row r="54" ht="15" customHeight="1">
      <c r="A54" t="inlineStr">
        <is>
          <t>A 25122-2023</t>
        </is>
      </c>
      <c r="B54" s="1" t="n">
        <v>45086</v>
      </c>
      <c r="C54" s="1" t="n">
        <v>45473</v>
      </c>
      <c r="D54" t="inlineStr">
        <is>
          <t>SÖDERMANLANDS LÄN</t>
        </is>
      </c>
      <c r="E54" t="inlineStr">
        <is>
          <t>ESKILSTUNA</t>
        </is>
      </c>
      <c r="F54" t="inlineStr">
        <is>
          <t>Sveaskog</t>
        </is>
      </c>
      <c r="G54" t="n">
        <v>7.5</v>
      </c>
      <c r="H54" t="n">
        <v>2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Mattlummer
Revlummer</t>
        </is>
      </c>
      <c r="S54">
        <f>HYPERLINK("https://klasma.github.io/Logging_0484/artfynd/A 25122-2023 artfynd.xlsx", "A 25122-2023")</f>
        <v/>
      </c>
      <c r="T54">
        <f>HYPERLINK("https://klasma.github.io/Logging_0484/kartor/A 25122-2023 karta.png", "A 25122-2023")</f>
        <v/>
      </c>
      <c r="V54">
        <f>HYPERLINK("https://klasma.github.io/Logging_0484/klagomål/A 25122-2023 FSC-klagomål.docx", "A 25122-2023")</f>
        <v/>
      </c>
      <c r="W54">
        <f>HYPERLINK("https://klasma.github.io/Logging_0484/klagomålsmail/A 25122-2023 FSC-klagomål mail.docx", "A 25122-2023")</f>
        <v/>
      </c>
      <c r="X54">
        <f>HYPERLINK("https://klasma.github.io/Logging_0484/tillsyn/A 25122-2023 tillsynsbegäran.docx", "A 25122-2023")</f>
        <v/>
      </c>
      <c r="Y54">
        <f>HYPERLINK("https://klasma.github.io/Logging_0484/tillsynsmail/A 25122-2023 tillsynsbegäran mail.docx", "A 25122-2023")</f>
        <v/>
      </c>
    </row>
    <row r="55" ht="15" customHeight="1">
      <c r="A55" t="inlineStr">
        <is>
          <t>A 43237-2023</t>
        </is>
      </c>
      <c r="B55" s="1" t="n">
        <v>45183</v>
      </c>
      <c r="C55" s="1" t="n">
        <v>45473</v>
      </c>
      <c r="D55" t="inlineStr">
        <is>
          <t>SÖDERMANLANDS LÄN</t>
        </is>
      </c>
      <c r="E55" t="inlineStr">
        <is>
          <t>ESKILSTUNA</t>
        </is>
      </c>
      <c r="F55" t="inlineStr">
        <is>
          <t>Allmännings- och besparingsskogar</t>
        </is>
      </c>
      <c r="G55" t="n">
        <v>4.2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Spillkråka
Talltita</t>
        </is>
      </c>
      <c r="S55">
        <f>HYPERLINK("https://klasma.github.io/Logging_0484/artfynd/A 43237-2023 artfynd.xlsx", "A 43237-2023")</f>
        <v/>
      </c>
      <c r="T55">
        <f>HYPERLINK("https://klasma.github.io/Logging_0484/kartor/A 43237-2023 karta.png", "A 43237-2023")</f>
        <v/>
      </c>
      <c r="V55">
        <f>HYPERLINK("https://klasma.github.io/Logging_0484/klagomål/A 43237-2023 FSC-klagomål.docx", "A 43237-2023")</f>
        <v/>
      </c>
      <c r="W55">
        <f>HYPERLINK("https://klasma.github.io/Logging_0484/klagomålsmail/A 43237-2023 FSC-klagomål mail.docx", "A 43237-2023")</f>
        <v/>
      </c>
      <c r="X55">
        <f>HYPERLINK("https://klasma.github.io/Logging_0484/tillsyn/A 43237-2023 tillsynsbegäran.docx", "A 43237-2023")</f>
        <v/>
      </c>
      <c r="Y55">
        <f>HYPERLINK("https://klasma.github.io/Logging_0484/tillsynsmail/A 43237-2023 tillsynsbegäran mail.docx", "A 43237-2023")</f>
        <v/>
      </c>
      <c r="Z55">
        <f>HYPERLINK("https://klasma.github.io/Logging_0484/fåglar/A 43237-2023 prioriterade fågelarter.docx", "A 43237-2023")</f>
        <v/>
      </c>
    </row>
    <row r="56" ht="15" customHeight="1">
      <c r="A56" t="inlineStr">
        <is>
          <t>A 23204-2019</t>
        </is>
      </c>
      <c r="B56" s="1" t="n">
        <v>43592</v>
      </c>
      <c r="C56" s="1" t="n">
        <v>45473</v>
      </c>
      <c r="D56" t="inlineStr">
        <is>
          <t>SÖDERMANLANDS LÄN</t>
        </is>
      </c>
      <c r="E56" t="inlineStr">
        <is>
          <t>ESKILSTUNA</t>
        </is>
      </c>
      <c r="F56" t="inlineStr">
        <is>
          <t>Sveaskog</t>
        </is>
      </c>
      <c r="G56" t="n">
        <v>3.6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Ängsskära</t>
        </is>
      </c>
      <c r="S56">
        <f>HYPERLINK("https://klasma.github.io/Logging_0484/artfynd/A 23204-2019 artfynd.xlsx", "A 23204-2019")</f>
        <v/>
      </c>
      <c r="T56">
        <f>HYPERLINK("https://klasma.github.io/Logging_0484/kartor/A 23204-2019 karta.png", "A 23204-2019")</f>
        <v/>
      </c>
      <c r="V56">
        <f>HYPERLINK("https://klasma.github.io/Logging_0484/klagomål/A 23204-2019 FSC-klagomål.docx", "A 23204-2019")</f>
        <v/>
      </c>
      <c r="W56">
        <f>HYPERLINK("https://klasma.github.io/Logging_0484/klagomålsmail/A 23204-2019 FSC-klagomål mail.docx", "A 23204-2019")</f>
        <v/>
      </c>
      <c r="X56">
        <f>HYPERLINK("https://klasma.github.io/Logging_0484/tillsyn/A 23204-2019 tillsynsbegäran.docx", "A 23204-2019")</f>
        <v/>
      </c>
      <c r="Y56">
        <f>HYPERLINK("https://klasma.github.io/Logging_0484/tillsynsmail/A 23204-2019 tillsynsbegäran mail.docx", "A 23204-2019")</f>
        <v/>
      </c>
    </row>
    <row r="57" ht="15" customHeight="1">
      <c r="A57" t="inlineStr">
        <is>
          <t>A 29459-2019</t>
        </is>
      </c>
      <c r="B57" s="1" t="n">
        <v>43629</v>
      </c>
      <c r="C57" s="1" t="n">
        <v>45473</v>
      </c>
      <c r="D57" t="inlineStr">
        <is>
          <t>SÖDERMANLANDS LÄN</t>
        </is>
      </c>
      <c r="E57" t="inlineStr">
        <is>
          <t>ESKILSTUNA</t>
        </is>
      </c>
      <c r="G57" t="n">
        <v>9.199999999999999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HYPERLINK("https://klasma.github.io/Logging_0484/artfynd/A 29459-2019 artfynd.xlsx", "A 29459-2019")</f>
        <v/>
      </c>
      <c r="T57">
        <f>HYPERLINK("https://klasma.github.io/Logging_0484/kartor/A 29459-2019 karta.png", "A 29459-2019")</f>
        <v/>
      </c>
      <c r="U57">
        <f>HYPERLINK("https://klasma.github.io/Logging_0484/knärot/A 29459-2019 karta knärot.png", "A 29459-2019")</f>
        <v/>
      </c>
      <c r="V57">
        <f>HYPERLINK("https://klasma.github.io/Logging_0484/klagomål/A 29459-2019 FSC-klagomål.docx", "A 29459-2019")</f>
        <v/>
      </c>
      <c r="W57">
        <f>HYPERLINK("https://klasma.github.io/Logging_0484/klagomålsmail/A 29459-2019 FSC-klagomål mail.docx", "A 29459-2019")</f>
        <v/>
      </c>
      <c r="X57">
        <f>HYPERLINK("https://klasma.github.io/Logging_0484/tillsyn/A 29459-2019 tillsynsbegäran.docx", "A 29459-2019")</f>
        <v/>
      </c>
      <c r="Y57">
        <f>HYPERLINK("https://klasma.github.io/Logging_0484/tillsynsmail/A 29459-2019 tillsynsbegäran mail.docx", "A 29459-2019")</f>
        <v/>
      </c>
    </row>
    <row r="58" ht="15" customHeight="1">
      <c r="A58" t="inlineStr">
        <is>
          <t>A 50952-2019</t>
        </is>
      </c>
      <c r="B58" s="1" t="n">
        <v>43738</v>
      </c>
      <c r="C58" s="1" t="n">
        <v>45473</v>
      </c>
      <c r="D58" t="inlineStr">
        <is>
          <t>SÖDERMANLANDS LÄN</t>
        </is>
      </c>
      <c r="E58" t="inlineStr">
        <is>
          <t>ESKILSTUNA</t>
        </is>
      </c>
      <c r="G58" t="n">
        <v>3.5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Skogsklocka</t>
        </is>
      </c>
      <c r="S58">
        <f>HYPERLINK("https://klasma.github.io/Logging_0484/artfynd/A 50952-2019 artfynd.xlsx", "A 50952-2019")</f>
        <v/>
      </c>
      <c r="T58">
        <f>HYPERLINK("https://klasma.github.io/Logging_0484/kartor/A 50952-2019 karta.png", "A 50952-2019")</f>
        <v/>
      </c>
      <c r="V58">
        <f>HYPERLINK("https://klasma.github.io/Logging_0484/klagomål/A 50952-2019 FSC-klagomål.docx", "A 50952-2019")</f>
        <v/>
      </c>
      <c r="W58">
        <f>HYPERLINK("https://klasma.github.io/Logging_0484/klagomålsmail/A 50952-2019 FSC-klagomål mail.docx", "A 50952-2019")</f>
        <v/>
      </c>
      <c r="X58">
        <f>HYPERLINK("https://klasma.github.io/Logging_0484/tillsyn/A 50952-2019 tillsynsbegäran.docx", "A 50952-2019")</f>
        <v/>
      </c>
      <c r="Y58">
        <f>HYPERLINK("https://klasma.github.io/Logging_0484/tillsynsmail/A 50952-2019 tillsynsbegäran mail.docx", "A 50952-2019")</f>
        <v/>
      </c>
    </row>
    <row r="59" ht="15" customHeight="1">
      <c r="A59" t="inlineStr">
        <is>
          <t>A 51651-2019</t>
        </is>
      </c>
      <c r="B59" s="1" t="n">
        <v>43740</v>
      </c>
      <c r="C59" s="1" t="n">
        <v>45473</v>
      </c>
      <c r="D59" t="inlineStr">
        <is>
          <t>SÖDERMANLANDS LÄN</t>
        </is>
      </c>
      <c r="E59" t="inlineStr">
        <is>
          <t>ESKILSTUNA</t>
        </is>
      </c>
      <c r="G59" t="n">
        <v>6.5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HYPERLINK("https://klasma.github.io/Logging_0484/artfynd/A 51651-2019 artfynd.xlsx", "A 51651-2019")</f>
        <v/>
      </c>
      <c r="T59">
        <f>HYPERLINK("https://klasma.github.io/Logging_0484/kartor/A 51651-2019 karta.png", "A 51651-2019")</f>
        <v/>
      </c>
      <c r="V59">
        <f>HYPERLINK("https://klasma.github.io/Logging_0484/klagomål/A 51651-2019 FSC-klagomål.docx", "A 51651-2019")</f>
        <v/>
      </c>
      <c r="W59">
        <f>HYPERLINK("https://klasma.github.io/Logging_0484/klagomålsmail/A 51651-2019 FSC-klagomål mail.docx", "A 51651-2019")</f>
        <v/>
      </c>
      <c r="X59">
        <f>HYPERLINK("https://klasma.github.io/Logging_0484/tillsyn/A 51651-2019 tillsynsbegäran.docx", "A 51651-2019")</f>
        <v/>
      </c>
      <c r="Y59">
        <f>HYPERLINK("https://klasma.github.io/Logging_0484/tillsynsmail/A 51651-2019 tillsynsbegäran mail.docx", "A 51651-2019")</f>
        <v/>
      </c>
    </row>
    <row r="60" ht="15" customHeight="1">
      <c r="A60" t="inlineStr">
        <is>
          <t>A 54326-2019</t>
        </is>
      </c>
      <c r="B60" s="1" t="n">
        <v>43745</v>
      </c>
      <c r="C60" s="1" t="n">
        <v>45473</v>
      </c>
      <c r="D60" t="inlineStr">
        <is>
          <t>SÖDERMANLANDS LÄN</t>
        </is>
      </c>
      <c r="E60" t="inlineStr">
        <is>
          <t>ESKILSTUNA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1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Skogsalm</t>
        </is>
      </c>
      <c r="S60">
        <f>HYPERLINK("https://klasma.github.io/Logging_0484/artfynd/A 54326-2019 artfynd.xlsx", "A 54326-2019")</f>
        <v/>
      </c>
      <c r="T60">
        <f>HYPERLINK("https://klasma.github.io/Logging_0484/kartor/A 54326-2019 karta.png", "A 54326-2019")</f>
        <v/>
      </c>
      <c r="V60">
        <f>HYPERLINK("https://klasma.github.io/Logging_0484/klagomål/A 54326-2019 FSC-klagomål.docx", "A 54326-2019")</f>
        <v/>
      </c>
      <c r="W60">
        <f>HYPERLINK("https://klasma.github.io/Logging_0484/klagomålsmail/A 54326-2019 FSC-klagomål mail.docx", "A 54326-2019")</f>
        <v/>
      </c>
      <c r="X60">
        <f>HYPERLINK("https://klasma.github.io/Logging_0484/tillsyn/A 54326-2019 tillsynsbegäran.docx", "A 54326-2019")</f>
        <v/>
      </c>
      <c r="Y60">
        <f>HYPERLINK("https://klasma.github.io/Logging_0484/tillsynsmail/A 54326-2019 tillsynsbegäran mail.docx", "A 54326-2019")</f>
        <v/>
      </c>
    </row>
    <row r="61" ht="15" customHeight="1">
      <c r="A61" t="inlineStr">
        <is>
          <t>A 16877-2020</t>
        </is>
      </c>
      <c r="B61" s="1" t="n">
        <v>43921</v>
      </c>
      <c r="C61" s="1" t="n">
        <v>45473</v>
      </c>
      <c r="D61" t="inlineStr">
        <is>
          <t>SÖDERMANLANDS LÄN</t>
        </is>
      </c>
      <c r="E61" t="inlineStr">
        <is>
          <t>ESKILSTUNA</t>
        </is>
      </c>
      <c r="F61" t="inlineStr">
        <is>
          <t>Kyrkan</t>
        </is>
      </c>
      <c r="G61" t="n">
        <v>4.1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HYPERLINK("https://klasma.github.io/Logging_0484/artfynd/A 16877-2020 artfynd.xlsx", "A 16877-2020")</f>
        <v/>
      </c>
      <c r="T61">
        <f>HYPERLINK("https://klasma.github.io/Logging_0484/kartor/A 16877-2020 karta.png", "A 16877-2020")</f>
        <v/>
      </c>
      <c r="V61">
        <f>HYPERLINK("https://klasma.github.io/Logging_0484/klagomål/A 16877-2020 FSC-klagomål.docx", "A 16877-2020")</f>
        <v/>
      </c>
      <c r="W61">
        <f>HYPERLINK("https://klasma.github.io/Logging_0484/klagomålsmail/A 16877-2020 FSC-klagomål mail.docx", "A 16877-2020")</f>
        <v/>
      </c>
      <c r="X61">
        <f>HYPERLINK("https://klasma.github.io/Logging_0484/tillsyn/A 16877-2020 tillsynsbegäran.docx", "A 16877-2020")</f>
        <v/>
      </c>
      <c r="Y61">
        <f>HYPERLINK("https://klasma.github.io/Logging_0484/tillsynsmail/A 16877-2020 tillsynsbegäran mail.docx", "A 16877-2020")</f>
        <v/>
      </c>
    </row>
    <row r="62" ht="15" customHeight="1">
      <c r="A62" t="inlineStr">
        <is>
          <t>A 23201-2020</t>
        </is>
      </c>
      <c r="B62" s="1" t="n">
        <v>43964</v>
      </c>
      <c r="C62" s="1" t="n">
        <v>45473</v>
      </c>
      <c r="D62" t="inlineStr">
        <is>
          <t>SÖDERMANLANDS LÄN</t>
        </is>
      </c>
      <c r="E62" t="inlineStr">
        <is>
          <t>ESKILSTUNA</t>
        </is>
      </c>
      <c r="G62" t="n">
        <v>2.7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Krusfrö</t>
        </is>
      </c>
      <c r="S62">
        <f>HYPERLINK("https://klasma.github.io/Logging_0484/artfynd/A 23201-2020 artfynd.xlsx", "A 23201-2020")</f>
        <v/>
      </c>
      <c r="T62">
        <f>HYPERLINK("https://klasma.github.io/Logging_0484/kartor/A 23201-2020 karta.png", "A 23201-2020")</f>
        <v/>
      </c>
      <c r="V62">
        <f>HYPERLINK("https://klasma.github.io/Logging_0484/klagomål/A 23201-2020 FSC-klagomål.docx", "A 23201-2020")</f>
        <v/>
      </c>
      <c r="W62">
        <f>HYPERLINK("https://klasma.github.io/Logging_0484/klagomålsmail/A 23201-2020 FSC-klagomål mail.docx", "A 23201-2020")</f>
        <v/>
      </c>
      <c r="X62">
        <f>HYPERLINK("https://klasma.github.io/Logging_0484/tillsyn/A 23201-2020 tillsynsbegäran.docx", "A 23201-2020")</f>
        <v/>
      </c>
      <c r="Y62">
        <f>HYPERLINK("https://klasma.github.io/Logging_0484/tillsynsmail/A 23201-2020 tillsynsbegäran mail.docx", "A 23201-2020")</f>
        <v/>
      </c>
    </row>
    <row r="63" ht="15" customHeight="1">
      <c r="A63" t="inlineStr">
        <is>
          <t>A 23468-2020</t>
        </is>
      </c>
      <c r="B63" s="1" t="n">
        <v>43966</v>
      </c>
      <c r="C63" s="1" t="n">
        <v>45473</v>
      </c>
      <c r="D63" t="inlineStr">
        <is>
          <t>SÖDERMANLANDS LÄN</t>
        </is>
      </c>
      <c r="E63" t="inlineStr">
        <is>
          <t>ESKILSTUNA</t>
        </is>
      </c>
      <c r="G63" t="n">
        <v>6.2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Talltita</t>
        </is>
      </c>
      <c r="S63">
        <f>HYPERLINK("https://klasma.github.io/Logging_0484/artfynd/A 23468-2020 artfynd.xlsx", "A 23468-2020")</f>
        <v/>
      </c>
      <c r="T63">
        <f>HYPERLINK("https://klasma.github.io/Logging_0484/kartor/A 23468-2020 karta.png", "A 23468-2020")</f>
        <v/>
      </c>
      <c r="V63">
        <f>HYPERLINK("https://klasma.github.io/Logging_0484/klagomål/A 23468-2020 FSC-klagomål.docx", "A 23468-2020")</f>
        <v/>
      </c>
      <c r="W63">
        <f>HYPERLINK("https://klasma.github.io/Logging_0484/klagomålsmail/A 23468-2020 FSC-klagomål mail.docx", "A 23468-2020")</f>
        <v/>
      </c>
      <c r="X63">
        <f>HYPERLINK("https://klasma.github.io/Logging_0484/tillsyn/A 23468-2020 tillsynsbegäran.docx", "A 23468-2020")</f>
        <v/>
      </c>
      <c r="Y63">
        <f>HYPERLINK("https://klasma.github.io/Logging_0484/tillsynsmail/A 23468-2020 tillsynsbegäran mail.docx", "A 23468-2020")</f>
        <v/>
      </c>
      <c r="Z63">
        <f>HYPERLINK("https://klasma.github.io/Logging_0484/fåglar/A 23468-2020 prioriterade fågelarter.docx", "A 23468-2020")</f>
        <v/>
      </c>
    </row>
    <row r="64" ht="15" customHeight="1">
      <c r="A64" t="inlineStr">
        <is>
          <t>A 38423-2020</t>
        </is>
      </c>
      <c r="B64" s="1" t="n">
        <v>44060</v>
      </c>
      <c r="C64" s="1" t="n">
        <v>45473</v>
      </c>
      <c r="D64" t="inlineStr">
        <is>
          <t>SÖDERMANLANDS LÄN</t>
        </is>
      </c>
      <c r="E64" t="inlineStr">
        <is>
          <t>ESKILSTUNA</t>
        </is>
      </c>
      <c r="G64" t="n">
        <v>1.1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Svart trolldruva</t>
        </is>
      </c>
      <c r="S64">
        <f>HYPERLINK("https://klasma.github.io/Logging_0484/artfynd/A 38423-2020 artfynd.xlsx", "A 38423-2020")</f>
        <v/>
      </c>
      <c r="T64">
        <f>HYPERLINK("https://klasma.github.io/Logging_0484/kartor/A 38423-2020 karta.png", "A 38423-2020")</f>
        <v/>
      </c>
      <c r="V64">
        <f>HYPERLINK("https://klasma.github.io/Logging_0484/klagomål/A 38423-2020 FSC-klagomål.docx", "A 38423-2020")</f>
        <v/>
      </c>
      <c r="W64">
        <f>HYPERLINK("https://klasma.github.io/Logging_0484/klagomålsmail/A 38423-2020 FSC-klagomål mail.docx", "A 38423-2020")</f>
        <v/>
      </c>
      <c r="X64">
        <f>HYPERLINK("https://klasma.github.io/Logging_0484/tillsyn/A 38423-2020 tillsynsbegäran.docx", "A 38423-2020")</f>
        <v/>
      </c>
      <c r="Y64">
        <f>HYPERLINK("https://klasma.github.io/Logging_0484/tillsynsmail/A 38423-2020 tillsynsbegäran mail.docx", "A 38423-2020")</f>
        <v/>
      </c>
    </row>
    <row r="65" ht="15" customHeight="1">
      <c r="A65" t="inlineStr">
        <is>
          <t>A 56228-2020</t>
        </is>
      </c>
      <c r="B65" s="1" t="n">
        <v>44134</v>
      </c>
      <c r="C65" s="1" t="n">
        <v>45473</v>
      </c>
      <c r="D65" t="inlineStr">
        <is>
          <t>SÖDERMANLANDS LÄN</t>
        </is>
      </c>
      <c r="E65" t="inlineStr">
        <is>
          <t>ESKILSTUNA</t>
        </is>
      </c>
      <c r="G65" t="n">
        <v>2.7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HYPERLINK("https://klasma.github.io/Logging_0484/artfynd/A 56228-2020 artfynd.xlsx", "A 56228-2020")</f>
        <v/>
      </c>
      <c r="T65">
        <f>HYPERLINK("https://klasma.github.io/Logging_0484/kartor/A 56228-2020 karta.png", "A 56228-2020")</f>
        <v/>
      </c>
      <c r="V65">
        <f>HYPERLINK("https://klasma.github.io/Logging_0484/klagomål/A 56228-2020 FSC-klagomål.docx", "A 56228-2020")</f>
        <v/>
      </c>
      <c r="W65">
        <f>HYPERLINK("https://klasma.github.io/Logging_0484/klagomålsmail/A 56228-2020 FSC-klagomål mail.docx", "A 56228-2020")</f>
        <v/>
      </c>
      <c r="X65">
        <f>HYPERLINK("https://klasma.github.io/Logging_0484/tillsyn/A 56228-2020 tillsynsbegäran.docx", "A 56228-2020")</f>
        <v/>
      </c>
      <c r="Y65">
        <f>HYPERLINK("https://klasma.github.io/Logging_0484/tillsynsmail/A 56228-2020 tillsynsbegäran mail.docx", "A 56228-2020")</f>
        <v/>
      </c>
    </row>
    <row r="66" ht="15" customHeight="1">
      <c r="A66" t="inlineStr">
        <is>
          <t>A 33759-2021</t>
        </is>
      </c>
      <c r="B66" s="1" t="n">
        <v>44378</v>
      </c>
      <c r="C66" s="1" t="n">
        <v>45473</v>
      </c>
      <c r="D66" t="inlineStr">
        <is>
          <t>SÖDERMANLANDS LÄN</t>
        </is>
      </c>
      <c r="E66" t="inlineStr">
        <is>
          <t>ESKILSTUNA</t>
        </is>
      </c>
      <c r="F66" t="inlineStr">
        <is>
          <t>Allmännings- och besparingsskogar</t>
        </is>
      </c>
      <c r="G66" t="n">
        <v>20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Mattlummer</t>
        </is>
      </c>
      <c r="S66">
        <f>HYPERLINK("https://klasma.github.io/Logging_0484/artfynd/A 33759-2021 artfynd.xlsx", "A 33759-2021")</f>
        <v/>
      </c>
      <c r="T66">
        <f>HYPERLINK("https://klasma.github.io/Logging_0484/kartor/A 33759-2021 karta.png", "A 33759-2021")</f>
        <v/>
      </c>
      <c r="V66">
        <f>HYPERLINK("https://klasma.github.io/Logging_0484/klagomål/A 33759-2021 FSC-klagomål.docx", "A 33759-2021")</f>
        <v/>
      </c>
      <c r="W66">
        <f>HYPERLINK("https://klasma.github.io/Logging_0484/klagomålsmail/A 33759-2021 FSC-klagomål mail.docx", "A 33759-2021")</f>
        <v/>
      </c>
      <c r="X66">
        <f>HYPERLINK("https://klasma.github.io/Logging_0484/tillsyn/A 33759-2021 tillsynsbegäran.docx", "A 33759-2021")</f>
        <v/>
      </c>
      <c r="Y66">
        <f>HYPERLINK("https://klasma.github.io/Logging_0484/tillsynsmail/A 33759-2021 tillsynsbegäran mail.docx", "A 33759-2021")</f>
        <v/>
      </c>
    </row>
    <row r="67" ht="15" customHeight="1">
      <c r="A67" t="inlineStr">
        <is>
          <t>A 53206-2021</t>
        </is>
      </c>
      <c r="B67" s="1" t="n">
        <v>44468</v>
      </c>
      <c r="C67" s="1" t="n">
        <v>45473</v>
      </c>
      <c r="D67" t="inlineStr">
        <is>
          <t>SÖDERMANLANDS LÄN</t>
        </is>
      </c>
      <c r="E67" t="inlineStr">
        <is>
          <t>ESKILSTUNA</t>
        </is>
      </c>
      <c r="G67" t="n">
        <v>12.8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Zontaggsvamp</t>
        </is>
      </c>
      <c r="S67">
        <f>HYPERLINK("https://klasma.github.io/Logging_0484/artfynd/A 53206-2021 artfynd.xlsx", "A 53206-2021")</f>
        <v/>
      </c>
      <c r="T67">
        <f>HYPERLINK("https://klasma.github.io/Logging_0484/kartor/A 53206-2021 karta.png", "A 53206-2021")</f>
        <v/>
      </c>
      <c r="V67">
        <f>HYPERLINK("https://klasma.github.io/Logging_0484/klagomål/A 53206-2021 FSC-klagomål.docx", "A 53206-2021")</f>
        <v/>
      </c>
      <c r="W67">
        <f>HYPERLINK("https://klasma.github.io/Logging_0484/klagomålsmail/A 53206-2021 FSC-klagomål mail.docx", "A 53206-2021")</f>
        <v/>
      </c>
      <c r="X67">
        <f>HYPERLINK("https://klasma.github.io/Logging_0484/tillsyn/A 53206-2021 tillsynsbegäran.docx", "A 53206-2021")</f>
        <v/>
      </c>
      <c r="Y67">
        <f>HYPERLINK("https://klasma.github.io/Logging_0484/tillsynsmail/A 53206-2021 tillsynsbegäran mail.docx", "A 53206-2021")</f>
        <v/>
      </c>
    </row>
    <row r="68" ht="15" customHeight="1">
      <c r="A68" t="inlineStr">
        <is>
          <t>A 62141-2021</t>
        </is>
      </c>
      <c r="B68" s="1" t="n">
        <v>44502</v>
      </c>
      <c r="C68" s="1" t="n">
        <v>45473</v>
      </c>
      <c r="D68" t="inlineStr">
        <is>
          <t>SÖDERMANLANDS LÄN</t>
        </is>
      </c>
      <c r="E68" t="inlineStr">
        <is>
          <t>ESKILSTUNA</t>
        </is>
      </c>
      <c r="F68" t="inlineStr">
        <is>
          <t>Kyrkan</t>
        </is>
      </c>
      <c r="G68" t="n">
        <v>13.7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Mattlummer</t>
        </is>
      </c>
      <c r="S68">
        <f>HYPERLINK("https://klasma.github.io/Logging_0484/artfynd/A 62141-2021 artfynd.xlsx", "A 62141-2021")</f>
        <v/>
      </c>
      <c r="T68">
        <f>HYPERLINK("https://klasma.github.io/Logging_0484/kartor/A 62141-2021 karta.png", "A 62141-2021")</f>
        <v/>
      </c>
      <c r="V68">
        <f>HYPERLINK("https://klasma.github.io/Logging_0484/klagomål/A 62141-2021 FSC-klagomål.docx", "A 62141-2021")</f>
        <v/>
      </c>
      <c r="W68">
        <f>HYPERLINK("https://klasma.github.io/Logging_0484/klagomålsmail/A 62141-2021 FSC-klagomål mail.docx", "A 62141-2021")</f>
        <v/>
      </c>
      <c r="X68">
        <f>HYPERLINK("https://klasma.github.io/Logging_0484/tillsyn/A 62141-2021 tillsynsbegäran.docx", "A 62141-2021")</f>
        <v/>
      </c>
      <c r="Y68">
        <f>HYPERLINK("https://klasma.github.io/Logging_0484/tillsynsmail/A 62141-2021 tillsynsbegäran mail.docx", "A 62141-2021")</f>
        <v/>
      </c>
    </row>
    <row r="69" ht="15" customHeight="1">
      <c r="A69" t="inlineStr">
        <is>
          <t>A 65380-2021</t>
        </is>
      </c>
      <c r="B69" s="1" t="n">
        <v>44515</v>
      </c>
      <c r="C69" s="1" t="n">
        <v>45473</v>
      </c>
      <c r="D69" t="inlineStr">
        <is>
          <t>SÖDERMANLANDS LÄN</t>
        </is>
      </c>
      <c r="E69" t="inlineStr">
        <is>
          <t>ESKILSTUNA</t>
        </is>
      </c>
      <c r="F69" t="inlineStr">
        <is>
          <t>Kyrkan</t>
        </is>
      </c>
      <c r="G69" t="n">
        <v>5.4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HYPERLINK("https://klasma.github.io/Logging_0484/artfynd/A 65380-2021 artfynd.xlsx", "A 65380-2021")</f>
        <v/>
      </c>
      <c r="T69">
        <f>HYPERLINK("https://klasma.github.io/Logging_0484/kartor/A 65380-2021 karta.png", "A 65380-2021")</f>
        <v/>
      </c>
      <c r="V69">
        <f>HYPERLINK("https://klasma.github.io/Logging_0484/klagomål/A 65380-2021 FSC-klagomål.docx", "A 65380-2021")</f>
        <v/>
      </c>
      <c r="W69">
        <f>HYPERLINK("https://klasma.github.io/Logging_0484/klagomålsmail/A 65380-2021 FSC-klagomål mail.docx", "A 65380-2021")</f>
        <v/>
      </c>
      <c r="X69">
        <f>HYPERLINK("https://klasma.github.io/Logging_0484/tillsyn/A 65380-2021 tillsynsbegäran.docx", "A 65380-2021")</f>
        <v/>
      </c>
      <c r="Y69">
        <f>HYPERLINK("https://klasma.github.io/Logging_0484/tillsynsmail/A 65380-2021 tillsynsbegäran mail.docx", "A 65380-2021")</f>
        <v/>
      </c>
    </row>
    <row r="70" ht="15" customHeight="1">
      <c r="A70" t="inlineStr">
        <is>
          <t>A 3162-2022</t>
        </is>
      </c>
      <c r="B70" s="1" t="n">
        <v>44582</v>
      </c>
      <c r="C70" s="1" t="n">
        <v>45473</v>
      </c>
      <c r="D70" t="inlineStr">
        <is>
          <t>SÖDERMANLANDS LÄN</t>
        </is>
      </c>
      <c r="E70" t="inlineStr">
        <is>
          <t>ESKILSTUNA</t>
        </is>
      </c>
      <c r="F70" t="inlineStr">
        <is>
          <t>Kommuner</t>
        </is>
      </c>
      <c r="G70" t="n">
        <v>2.6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Ullticka</t>
        </is>
      </c>
      <c r="S70">
        <f>HYPERLINK("https://klasma.github.io/Logging_0484/artfynd/A 3162-2022 artfynd.xlsx", "A 3162-2022")</f>
        <v/>
      </c>
      <c r="T70">
        <f>HYPERLINK("https://klasma.github.io/Logging_0484/kartor/A 3162-2022 karta.png", "A 3162-2022")</f>
        <v/>
      </c>
      <c r="V70">
        <f>HYPERLINK("https://klasma.github.io/Logging_0484/klagomål/A 3162-2022 FSC-klagomål.docx", "A 3162-2022")</f>
        <v/>
      </c>
      <c r="W70">
        <f>HYPERLINK("https://klasma.github.io/Logging_0484/klagomålsmail/A 3162-2022 FSC-klagomål mail.docx", "A 3162-2022")</f>
        <v/>
      </c>
      <c r="X70">
        <f>HYPERLINK("https://klasma.github.io/Logging_0484/tillsyn/A 3162-2022 tillsynsbegäran.docx", "A 3162-2022")</f>
        <v/>
      </c>
      <c r="Y70">
        <f>HYPERLINK("https://klasma.github.io/Logging_0484/tillsynsmail/A 3162-2022 tillsynsbegäran mail.docx", "A 3162-2022")</f>
        <v/>
      </c>
    </row>
    <row r="71" ht="15" customHeight="1">
      <c r="A71" t="inlineStr">
        <is>
          <t>A 15960-2022</t>
        </is>
      </c>
      <c r="B71" s="1" t="n">
        <v>44664</v>
      </c>
      <c r="C71" s="1" t="n">
        <v>45473</v>
      </c>
      <c r="D71" t="inlineStr">
        <is>
          <t>SÖDERMANLANDS LÄN</t>
        </is>
      </c>
      <c r="E71" t="inlineStr">
        <is>
          <t>ESKILSTUNA</t>
        </is>
      </c>
      <c r="F71" t="inlineStr">
        <is>
          <t>Allmännings- och besparingsskogar</t>
        </is>
      </c>
      <c r="G71" t="n">
        <v>11.9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Scharlakansvårskål agg.</t>
        </is>
      </c>
      <c r="S71">
        <f>HYPERLINK("https://klasma.github.io/Logging_0484/artfynd/A 15960-2022 artfynd.xlsx", "A 15960-2022")</f>
        <v/>
      </c>
      <c r="T71">
        <f>HYPERLINK("https://klasma.github.io/Logging_0484/kartor/A 15960-2022 karta.png", "A 15960-2022")</f>
        <v/>
      </c>
      <c r="V71">
        <f>HYPERLINK("https://klasma.github.io/Logging_0484/klagomål/A 15960-2022 FSC-klagomål.docx", "A 15960-2022")</f>
        <v/>
      </c>
      <c r="W71">
        <f>HYPERLINK("https://klasma.github.io/Logging_0484/klagomålsmail/A 15960-2022 FSC-klagomål mail.docx", "A 15960-2022")</f>
        <v/>
      </c>
      <c r="X71">
        <f>HYPERLINK("https://klasma.github.io/Logging_0484/tillsyn/A 15960-2022 tillsynsbegäran.docx", "A 15960-2022")</f>
        <v/>
      </c>
      <c r="Y71">
        <f>HYPERLINK("https://klasma.github.io/Logging_0484/tillsynsmail/A 15960-2022 tillsynsbegäran mail.docx", "A 15960-2022")</f>
        <v/>
      </c>
    </row>
    <row r="72" ht="15" customHeight="1">
      <c r="A72" t="inlineStr">
        <is>
          <t>A 36140-2022</t>
        </is>
      </c>
      <c r="B72" s="1" t="n">
        <v>44803</v>
      </c>
      <c r="C72" s="1" t="n">
        <v>45473</v>
      </c>
      <c r="D72" t="inlineStr">
        <is>
          <t>SÖDERMANLANDS LÄN</t>
        </is>
      </c>
      <c r="E72" t="inlineStr">
        <is>
          <t>ESKILSTUNA</t>
        </is>
      </c>
      <c r="G72" t="n">
        <v>5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HYPERLINK("https://klasma.github.io/Logging_0484/artfynd/A 36140-2022 artfynd.xlsx", "A 36140-2022")</f>
        <v/>
      </c>
      <c r="T72">
        <f>HYPERLINK("https://klasma.github.io/Logging_0484/kartor/A 36140-2022 karta.png", "A 36140-2022")</f>
        <v/>
      </c>
      <c r="V72">
        <f>HYPERLINK("https://klasma.github.io/Logging_0484/klagomål/A 36140-2022 FSC-klagomål.docx", "A 36140-2022")</f>
        <v/>
      </c>
      <c r="W72">
        <f>HYPERLINK("https://klasma.github.io/Logging_0484/klagomålsmail/A 36140-2022 FSC-klagomål mail.docx", "A 36140-2022")</f>
        <v/>
      </c>
      <c r="X72">
        <f>HYPERLINK("https://klasma.github.io/Logging_0484/tillsyn/A 36140-2022 tillsynsbegäran.docx", "A 36140-2022")</f>
        <v/>
      </c>
      <c r="Y72">
        <f>HYPERLINK("https://klasma.github.io/Logging_0484/tillsynsmail/A 36140-2022 tillsynsbegäran mail.docx", "A 36140-2022")</f>
        <v/>
      </c>
    </row>
    <row r="73" ht="15" customHeight="1">
      <c r="A73" t="inlineStr">
        <is>
          <t>A 36155-2022</t>
        </is>
      </c>
      <c r="B73" s="1" t="n">
        <v>44803</v>
      </c>
      <c r="C73" s="1" t="n">
        <v>45473</v>
      </c>
      <c r="D73" t="inlineStr">
        <is>
          <t>SÖDERMANLANDS LÄN</t>
        </is>
      </c>
      <c r="E73" t="inlineStr">
        <is>
          <t>ESKILSTUNA</t>
        </is>
      </c>
      <c r="G73" t="n">
        <v>5.2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HYPERLINK("https://klasma.github.io/Logging_0484/artfynd/A 36155-2022 artfynd.xlsx", "A 36155-2022")</f>
        <v/>
      </c>
      <c r="T73">
        <f>HYPERLINK("https://klasma.github.io/Logging_0484/kartor/A 36155-2022 karta.png", "A 36155-2022")</f>
        <v/>
      </c>
      <c r="V73">
        <f>HYPERLINK("https://klasma.github.io/Logging_0484/klagomål/A 36155-2022 FSC-klagomål.docx", "A 36155-2022")</f>
        <v/>
      </c>
      <c r="W73">
        <f>HYPERLINK("https://klasma.github.io/Logging_0484/klagomålsmail/A 36155-2022 FSC-klagomål mail.docx", "A 36155-2022")</f>
        <v/>
      </c>
      <c r="X73">
        <f>HYPERLINK("https://klasma.github.io/Logging_0484/tillsyn/A 36155-2022 tillsynsbegäran.docx", "A 36155-2022")</f>
        <v/>
      </c>
      <c r="Y73">
        <f>HYPERLINK("https://klasma.github.io/Logging_0484/tillsynsmail/A 36155-2022 tillsynsbegäran mail.docx", "A 36155-2022")</f>
        <v/>
      </c>
    </row>
    <row r="74" ht="15" customHeight="1">
      <c r="A74" t="inlineStr">
        <is>
          <t>A 43547-2022</t>
        </is>
      </c>
      <c r="B74" s="1" t="n">
        <v>44834</v>
      </c>
      <c r="C74" s="1" t="n">
        <v>45473</v>
      </c>
      <c r="D74" t="inlineStr">
        <is>
          <t>SÖDERMANLANDS LÄN</t>
        </is>
      </c>
      <c r="E74" t="inlineStr">
        <is>
          <t>ESKILSTUNA</t>
        </is>
      </c>
      <c r="G74" t="n">
        <v>3.2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HYPERLINK("https://klasma.github.io/Logging_0484/artfynd/A 43547-2022 artfynd.xlsx", "A 43547-2022")</f>
        <v/>
      </c>
      <c r="T74">
        <f>HYPERLINK("https://klasma.github.io/Logging_0484/kartor/A 43547-2022 karta.png", "A 43547-2022")</f>
        <v/>
      </c>
      <c r="U74">
        <f>HYPERLINK("https://klasma.github.io/Logging_0484/knärot/A 43547-2022 karta knärot.png", "A 43547-2022")</f>
        <v/>
      </c>
      <c r="V74">
        <f>HYPERLINK("https://klasma.github.io/Logging_0484/klagomål/A 43547-2022 FSC-klagomål.docx", "A 43547-2022")</f>
        <v/>
      </c>
      <c r="W74">
        <f>HYPERLINK("https://klasma.github.io/Logging_0484/klagomålsmail/A 43547-2022 FSC-klagomål mail.docx", "A 43547-2022")</f>
        <v/>
      </c>
      <c r="X74">
        <f>HYPERLINK("https://klasma.github.io/Logging_0484/tillsyn/A 43547-2022 tillsynsbegäran.docx", "A 43547-2022")</f>
        <v/>
      </c>
      <c r="Y74">
        <f>HYPERLINK("https://klasma.github.io/Logging_0484/tillsynsmail/A 43547-2022 tillsynsbegäran mail.docx", "A 43547-2022")</f>
        <v/>
      </c>
    </row>
    <row r="75" ht="15" customHeight="1">
      <c r="A75" t="inlineStr">
        <is>
          <t>A 44664-2022</t>
        </is>
      </c>
      <c r="B75" s="1" t="n">
        <v>44840</v>
      </c>
      <c r="C75" s="1" t="n">
        <v>45473</v>
      </c>
      <c r="D75" t="inlineStr">
        <is>
          <t>SÖDERMANLANDS LÄN</t>
        </is>
      </c>
      <c r="E75" t="inlineStr">
        <is>
          <t>ESKILSTUNA</t>
        </is>
      </c>
      <c r="G75" t="n">
        <v>20.8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HYPERLINK("https://klasma.github.io/Logging_0484/artfynd/A 44664-2022 artfynd.xlsx", "A 44664-2022")</f>
        <v/>
      </c>
      <c r="T75">
        <f>HYPERLINK("https://klasma.github.io/Logging_0484/kartor/A 44664-2022 karta.png", "A 44664-2022")</f>
        <v/>
      </c>
      <c r="U75">
        <f>HYPERLINK("https://klasma.github.io/Logging_0484/knärot/A 44664-2022 karta knärot.png", "A 44664-2022")</f>
        <v/>
      </c>
      <c r="V75">
        <f>HYPERLINK("https://klasma.github.io/Logging_0484/klagomål/A 44664-2022 FSC-klagomål.docx", "A 44664-2022")</f>
        <v/>
      </c>
      <c r="W75">
        <f>HYPERLINK("https://klasma.github.io/Logging_0484/klagomålsmail/A 44664-2022 FSC-klagomål mail.docx", "A 44664-2022")</f>
        <v/>
      </c>
      <c r="X75">
        <f>HYPERLINK("https://klasma.github.io/Logging_0484/tillsyn/A 44664-2022 tillsynsbegäran.docx", "A 44664-2022")</f>
        <v/>
      </c>
      <c r="Y75">
        <f>HYPERLINK("https://klasma.github.io/Logging_0484/tillsynsmail/A 44664-2022 tillsynsbegäran mail.docx", "A 44664-2022")</f>
        <v/>
      </c>
    </row>
    <row r="76" ht="15" customHeight="1">
      <c r="A76" t="inlineStr">
        <is>
          <t>A 47648-2022</t>
        </is>
      </c>
      <c r="B76" s="1" t="n">
        <v>44854</v>
      </c>
      <c r="C76" s="1" t="n">
        <v>45473</v>
      </c>
      <c r="D76" t="inlineStr">
        <is>
          <t>SÖDERMANLANDS LÄN</t>
        </is>
      </c>
      <c r="E76" t="inlineStr">
        <is>
          <t>ESKILSTUNA</t>
        </is>
      </c>
      <c r="G76" t="n">
        <v>1.8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Grönsångare</t>
        </is>
      </c>
      <c r="S76">
        <f>HYPERLINK("https://klasma.github.io/Logging_0484/artfynd/A 47648-2022 artfynd.xlsx", "A 47648-2022")</f>
        <v/>
      </c>
      <c r="T76">
        <f>HYPERLINK("https://klasma.github.io/Logging_0484/kartor/A 47648-2022 karta.png", "A 47648-2022")</f>
        <v/>
      </c>
      <c r="V76">
        <f>HYPERLINK("https://klasma.github.io/Logging_0484/klagomål/A 47648-2022 FSC-klagomål.docx", "A 47648-2022")</f>
        <v/>
      </c>
      <c r="W76">
        <f>HYPERLINK("https://klasma.github.io/Logging_0484/klagomålsmail/A 47648-2022 FSC-klagomål mail.docx", "A 47648-2022")</f>
        <v/>
      </c>
      <c r="X76">
        <f>HYPERLINK("https://klasma.github.io/Logging_0484/tillsyn/A 47648-2022 tillsynsbegäran.docx", "A 47648-2022")</f>
        <v/>
      </c>
      <c r="Y76">
        <f>HYPERLINK("https://klasma.github.io/Logging_0484/tillsynsmail/A 47648-2022 tillsynsbegäran mail.docx", "A 47648-2022")</f>
        <v/>
      </c>
      <c r="Z76">
        <f>HYPERLINK("https://klasma.github.io/Logging_0484/fåglar/A 47648-2022 prioriterade fågelarter.docx", "A 47648-2022")</f>
        <v/>
      </c>
    </row>
    <row r="77" ht="15" customHeight="1">
      <c r="A77" t="inlineStr">
        <is>
          <t>A 61987-2022</t>
        </is>
      </c>
      <c r="B77" s="1" t="n">
        <v>44918</v>
      </c>
      <c r="C77" s="1" t="n">
        <v>45473</v>
      </c>
      <c r="D77" t="inlineStr">
        <is>
          <t>SÖDERMANLANDS LÄN</t>
        </is>
      </c>
      <c r="E77" t="inlineStr">
        <is>
          <t>ESKILSTUNA</t>
        </is>
      </c>
      <c r="G77" t="n">
        <v>4.3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Svinrot</t>
        </is>
      </c>
      <c r="S77">
        <f>HYPERLINK("https://klasma.github.io/Logging_0484/artfynd/A 61987-2022 artfynd.xlsx", "A 61987-2022")</f>
        <v/>
      </c>
      <c r="T77">
        <f>HYPERLINK("https://klasma.github.io/Logging_0484/kartor/A 61987-2022 karta.png", "A 61987-2022")</f>
        <v/>
      </c>
      <c r="V77">
        <f>HYPERLINK("https://klasma.github.io/Logging_0484/klagomål/A 61987-2022 FSC-klagomål.docx", "A 61987-2022")</f>
        <v/>
      </c>
      <c r="W77">
        <f>HYPERLINK("https://klasma.github.io/Logging_0484/klagomålsmail/A 61987-2022 FSC-klagomål mail.docx", "A 61987-2022")</f>
        <v/>
      </c>
      <c r="X77">
        <f>HYPERLINK("https://klasma.github.io/Logging_0484/tillsyn/A 61987-2022 tillsynsbegäran.docx", "A 61987-2022")</f>
        <v/>
      </c>
      <c r="Y77">
        <f>HYPERLINK("https://klasma.github.io/Logging_0484/tillsynsmail/A 61987-2022 tillsynsbegäran mail.docx", "A 61987-2022")</f>
        <v/>
      </c>
    </row>
    <row r="78" ht="15" customHeight="1">
      <c r="A78" t="inlineStr">
        <is>
          <t>A 9645-2023</t>
        </is>
      </c>
      <c r="B78" s="1" t="n">
        <v>44984</v>
      </c>
      <c r="C78" s="1" t="n">
        <v>45473</v>
      </c>
      <c r="D78" t="inlineStr">
        <is>
          <t>SÖDERMANLANDS LÄN</t>
        </is>
      </c>
      <c r="E78" t="inlineStr">
        <is>
          <t>ESKILSTUNA</t>
        </is>
      </c>
      <c r="G78" t="n">
        <v>2.3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Skogsduva</t>
        </is>
      </c>
      <c r="S78">
        <f>HYPERLINK("https://klasma.github.io/Logging_0484/artfynd/A 9645-2023 artfynd.xlsx", "A 9645-2023")</f>
        <v/>
      </c>
      <c r="T78">
        <f>HYPERLINK("https://klasma.github.io/Logging_0484/kartor/A 9645-2023 karta.png", "A 9645-2023")</f>
        <v/>
      </c>
      <c r="V78">
        <f>HYPERLINK("https://klasma.github.io/Logging_0484/klagomål/A 9645-2023 FSC-klagomål.docx", "A 9645-2023")</f>
        <v/>
      </c>
      <c r="W78">
        <f>HYPERLINK("https://klasma.github.io/Logging_0484/klagomålsmail/A 9645-2023 FSC-klagomål mail.docx", "A 9645-2023")</f>
        <v/>
      </c>
      <c r="X78">
        <f>HYPERLINK("https://klasma.github.io/Logging_0484/tillsyn/A 9645-2023 tillsynsbegäran.docx", "A 9645-2023")</f>
        <v/>
      </c>
      <c r="Y78">
        <f>HYPERLINK("https://klasma.github.io/Logging_0484/tillsynsmail/A 9645-2023 tillsynsbegäran mail.docx", "A 9645-2023")</f>
        <v/>
      </c>
      <c r="Z78">
        <f>HYPERLINK("https://klasma.github.io/Logging_0484/fåglar/A 9645-2023 prioriterade fågelarter.docx", "A 9645-2023")</f>
        <v/>
      </c>
    </row>
    <row r="79" ht="15" customHeight="1">
      <c r="A79" t="inlineStr">
        <is>
          <t>A 14327-2023</t>
        </is>
      </c>
      <c r="B79" s="1" t="n">
        <v>45012</v>
      </c>
      <c r="C79" s="1" t="n">
        <v>45473</v>
      </c>
      <c r="D79" t="inlineStr">
        <is>
          <t>SÖDERMANLANDS LÄN</t>
        </is>
      </c>
      <c r="E79" t="inlineStr">
        <is>
          <t>ESKILSTUNA</t>
        </is>
      </c>
      <c r="F79" t="inlineStr">
        <is>
          <t>Kommuner</t>
        </is>
      </c>
      <c r="G79" t="n">
        <v>2.6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Mattlummer</t>
        </is>
      </c>
      <c r="S79">
        <f>HYPERLINK("https://klasma.github.io/Logging_0484/artfynd/A 14327-2023 artfynd.xlsx", "A 14327-2023")</f>
        <v/>
      </c>
      <c r="T79">
        <f>HYPERLINK("https://klasma.github.io/Logging_0484/kartor/A 14327-2023 karta.png", "A 14327-2023")</f>
        <v/>
      </c>
      <c r="V79">
        <f>HYPERLINK("https://klasma.github.io/Logging_0484/klagomål/A 14327-2023 FSC-klagomål.docx", "A 14327-2023")</f>
        <v/>
      </c>
      <c r="W79">
        <f>HYPERLINK("https://klasma.github.io/Logging_0484/klagomålsmail/A 14327-2023 FSC-klagomål mail.docx", "A 14327-2023")</f>
        <v/>
      </c>
      <c r="X79">
        <f>HYPERLINK("https://klasma.github.io/Logging_0484/tillsyn/A 14327-2023 tillsynsbegäran.docx", "A 14327-2023")</f>
        <v/>
      </c>
      <c r="Y79">
        <f>HYPERLINK("https://klasma.github.io/Logging_0484/tillsynsmail/A 14327-2023 tillsynsbegäran mail.docx", "A 14327-2023")</f>
        <v/>
      </c>
    </row>
    <row r="80" ht="15" customHeight="1">
      <c r="A80" t="inlineStr">
        <is>
          <t>A 19627-2023</t>
        </is>
      </c>
      <c r="B80" s="1" t="n">
        <v>45050</v>
      </c>
      <c r="C80" s="1" t="n">
        <v>45473</v>
      </c>
      <c r="D80" t="inlineStr">
        <is>
          <t>SÖDERMANLANDS LÄN</t>
        </is>
      </c>
      <c r="E80" t="inlineStr">
        <is>
          <t>ESKILSTUNA</t>
        </is>
      </c>
      <c r="F80" t="inlineStr">
        <is>
          <t>Allmännings- och besparingsskogar</t>
        </is>
      </c>
      <c r="G80" t="n">
        <v>2.7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Revlummer</t>
        </is>
      </c>
      <c r="S80">
        <f>HYPERLINK("https://klasma.github.io/Logging_0484/artfynd/A 19627-2023 artfynd.xlsx", "A 19627-2023")</f>
        <v/>
      </c>
      <c r="T80">
        <f>HYPERLINK("https://klasma.github.io/Logging_0484/kartor/A 19627-2023 karta.png", "A 19627-2023")</f>
        <v/>
      </c>
      <c r="V80">
        <f>HYPERLINK("https://klasma.github.io/Logging_0484/klagomål/A 19627-2023 FSC-klagomål.docx", "A 19627-2023")</f>
        <v/>
      </c>
      <c r="W80">
        <f>HYPERLINK("https://klasma.github.io/Logging_0484/klagomålsmail/A 19627-2023 FSC-klagomål mail.docx", "A 19627-2023")</f>
        <v/>
      </c>
      <c r="X80">
        <f>HYPERLINK("https://klasma.github.io/Logging_0484/tillsyn/A 19627-2023 tillsynsbegäran.docx", "A 19627-2023")</f>
        <v/>
      </c>
      <c r="Y80">
        <f>HYPERLINK("https://klasma.github.io/Logging_0484/tillsynsmail/A 19627-2023 tillsynsbegäran mail.docx", "A 19627-2023")</f>
        <v/>
      </c>
    </row>
    <row r="81" ht="15" customHeight="1">
      <c r="A81" t="inlineStr">
        <is>
          <t>A 23637-2023</t>
        </is>
      </c>
      <c r="B81" s="1" t="n">
        <v>45077</v>
      </c>
      <c r="C81" s="1" t="n">
        <v>45473</v>
      </c>
      <c r="D81" t="inlineStr">
        <is>
          <t>SÖDERMANLANDS LÄN</t>
        </is>
      </c>
      <c r="E81" t="inlineStr">
        <is>
          <t>ESKILSTUNA</t>
        </is>
      </c>
      <c r="G81" t="n">
        <v>15.8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Violett fingersvamp</t>
        </is>
      </c>
      <c r="S81">
        <f>HYPERLINK("https://klasma.github.io/Logging_0484/artfynd/A 23637-2023 artfynd.xlsx", "A 23637-2023")</f>
        <v/>
      </c>
      <c r="T81">
        <f>HYPERLINK("https://klasma.github.io/Logging_0484/kartor/A 23637-2023 karta.png", "A 23637-2023")</f>
        <v/>
      </c>
      <c r="V81">
        <f>HYPERLINK("https://klasma.github.io/Logging_0484/klagomål/A 23637-2023 FSC-klagomål.docx", "A 23637-2023")</f>
        <v/>
      </c>
      <c r="W81">
        <f>HYPERLINK("https://klasma.github.io/Logging_0484/klagomålsmail/A 23637-2023 FSC-klagomål mail.docx", "A 23637-2023")</f>
        <v/>
      </c>
      <c r="X81">
        <f>HYPERLINK("https://klasma.github.io/Logging_0484/tillsyn/A 23637-2023 tillsynsbegäran.docx", "A 23637-2023")</f>
        <v/>
      </c>
      <c r="Y81">
        <f>HYPERLINK("https://klasma.github.io/Logging_0484/tillsynsmail/A 23637-2023 tillsynsbegäran mail.docx", "A 23637-2023")</f>
        <v/>
      </c>
    </row>
    <row r="82" ht="15" customHeight="1">
      <c r="A82" t="inlineStr">
        <is>
          <t>A 26114-2023</t>
        </is>
      </c>
      <c r="B82" s="1" t="n">
        <v>45091</v>
      </c>
      <c r="C82" s="1" t="n">
        <v>45473</v>
      </c>
      <c r="D82" t="inlineStr">
        <is>
          <t>SÖDERMANLANDS LÄN</t>
        </is>
      </c>
      <c r="E82" t="inlineStr">
        <is>
          <t>ESKILSTUNA</t>
        </is>
      </c>
      <c r="F82" t="inlineStr">
        <is>
          <t>Sveaskog</t>
        </is>
      </c>
      <c r="G82" t="n">
        <v>3.7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Ängsskära</t>
        </is>
      </c>
      <c r="S82">
        <f>HYPERLINK("https://klasma.github.io/Logging_0484/artfynd/A 26114-2023 artfynd.xlsx", "A 26114-2023")</f>
        <v/>
      </c>
      <c r="T82">
        <f>HYPERLINK("https://klasma.github.io/Logging_0484/kartor/A 26114-2023 karta.png", "A 26114-2023")</f>
        <v/>
      </c>
      <c r="V82">
        <f>HYPERLINK("https://klasma.github.io/Logging_0484/klagomål/A 26114-2023 FSC-klagomål.docx", "A 26114-2023")</f>
        <v/>
      </c>
      <c r="W82">
        <f>HYPERLINK("https://klasma.github.io/Logging_0484/klagomålsmail/A 26114-2023 FSC-klagomål mail.docx", "A 26114-2023")</f>
        <v/>
      </c>
      <c r="X82">
        <f>HYPERLINK("https://klasma.github.io/Logging_0484/tillsyn/A 26114-2023 tillsynsbegäran.docx", "A 26114-2023")</f>
        <v/>
      </c>
      <c r="Y82">
        <f>HYPERLINK("https://klasma.github.io/Logging_0484/tillsynsmail/A 26114-2023 tillsynsbegäran mail.docx", "A 26114-2023")</f>
        <v/>
      </c>
    </row>
    <row r="83" ht="15" customHeight="1">
      <c r="A83" t="inlineStr">
        <is>
          <t>A 26133-2023</t>
        </is>
      </c>
      <c r="B83" s="1" t="n">
        <v>45091</v>
      </c>
      <c r="C83" s="1" t="n">
        <v>45473</v>
      </c>
      <c r="D83" t="inlineStr">
        <is>
          <t>SÖDERMANLANDS LÄN</t>
        </is>
      </c>
      <c r="E83" t="inlineStr">
        <is>
          <t>ESKILSTUNA</t>
        </is>
      </c>
      <c r="F83" t="inlineStr">
        <is>
          <t>Sveaskog</t>
        </is>
      </c>
      <c r="G83" t="n">
        <v>3.7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Ängsskära</t>
        </is>
      </c>
      <c r="S83">
        <f>HYPERLINK("https://klasma.github.io/Logging_0484/artfynd/A 26133-2023 artfynd.xlsx", "A 26133-2023")</f>
        <v/>
      </c>
      <c r="T83">
        <f>HYPERLINK("https://klasma.github.io/Logging_0484/kartor/A 26133-2023 karta.png", "A 26133-2023")</f>
        <v/>
      </c>
      <c r="V83">
        <f>HYPERLINK("https://klasma.github.io/Logging_0484/klagomål/A 26133-2023 FSC-klagomål.docx", "A 26133-2023")</f>
        <v/>
      </c>
      <c r="W83">
        <f>HYPERLINK("https://klasma.github.io/Logging_0484/klagomålsmail/A 26133-2023 FSC-klagomål mail.docx", "A 26133-2023")</f>
        <v/>
      </c>
      <c r="X83">
        <f>HYPERLINK("https://klasma.github.io/Logging_0484/tillsyn/A 26133-2023 tillsynsbegäran.docx", "A 26133-2023")</f>
        <v/>
      </c>
      <c r="Y83">
        <f>HYPERLINK("https://klasma.github.io/Logging_0484/tillsynsmail/A 26133-2023 tillsynsbegäran mail.docx", "A 26133-2023")</f>
        <v/>
      </c>
    </row>
    <row r="84" ht="15" customHeight="1">
      <c r="A84" t="inlineStr">
        <is>
          <t>A 26099-2023</t>
        </is>
      </c>
      <c r="B84" s="1" t="n">
        <v>45091</v>
      </c>
      <c r="C84" s="1" t="n">
        <v>45473</v>
      </c>
      <c r="D84" t="inlineStr">
        <is>
          <t>SÖDERMANLANDS LÄN</t>
        </is>
      </c>
      <c r="E84" t="inlineStr">
        <is>
          <t>ESKILSTUNA</t>
        </is>
      </c>
      <c r="F84" t="inlineStr">
        <is>
          <t>Sveaskog</t>
        </is>
      </c>
      <c r="G84" t="n">
        <v>1.2</v>
      </c>
      <c r="H84" t="n">
        <v>1</v>
      </c>
      <c r="I84" t="n">
        <v>0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Tornseglare</t>
        </is>
      </c>
      <c r="S84">
        <f>HYPERLINK("https://klasma.github.io/Logging_0484/artfynd/A 26099-2023 artfynd.xlsx", "A 26099-2023")</f>
        <v/>
      </c>
      <c r="T84">
        <f>HYPERLINK("https://klasma.github.io/Logging_0484/kartor/A 26099-2023 karta.png", "A 26099-2023")</f>
        <v/>
      </c>
      <c r="V84">
        <f>HYPERLINK("https://klasma.github.io/Logging_0484/klagomål/A 26099-2023 FSC-klagomål.docx", "A 26099-2023")</f>
        <v/>
      </c>
      <c r="W84">
        <f>HYPERLINK("https://klasma.github.io/Logging_0484/klagomålsmail/A 26099-2023 FSC-klagomål mail.docx", "A 26099-2023")</f>
        <v/>
      </c>
      <c r="X84">
        <f>HYPERLINK("https://klasma.github.io/Logging_0484/tillsyn/A 26099-2023 tillsynsbegäran.docx", "A 26099-2023")</f>
        <v/>
      </c>
      <c r="Y84">
        <f>HYPERLINK("https://klasma.github.io/Logging_0484/tillsynsmail/A 26099-2023 tillsynsbegäran mail.docx", "A 26099-2023")</f>
        <v/>
      </c>
      <c r="Z84">
        <f>HYPERLINK("https://klasma.github.io/Logging_0484/fåglar/A 26099-2023 prioriterade fågelarter.docx", "A 26099-2023")</f>
        <v/>
      </c>
    </row>
    <row r="85" ht="15" customHeight="1">
      <c r="A85" t="inlineStr">
        <is>
          <t>A 27580-2023</t>
        </is>
      </c>
      <c r="B85" s="1" t="n">
        <v>45097</v>
      </c>
      <c r="C85" s="1" t="n">
        <v>45473</v>
      </c>
      <c r="D85" t="inlineStr">
        <is>
          <t>SÖDERMANLANDS LÄN</t>
        </is>
      </c>
      <c r="E85" t="inlineStr">
        <is>
          <t>ESKILSTUNA</t>
        </is>
      </c>
      <c r="F85" t="inlineStr">
        <is>
          <t>Sveaskog</t>
        </is>
      </c>
      <c r="G85" t="n">
        <v>9.199999999999999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Motaggsvamp</t>
        </is>
      </c>
      <c r="S85">
        <f>HYPERLINK("https://klasma.github.io/Logging_0484/artfynd/A 27580-2023 artfynd.xlsx", "A 27580-2023")</f>
        <v/>
      </c>
      <c r="T85">
        <f>HYPERLINK("https://klasma.github.io/Logging_0484/kartor/A 27580-2023 karta.png", "A 27580-2023")</f>
        <v/>
      </c>
      <c r="V85">
        <f>HYPERLINK("https://klasma.github.io/Logging_0484/klagomål/A 27580-2023 FSC-klagomål.docx", "A 27580-2023")</f>
        <v/>
      </c>
      <c r="W85">
        <f>HYPERLINK("https://klasma.github.io/Logging_0484/klagomålsmail/A 27580-2023 FSC-klagomål mail.docx", "A 27580-2023")</f>
        <v/>
      </c>
      <c r="X85">
        <f>HYPERLINK("https://klasma.github.io/Logging_0484/tillsyn/A 27580-2023 tillsynsbegäran.docx", "A 27580-2023")</f>
        <v/>
      </c>
      <c r="Y85">
        <f>HYPERLINK("https://klasma.github.io/Logging_0484/tillsynsmail/A 27580-2023 tillsynsbegäran mail.docx", "A 27580-2023")</f>
        <v/>
      </c>
    </row>
    <row r="86" ht="15" customHeight="1">
      <c r="A86" t="inlineStr">
        <is>
          <t>A 30975-2023</t>
        </is>
      </c>
      <c r="B86" s="1" t="n">
        <v>45103</v>
      </c>
      <c r="C86" s="1" t="n">
        <v>45473</v>
      </c>
      <c r="D86" t="inlineStr">
        <is>
          <t>SÖDERMANLANDS LÄN</t>
        </is>
      </c>
      <c r="E86" t="inlineStr">
        <is>
          <t>ESKILSTUNA</t>
        </is>
      </c>
      <c r="G86" t="n">
        <v>0.9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Bombmurkla</t>
        </is>
      </c>
      <c r="S86">
        <f>HYPERLINK("https://klasma.github.io/Logging_0484/artfynd/A 30975-2023 artfynd.xlsx", "A 30975-2023")</f>
        <v/>
      </c>
      <c r="T86">
        <f>HYPERLINK("https://klasma.github.io/Logging_0484/kartor/A 30975-2023 karta.png", "A 30975-2023")</f>
        <v/>
      </c>
      <c r="V86">
        <f>HYPERLINK("https://klasma.github.io/Logging_0484/klagomål/A 30975-2023 FSC-klagomål.docx", "A 30975-2023")</f>
        <v/>
      </c>
      <c r="W86">
        <f>HYPERLINK("https://klasma.github.io/Logging_0484/klagomålsmail/A 30975-2023 FSC-klagomål mail.docx", "A 30975-2023")</f>
        <v/>
      </c>
      <c r="X86">
        <f>HYPERLINK("https://klasma.github.io/Logging_0484/tillsyn/A 30975-2023 tillsynsbegäran.docx", "A 30975-2023")</f>
        <v/>
      </c>
      <c r="Y86">
        <f>HYPERLINK("https://klasma.github.io/Logging_0484/tillsynsmail/A 30975-2023 tillsynsbegäran mail.docx", "A 30975-2023")</f>
        <v/>
      </c>
    </row>
    <row r="87" ht="15" customHeight="1">
      <c r="A87" t="inlineStr">
        <is>
          <t>A 29647-2023</t>
        </is>
      </c>
      <c r="B87" s="1" t="n">
        <v>45107</v>
      </c>
      <c r="C87" s="1" t="n">
        <v>45473</v>
      </c>
      <c r="D87" t="inlineStr">
        <is>
          <t>SÖDERMANLANDS LÄN</t>
        </is>
      </c>
      <c r="E87" t="inlineStr">
        <is>
          <t>ESKILSTUNA</t>
        </is>
      </c>
      <c r="F87" t="inlineStr">
        <is>
          <t>Allmännings- och besparingsskogar</t>
        </is>
      </c>
      <c r="G87" t="n">
        <v>0.9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Rödvingetrast</t>
        </is>
      </c>
      <c r="S87">
        <f>HYPERLINK("https://klasma.github.io/Logging_0484/artfynd/A 29647-2023 artfynd.xlsx", "A 29647-2023")</f>
        <v/>
      </c>
      <c r="T87">
        <f>HYPERLINK("https://klasma.github.io/Logging_0484/kartor/A 29647-2023 karta.png", "A 29647-2023")</f>
        <v/>
      </c>
      <c r="V87">
        <f>HYPERLINK("https://klasma.github.io/Logging_0484/klagomål/A 29647-2023 FSC-klagomål.docx", "A 29647-2023")</f>
        <v/>
      </c>
      <c r="W87">
        <f>HYPERLINK("https://klasma.github.io/Logging_0484/klagomålsmail/A 29647-2023 FSC-klagomål mail.docx", "A 29647-2023")</f>
        <v/>
      </c>
      <c r="X87">
        <f>HYPERLINK("https://klasma.github.io/Logging_0484/tillsyn/A 29647-2023 tillsynsbegäran.docx", "A 29647-2023")</f>
        <v/>
      </c>
      <c r="Y87">
        <f>HYPERLINK("https://klasma.github.io/Logging_0484/tillsynsmail/A 29647-2023 tillsynsbegäran mail.docx", "A 29647-2023")</f>
        <v/>
      </c>
      <c r="Z87">
        <f>HYPERLINK("https://klasma.github.io/Logging_0484/fåglar/A 29647-2023 prioriterade fågelarter.docx", "A 29647-2023")</f>
        <v/>
      </c>
    </row>
    <row r="88" ht="15" customHeight="1">
      <c r="A88" t="inlineStr">
        <is>
          <t>A 31987-2023</t>
        </is>
      </c>
      <c r="B88" s="1" t="n">
        <v>45119</v>
      </c>
      <c r="C88" s="1" t="n">
        <v>45473</v>
      </c>
      <c r="D88" t="inlineStr">
        <is>
          <t>SÖDERMANLANDS LÄN</t>
        </is>
      </c>
      <c r="E88" t="inlineStr">
        <is>
          <t>ESKILSTUNA</t>
        </is>
      </c>
      <c r="F88" t="inlineStr">
        <is>
          <t>Sveaskog</t>
        </is>
      </c>
      <c r="G88" t="n">
        <v>1.4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Bredbrämad bastardsvärmare</t>
        </is>
      </c>
      <c r="S88">
        <f>HYPERLINK("https://klasma.github.io/Logging_0484/artfynd/A 31987-2023 artfynd.xlsx", "A 31987-2023")</f>
        <v/>
      </c>
      <c r="T88">
        <f>HYPERLINK("https://klasma.github.io/Logging_0484/kartor/A 31987-2023 karta.png", "A 31987-2023")</f>
        <v/>
      </c>
      <c r="V88">
        <f>HYPERLINK("https://klasma.github.io/Logging_0484/klagomål/A 31987-2023 FSC-klagomål.docx", "A 31987-2023")</f>
        <v/>
      </c>
      <c r="W88">
        <f>HYPERLINK("https://klasma.github.io/Logging_0484/klagomålsmail/A 31987-2023 FSC-klagomål mail.docx", "A 31987-2023")</f>
        <v/>
      </c>
      <c r="X88">
        <f>HYPERLINK("https://klasma.github.io/Logging_0484/tillsyn/A 31987-2023 tillsynsbegäran.docx", "A 31987-2023")</f>
        <v/>
      </c>
      <c r="Y88">
        <f>HYPERLINK("https://klasma.github.io/Logging_0484/tillsynsmail/A 31987-2023 tillsynsbegäran mail.docx", "A 31987-2023")</f>
        <v/>
      </c>
    </row>
    <row r="89" ht="15" customHeight="1">
      <c r="A89" t="inlineStr">
        <is>
          <t>A 32314-2023</t>
        </is>
      </c>
      <c r="B89" s="1" t="n">
        <v>45120</v>
      </c>
      <c r="C89" s="1" t="n">
        <v>45473</v>
      </c>
      <c r="D89" t="inlineStr">
        <is>
          <t>SÖDERMANLANDS LÄN</t>
        </is>
      </c>
      <c r="E89" t="inlineStr">
        <is>
          <t>ESKILSTUNA</t>
        </is>
      </c>
      <c r="F89" t="inlineStr">
        <is>
          <t>Sveaskog</t>
        </is>
      </c>
      <c r="G89" t="n">
        <v>4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Grovticka</t>
        </is>
      </c>
      <c r="S89">
        <f>HYPERLINK("https://klasma.github.io/Logging_0484/artfynd/A 32314-2023 artfynd.xlsx", "A 32314-2023")</f>
        <v/>
      </c>
      <c r="T89">
        <f>HYPERLINK("https://klasma.github.io/Logging_0484/kartor/A 32314-2023 karta.png", "A 32314-2023")</f>
        <v/>
      </c>
      <c r="V89">
        <f>HYPERLINK("https://klasma.github.io/Logging_0484/klagomål/A 32314-2023 FSC-klagomål.docx", "A 32314-2023")</f>
        <v/>
      </c>
      <c r="W89">
        <f>HYPERLINK("https://klasma.github.io/Logging_0484/klagomålsmail/A 32314-2023 FSC-klagomål mail.docx", "A 32314-2023")</f>
        <v/>
      </c>
      <c r="X89">
        <f>HYPERLINK("https://klasma.github.io/Logging_0484/tillsyn/A 32314-2023 tillsynsbegäran.docx", "A 32314-2023")</f>
        <v/>
      </c>
      <c r="Y89">
        <f>HYPERLINK("https://klasma.github.io/Logging_0484/tillsynsmail/A 32314-2023 tillsynsbegäran mail.docx", "A 32314-2023")</f>
        <v/>
      </c>
    </row>
    <row r="90" ht="15" customHeight="1">
      <c r="A90" t="inlineStr">
        <is>
          <t>A 34717-2023</t>
        </is>
      </c>
      <c r="B90" s="1" t="n">
        <v>45141</v>
      </c>
      <c r="C90" s="1" t="n">
        <v>45473</v>
      </c>
      <c r="D90" t="inlineStr">
        <is>
          <t>SÖDERMANLANDS LÄN</t>
        </is>
      </c>
      <c r="E90" t="inlineStr">
        <is>
          <t>ESKILSTUNA</t>
        </is>
      </c>
      <c r="F90" t="inlineStr">
        <is>
          <t>Kyrkan</t>
        </is>
      </c>
      <c r="G90" t="n">
        <v>1.5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Triplax rufipes</t>
        </is>
      </c>
      <c r="S90">
        <f>HYPERLINK("https://klasma.github.io/Logging_0484/artfynd/A 34717-2023 artfynd.xlsx", "A 34717-2023")</f>
        <v/>
      </c>
      <c r="T90">
        <f>HYPERLINK("https://klasma.github.io/Logging_0484/kartor/A 34717-2023 karta.png", "A 34717-2023")</f>
        <v/>
      </c>
      <c r="V90">
        <f>HYPERLINK("https://klasma.github.io/Logging_0484/klagomål/A 34717-2023 FSC-klagomål.docx", "A 34717-2023")</f>
        <v/>
      </c>
      <c r="W90">
        <f>HYPERLINK("https://klasma.github.io/Logging_0484/klagomålsmail/A 34717-2023 FSC-klagomål mail.docx", "A 34717-2023")</f>
        <v/>
      </c>
      <c r="X90">
        <f>HYPERLINK("https://klasma.github.io/Logging_0484/tillsyn/A 34717-2023 tillsynsbegäran.docx", "A 34717-2023")</f>
        <v/>
      </c>
      <c r="Y90">
        <f>HYPERLINK("https://klasma.github.io/Logging_0484/tillsynsmail/A 34717-2023 tillsynsbegäran mail.docx", "A 34717-2023")</f>
        <v/>
      </c>
    </row>
    <row r="91" ht="15" customHeight="1">
      <c r="A91" t="inlineStr">
        <is>
          <t>A 46596-2023</t>
        </is>
      </c>
      <c r="B91" s="1" t="n">
        <v>45198</v>
      </c>
      <c r="C91" s="1" t="n">
        <v>45473</v>
      </c>
      <c r="D91" t="inlineStr">
        <is>
          <t>SÖDERMANLANDS LÄN</t>
        </is>
      </c>
      <c r="E91" t="inlineStr">
        <is>
          <t>ESKILSTUNA</t>
        </is>
      </c>
      <c r="F91" t="inlineStr">
        <is>
          <t>Allmännings- och besparingsskogar</t>
        </is>
      </c>
      <c r="G91" t="n">
        <v>2.4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Revlummer</t>
        </is>
      </c>
      <c r="S91">
        <f>HYPERLINK("https://klasma.github.io/Logging_0484/artfynd/A 46596-2023 artfynd.xlsx", "A 46596-2023")</f>
        <v/>
      </c>
      <c r="T91">
        <f>HYPERLINK("https://klasma.github.io/Logging_0484/kartor/A 46596-2023 karta.png", "A 46596-2023")</f>
        <v/>
      </c>
      <c r="V91">
        <f>HYPERLINK("https://klasma.github.io/Logging_0484/klagomål/A 46596-2023 FSC-klagomål.docx", "A 46596-2023")</f>
        <v/>
      </c>
      <c r="W91">
        <f>HYPERLINK("https://klasma.github.io/Logging_0484/klagomålsmail/A 46596-2023 FSC-klagomål mail.docx", "A 46596-2023")</f>
        <v/>
      </c>
      <c r="X91">
        <f>HYPERLINK("https://klasma.github.io/Logging_0484/tillsyn/A 46596-2023 tillsynsbegäran.docx", "A 46596-2023")</f>
        <v/>
      </c>
      <c r="Y91">
        <f>HYPERLINK("https://klasma.github.io/Logging_0484/tillsynsmail/A 46596-2023 tillsynsbegäran mail.docx", "A 46596-2023")</f>
        <v/>
      </c>
    </row>
    <row r="92" ht="15" customHeight="1">
      <c r="A92" t="inlineStr">
        <is>
          <t>A 15547-2024</t>
        </is>
      </c>
      <c r="B92" s="1" t="n">
        <v>45401</v>
      </c>
      <c r="C92" s="1" t="n">
        <v>45473</v>
      </c>
      <c r="D92" t="inlineStr">
        <is>
          <t>SÖDERMANLANDS LÄN</t>
        </is>
      </c>
      <c r="E92" t="inlineStr">
        <is>
          <t>ESKILSTUNA</t>
        </is>
      </c>
      <c r="F92" t="inlineStr">
        <is>
          <t>Sveaskog</t>
        </is>
      </c>
      <c r="G92" t="n">
        <v>2.7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Talltita</t>
        </is>
      </c>
      <c r="S92">
        <f>HYPERLINK("https://klasma.github.io/Logging_0484/artfynd/A 15547-2024 artfynd.xlsx", "A 15547-2024")</f>
        <v/>
      </c>
      <c r="T92">
        <f>HYPERLINK("https://klasma.github.io/Logging_0484/kartor/A 15547-2024 karta.png", "A 15547-2024")</f>
        <v/>
      </c>
      <c r="V92">
        <f>HYPERLINK("https://klasma.github.io/Logging_0484/klagomål/A 15547-2024 FSC-klagomål.docx", "A 15547-2024")</f>
        <v/>
      </c>
      <c r="W92">
        <f>HYPERLINK("https://klasma.github.io/Logging_0484/klagomålsmail/A 15547-2024 FSC-klagomål mail.docx", "A 15547-2024")</f>
        <v/>
      </c>
      <c r="X92">
        <f>HYPERLINK("https://klasma.github.io/Logging_0484/tillsyn/A 15547-2024 tillsynsbegäran.docx", "A 15547-2024")</f>
        <v/>
      </c>
      <c r="Y92">
        <f>HYPERLINK("https://klasma.github.io/Logging_0484/tillsynsmail/A 15547-2024 tillsynsbegäran mail.docx", "A 15547-2024")</f>
        <v/>
      </c>
      <c r="Z92">
        <f>HYPERLINK("https://klasma.github.io/Logging_0484/fåglar/A 15547-2024 prioriterade fågelarter.docx", "A 15547-2024")</f>
        <v/>
      </c>
    </row>
    <row r="93" ht="15" customHeight="1">
      <c r="A93" t="inlineStr">
        <is>
          <t>A 15543-2024</t>
        </is>
      </c>
      <c r="B93" s="1" t="n">
        <v>45401</v>
      </c>
      <c r="C93" s="1" t="n">
        <v>45473</v>
      </c>
      <c r="D93" t="inlineStr">
        <is>
          <t>SÖDERMANLANDS LÄN</t>
        </is>
      </c>
      <c r="E93" t="inlineStr">
        <is>
          <t>ESKILSTUNA</t>
        </is>
      </c>
      <c r="F93" t="inlineStr">
        <is>
          <t>Sveaskog</t>
        </is>
      </c>
      <c r="G93" t="n">
        <v>5.3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Grönpyrola</t>
        </is>
      </c>
      <c r="S93">
        <f>HYPERLINK("https://klasma.github.io/Logging_0484/artfynd/A 15543-2024 artfynd.xlsx", "A 15543-2024")</f>
        <v/>
      </c>
      <c r="T93">
        <f>HYPERLINK("https://klasma.github.io/Logging_0484/kartor/A 15543-2024 karta.png", "A 15543-2024")</f>
        <v/>
      </c>
      <c r="V93">
        <f>HYPERLINK("https://klasma.github.io/Logging_0484/klagomål/A 15543-2024 FSC-klagomål.docx", "A 15543-2024")</f>
        <v/>
      </c>
      <c r="W93">
        <f>HYPERLINK("https://klasma.github.io/Logging_0484/klagomålsmail/A 15543-2024 FSC-klagomål mail.docx", "A 15543-2024")</f>
        <v/>
      </c>
      <c r="X93">
        <f>HYPERLINK("https://klasma.github.io/Logging_0484/tillsyn/A 15543-2024 tillsynsbegäran.docx", "A 15543-2024")</f>
        <v/>
      </c>
      <c r="Y93">
        <f>HYPERLINK("https://klasma.github.io/Logging_0484/tillsynsmail/A 15543-2024 tillsynsbegäran mail.docx", "A 15543-2024")</f>
        <v/>
      </c>
    </row>
    <row r="94" ht="15" customHeight="1">
      <c r="A94" t="inlineStr">
        <is>
          <t>A 25919-2024</t>
        </is>
      </c>
      <c r="B94" s="1" t="n">
        <v>45467</v>
      </c>
      <c r="C94" s="1" t="n">
        <v>45473</v>
      </c>
      <c r="D94" t="inlineStr">
        <is>
          <t>SÖDERMANLANDS LÄN</t>
        </is>
      </c>
      <c r="E94" t="inlineStr">
        <is>
          <t>ESKILSTUNA</t>
        </is>
      </c>
      <c r="G94" t="n">
        <v>10.1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Grönpyrola</t>
        </is>
      </c>
      <c r="S94">
        <f>HYPERLINK("https://klasma.github.io/Logging_0484/artfynd/A 25919-2024 artfynd.xlsx", "A 25919-2024")</f>
        <v/>
      </c>
      <c r="T94">
        <f>HYPERLINK("https://klasma.github.io/Logging_0484/kartor/A 25919-2024 karta.png", "A 25919-2024")</f>
        <v/>
      </c>
      <c r="V94">
        <f>HYPERLINK("https://klasma.github.io/Logging_0484/klagomål/A 25919-2024 FSC-klagomål.docx", "A 25919-2024")</f>
        <v/>
      </c>
      <c r="W94">
        <f>HYPERLINK("https://klasma.github.io/Logging_0484/klagomålsmail/A 25919-2024 FSC-klagomål mail.docx", "A 25919-2024")</f>
        <v/>
      </c>
      <c r="X94">
        <f>HYPERLINK("https://klasma.github.io/Logging_0484/tillsyn/A 25919-2024 tillsynsbegäran.docx", "A 25919-2024")</f>
        <v/>
      </c>
      <c r="Y94">
        <f>HYPERLINK("https://klasma.github.io/Logging_0484/tillsynsmail/A 25919-2024 tillsynsbegäran mail.docx", "A 25919-2024")</f>
        <v/>
      </c>
    </row>
    <row r="95" ht="15" customHeight="1">
      <c r="A95" t="inlineStr">
        <is>
          <t>A 17953-2019</t>
        </is>
      </c>
      <c r="B95" s="1" t="n">
        <v>43557</v>
      </c>
      <c r="C95" s="1" t="n">
        <v>45473</v>
      </c>
      <c r="D95" t="inlineStr">
        <is>
          <t>SÖDERMANLANDS LÄN</t>
        </is>
      </c>
      <c r="E95" t="inlineStr">
        <is>
          <t>ESKILSTUNA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18224-2019</t>
        </is>
      </c>
      <c r="B96" s="1" t="n">
        <v>43558</v>
      </c>
      <c r="C96" s="1" t="n">
        <v>45473</v>
      </c>
      <c r="D96" t="inlineStr">
        <is>
          <t>SÖDERMANLANDS LÄN</t>
        </is>
      </c>
      <c r="E96" t="inlineStr">
        <is>
          <t>ESKILSTUNA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18493-2019</t>
        </is>
      </c>
      <c r="B97" s="1" t="n">
        <v>43558</v>
      </c>
      <c r="C97" s="1" t="n">
        <v>45473</v>
      </c>
      <c r="D97" t="inlineStr">
        <is>
          <t>SÖDERMANLANDS LÄN</t>
        </is>
      </c>
      <c r="E97" t="inlineStr">
        <is>
          <t>ESKILSTUNA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18698-2019</t>
        </is>
      </c>
      <c r="B98" s="1" t="n">
        <v>43559</v>
      </c>
      <c r="C98" s="1" t="n">
        <v>45473</v>
      </c>
      <c r="D98" t="inlineStr">
        <is>
          <t>SÖDERMANLANDS LÄN</t>
        </is>
      </c>
      <c r="E98" t="inlineStr">
        <is>
          <t>ESKILSTUNA</t>
        </is>
      </c>
      <c r="G98" t="n">
        <v>10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18423-2019</t>
        </is>
      </c>
      <c r="B99" s="1" t="n">
        <v>43559</v>
      </c>
      <c r="C99" s="1" t="n">
        <v>45473</v>
      </c>
      <c r="D99" t="inlineStr">
        <is>
          <t>SÖDERMANLANDS LÄN</t>
        </is>
      </c>
      <c r="E99" t="inlineStr">
        <is>
          <t>ESKILSTUNA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18704-2019</t>
        </is>
      </c>
      <c r="B100" s="1" t="n">
        <v>43559</v>
      </c>
      <c r="C100" s="1" t="n">
        <v>45473</v>
      </c>
      <c r="D100" t="inlineStr">
        <is>
          <t>SÖDERMANLANDS LÄN</t>
        </is>
      </c>
      <c r="E100" t="inlineStr">
        <is>
          <t>ESKILSTUNA</t>
        </is>
      </c>
      <c r="G100" t="n">
        <v>7.8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18950-2019</t>
        </is>
      </c>
      <c r="B101" s="1" t="n">
        <v>43563</v>
      </c>
      <c r="C101" s="1" t="n">
        <v>45473</v>
      </c>
      <c r="D101" t="inlineStr">
        <is>
          <t>SÖDERMANLANDS LÄN</t>
        </is>
      </c>
      <c r="E101" t="inlineStr">
        <is>
          <t>ESKILSTUNA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19122-2019</t>
        </is>
      </c>
      <c r="B102" s="1" t="n">
        <v>43564</v>
      </c>
      <c r="C102" s="1" t="n">
        <v>45473</v>
      </c>
      <c r="D102" t="inlineStr">
        <is>
          <t>SÖDERMANLANDS LÄN</t>
        </is>
      </c>
      <c r="E102" t="inlineStr">
        <is>
          <t>ESKILSTUNA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19291-2019</t>
        </is>
      </c>
      <c r="B103" s="1" t="n">
        <v>43565</v>
      </c>
      <c r="C103" s="1" t="n">
        <v>45473</v>
      </c>
      <c r="D103" t="inlineStr">
        <is>
          <t>SÖDERMANLANDS LÄN</t>
        </is>
      </c>
      <c r="E103" t="inlineStr">
        <is>
          <t>ESKILSTUNA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20179-2019</t>
        </is>
      </c>
      <c r="B104" s="1" t="n">
        <v>43570</v>
      </c>
      <c r="C104" s="1" t="n">
        <v>45473</v>
      </c>
      <c r="D104" t="inlineStr">
        <is>
          <t>SÖDERMANLANDS LÄN</t>
        </is>
      </c>
      <c r="E104" t="inlineStr">
        <is>
          <t>ESKILSTUNA</t>
        </is>
      </c>
      <c r="F104" t="inlineStr">
        <is>
          <t>Sveaskog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21555-2019</t>
        </is>
      </c>
      <c r="B105" s="1" t="n">
        <v>43580</v>
      </c>
      <c r="C105" s="1" t="n">
        <v>45473</v>
      </c>
      <c r="D105" t="inlineStr">
        <is>
          <t>SÖDERMANLANDS LÄN</t>
        </is>
      </c>
      <c r="E105" t="inlineStr">
        <is>
          <t>ESKILSTUNA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21472-2019</t>
        </is>
      </c>
      <c r="B106" s="1" t="n">
        <v>43580</v>
      </c>
      <c r="C106" s="1" t="n">
        <v>45473</v>
      </c>
      <c r="D106" t="inlineStr">
        <is>
          <t>SÖDERMANLANDS LÄN</t>
        </is>
      </c>
      <c r="E106" t="inlineStr">
        <is>
          <t>ESKILSTUNA</t>
        </is>
      </c>
      <c r="F106" t="inlineStr">
        <is>
          <t>Kyrkan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22217-2019</t>
        </is>
      </c>
      <c r="B107" s="1" t="n">
        <v>43585</v>
      </c>
      <c r="C107" s="1" t="n">
        <v>45473</v>
      </c>
      <c r="D107" t="inlineStr">
        <is>
          <t>SÖDERMANLANDS LÄN</t>
        </is>
      </c>
      <c r="E107" t="inlineStr">
        <is>
          <t>ESKILSTUNA</t>
        </is>
      </c>
      <c r="F107" t="inlineStr">
        <is>
          <t>Sveaskog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23769-2019</t>
        </is>
      </c>
      <c r="B108" s="1" t="n">
        <v>43595</v>
      </c>
      <c r="C108" s="1" t="n">
        <v>45473</v>
      </c>
      <c r="D108" t="inlineStr">
        <is>
          <t>SÖDERMANLANDS LÄN</t>
        </is>
      </c>
      <c r="E108" t="inlineStr">
        <is>
          <t>ESKILSTUNA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27151-2019</t>
        </is>
      </c>
      <c r="B109" s="1" t="n">
        <v>43614</v>
      </c>
      <c r="C109" s="1" t="n">
        <v>45473</v>
      </c>
      <c r="D109" t="inlineStr">
        <is>
          <t>SÖDERMANLANDS LÄN</t>
        </is>
      </c>
      <c r="E109" t="inlineStr">
        <is>
          <t>ESKILSTUNA</t>
        </is>
      </c>
      <c r="F109" t="inlineStr">
        <is>
          <t>Allmännings- och besparingsskogar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27620-2019</t>
        </is>
      </c>
      <c r="B110" s="1" t="n">
        <v>43619</v>
      </c>
      <c r="C110" s="1" t="n">
        <v>45473</v>
      </c>
      <c r="D110" t="inlineStr">
        <is>
          <t>SÖDERMANLANDS LÄN</t>
        </is>
      </c>
      <c r="E110" t="inlineStr">
        <is>
          <t>ESKILSTUNA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29084-2019</t>
        </is>
      </c>
      <c r="B111" s="1" t="n">
        <v>43628</v>
      </c>
      <c r="C111" s="1" t="n">
        <v>45473</v>
      </c>
      <c r="D111" t="inlineStr">
        <is>
          <t>SÖDERMANLANDS LÄN</t>
        </is>
      </c>
      <c r="E111" t="inlineStr">
        <is>
          <t>ESKILSTUNA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29449-2019</t>
        </is>
      </c>
      <c r="B112" s="1" t="n">
        <v>43629</v>
      </c>
      <c r="C112" s="1" t="n">
        <v>45473</v>
      </c>
      <c r="D112" t="inlineStr">
        <is>
          <t>SÖDERMANLANDS LÄN</t>
        </is>
      </c>
      <c r="E112" t="inlineStr">
        <is>
          <t>ESKILSTUNA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29235-2019</t>
        </is>
      </c>
      <c r="B113" s="1" t="n">
        <v>43629</v>
      </c>
      <c r="C113" s="1" t="n">
        <v>45473</v>
      </c>
      <c r="D113" t="inlineStr">
        <is>
          <t>SÖDERMANLANDS LÄN</t>
        </is>
      </c>
      <c r="E113" t="inlineStr">
        <is>
          <t>ESKILSTUNA</t>
        </is>
      </c>
      <c r="F113" t="inlineStr">
        <is>
          <t>Sveaskog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31492-2019</t>
        </is>
      </c>
      <c r="B114" s="1" t="n">
        <v>43640</v>
      </c>
      <c r="C114" s="1" t="n">
        <v>45473</v>
      </c>
      <c r="D114" t="inlineStr">
        <is>
          <t>SÖDERMANLANDS LÄN</t>
        </is>
      </c>
      <c r="E114" t="inlineStr">
        <is>
          <t>ESKILSTUNA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32047-2019</t>
        </is>
      </c>
      <c r="B115" s="1" t="n">
        <v>43643</v>
      </c>
      <c r="C115" s="1" t="n">
        <v>45473</v>
      </c>
      <c r="D115" t="inlineStr">
        <is>
          <t>SÖDERMANLANDS LÄN</t>
        </is>
      </c>
      <c r="E115" t="inlineStr">
        <is>
          <t>ESKILSTUNA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33489-2019</t>
        </is>
      </c>
      <c r="B116" s="1" t="n">
        <v>43651</v>
      </c>
      <c r="C116" s="1" t="n">
        <v>45473</v>
      </c>
      <c r="D116" t="inlineStr">
        <is>
          <t>SÖDERMANLANDS LÄN</t>
        </is>
      </c>
      <c r="E116" t="inlineStr">
        <is>
          <t>ESKILSTUNA</t>
        </is>
      </c>
      <c r="F116" t="inlineStr">
        <is>
          <t>Allmännings- och besparingsskogar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33490-2019</t>
        </is>
      </c>
      <c r="B117" s="1" t="n">
        <v>43651</v>
      </c>
      <c r="C117" s="1" t="n">
        <v>45473</v>
      </c>
      <c r="D117" t="inlineStr">
        <is>
          <t>SÖDERMANLANDS LÄN</t>
        </is>
      </c>
      <c r="E117" t="inlineStr">
        <is>
          <t>ESKILSTUNA</t>
        </is>
      </c>
      <c r="F117" t="inlineStr">
        <is>
          <t>Allmännings- och besparingsskogar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35864-2019</t>
        </is>
      </c>
      <c r="B118" s="1" t="n">
        <v>43656</v>
      </c>
      <c r="C118" s="1" t="n">
        <v>45473</v>
      </c>
      <c r="D118" t="inlineStr">
        <is>
          <t>SÖDERMANLANDS LÄN</t>
        </is>
      </c>
      <c r="E118" t="inlineStr">
        <is>
          <t>ESKILSTUNA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35293-2019</t>
        </is>
      </c>
      <c r="B119" s="1" t="n">
        <v>43662</v>
      </c>
      <c r="C119" s="1" t="n">
        <v>45473</v>
      </c>
      <c r="D119" t="inlineStr">
        <is>
          <t>SÖDERMANLANDS LÄN</t>
        </is>
      </c>
      <c r="E119" t="inlineStr">
        <is>
          <t>ESKILSTUNA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36478-2019</t>
        </is>
      </c>
      <c r="B120" s="1" t="n">
        <v>43664</v>
      </c>
      <c r="C120" s="1" t="n">
        <v>45473</v>
      </c>
      <c r="D120" t="inlineStr">
        <is>
          <t>SÖDERMANLANDS LÄN</t>
        </is>
      </c>
      <c r="E120" t="inlineStr">
        <is>
          <t>ESKILSTUNA</t>
        </is>
      </c>
      <c r="G120" t="n">
        <v>16.6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35982-2019</t>
        </is>
      </c>
      <c r="B121" s="1" t="n">
        <v>43667</v>
      </c>
      <c r="C121" s="1" t="n">
        <v>45473</v>
      </c>
      <c r="D121" t="inlineStr">
        <is>
          <t>SÖDERMANLANDS LÄN</t>
        </is>
      </c>
      <c r="E121" t="inlineStr">
        <is>
          <t>ESKILSTUNA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35985-2019</t>
        </is>
      </c>
      <c r="B122" s="1" t="n">
        <v>43667</v>
      </c>
      <c r="C122" s="1" t="n">
        <v>45473</v>
      </c>
      <c r="D122" t="inlineStr">
        <is>
          <t>SÖDERMANLANDS LÄN</t>
        </is>
      </c>
      <c r="E122" t="inlineStr">
        <is>
          <t>ESKILSTUNA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37255-2019</t>
        </is>
      </c>
      <c r="B123" s="1" t="n">
        <v>43677</v>
      </c>
      <c r="C123" s="1" t="n">
        <v>45473</v>
      </c>
      <c r="D123" t="inlineStr">
        <is>
          <t>SÖDERMANLANDS LÄN</t>
        </is>
      </c>
      <c r="E123" t="inlineStr">
        <is>
          <t>ESKILSTUNA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37504-2019</t>
        </is>
      </c>
      <c r="B124" s="1" t="n">
        <v>43678</v>
      </c>
      <c r="C124" s="1" t="n">
        <v>45473</v>
      </c>
      <c r="D124" t="inlineStr">
        <is>
          <t>SÖDERMANLANDS LÄN</t>
        </is>
      </c>
      <c r="E124" t="inlineStr">
        <is>
          <t>ESKILSTUNA</t>
        </is>
      </c>
      <c r="G124" t="n">
        <v>6.1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37627-2019</t>
        </is>
      </c>
      <c r="B125" s="1" t="n">
        <v>43679</v>
      </c>
      <c r="C125" s="1" t="n">
        <v>45473</v>
      </c>
      <c r="D125" t="inlineStr">
        <is>
          <t>SÖDERMANLANDS LÄN</t>
        </is>
      </c>
      <c r="E125" t="inlineStr">
        <is>
          <t>ESKILSTUNA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38107-2019</t>
        </is>
      </c>
      <c r="B126" s="1" t="n">
        <v>43683</v>
      </c>
      <c r="C126" s="1" t="n">
        <v>45473</v>
      </c>
      <c r="D126" t="inlineStr">
        <is>
          <t>SÖDERMANLANDS LÄN</t>
        </is>
      </c>
      <c r="E126" t="inlineStr">
        <is>
          <t>ESKILSTUNA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38177-2019</t>
        </is>
      </c>
      <c r="B127" s="1" t="n">
        <v>43683</v>
      </c>
      <c r="C127" s="1" t="n">
        <v>45473</v>
      </c>
      <c r="D127" t="inlineStr">
        <is>
          <t>SÖDERMANLANDS LÄN</t>
        </is>
      </c>
      <c r="E127" t="inlineStr">
        <is>
          <t>ESKILSTUNA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38008-2019</t>
        </is>
      </c>
      <c r="B128" s="1" t="n">
        <v>43683</v>
      </c>
      <c r="C128" s="1" t="n">
        <v>45473</v>
      </c>
      <c r="D128" t="inlineStr">
        <is>
          <t>SÖDERMANLANDS LÄN</t>
        </is>
      </c>
      <c r="E128" t="inlineStr">
        <is>
          <t>ESKILSTUNA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38213-2019</t>
        </is>
      </c>
      <c r="B129" s="1" t="n">
        <v>43684</v>
      </c>
      <c r="C129" s="1" t="n">
        <v>45473</v>
      </c>
      <c r="D129" t="inlineStr">
        <is>
          <t>SÖDERMANLANDS LÄN</t>
        </is>
      </c>
      <c r="E129" t="inlineStr">
        <is>
          <t>ESKILSTUNA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38217-2019</t>
        </is>
      </c>
      <c r="B130" s="1" t="n">
        <v>43684</v>
      </c>
      <c r="C130" s="1" t="n">
        <v>45473</v>
      </c>
      <c r="D130" t="inlineStr">
        <is>
          <t>SÖDERMANLANDS LÄN</t>
        </is>
      </c>
      <c r="E130" t="inlineStr">
        <is>
          <t>ESKILSTUNA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38303-2019</t>
        </is>
      </c>
      <c r="B131" s="1" t="n">
        <v>43684</v>
      </c>
      <c r="C131" s="1" t="n">
        <v>45473</v>
      </c>
      <c r="D131" t="inlineStr">
        <is>
          <t>SÖDERMANLANDS LÄN</t>
        </is>
      </c>
      <c r="E131" t="inlineStr">
        <is>
          <t>ESKILSTUNA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38589-2019</t>
        </is>
      </c>
      <c r="B132" s="1" t="n">
        <v>43684</v>
      </c>
      <c r="C132" s="1" t="n">
        <v>45473</v>
      </c>
      <c r="D132" t="inlineStr">
        <is>
          <t>SÖDERMANLANDS LÄN</t>
        </is>
      </c>
      <c r="E132" t="inlineStr">
        <is>
          <t>ESKILSTUNA</t>
        </is>
      </c>
      <c r="G132" t="n">
        <v>7.4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38436-2019</t>
        </is>
      </c>
      <c r="B133" s="1" t="n">
        <v>43685</v>
      </c>
      <c r="C133" s="1" t="n">
        <v>45473</v>
      </c>
      <c r="D133" t="inlineStr">
        <is>
          <t>SÖDERMANLANDS LÄN</t>
        </is>
      </c>
      <c r="E133" t="inlineStr">
        <is>
          <t>ESKILSTUNA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39219-2019</t>
        </is>
      </c>
      <c r="B134" s="1" t="n">
        <v>43690</v>
      </c>
      <c r="C134" s="1" t="n">
        <v>45473</v>
      </c>
      <c r="D134" t="inlineStr">
        <is>
          <t>SÖDERMANLANDS LÄN</t>
        </is>
      </c>
      <c r="E134" t="inlineStr">
        <is>
          <t>ESKILSTUNA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39942-2019</t>
        </is>
      </c>
      <c r="B135" s="1" t="n">
        <v>43690</v>
      </c>
      <c r="C135" s="1" t="n">
        <v>45473</v>
      </c>
      <c r="D135" t="inlineStr">
        <is>
          <t>SÖDERMANLANDS LÄN</t>
        </is>
      </c>
      <c r="E135" t="inlineStr">
        <is>
          <t>ESKILSTUNA</t>
        </is>
      </c>
      <c r="G135" t="n">
        <v>6.2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40020-2019</t>
        </is>
      </c>
      <c r="B136" s="1" t="n">
        <v>43693</v>
      </c>
      <c r="C136" s="1" t="n">
        <v>45473</v>
      </c>
      <c r="D136" t="inlineStr">
        <is>
          <t>SÖDERMANLANDS LÄN</t>
        </is>
      </c>
      <c r="E136" t="inlineStr">
        <is>
          <t>ESKILSTUNA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40017-2019</t>
        </is>
      </c>
      <c r="B137" s="1" t="n">
        <v>43693</v>
      </c>
      <c r="C137" s="1" t="n">
        <v>45473</v>
      </c>
      <c r="D137" t="inlineStr">
        <is>
          <t>SÖDERMANLANDS LÄN</t>
        </is>
      </c>
      <c r="E137" t="inlineStr">
        <is>
          <t>ESKILSTUNA</t>
        </is>
      </c>
      <c r="G137" t="n">
        <v>6.9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40552-2019</t>
        </is>
      </c>
      <c r="B138" s="1" t="n">
        <v>43696</v>
      </c>
      <c r="C138" s="1" t="n">
        <v>45473</v>
      </c>
      <c r="D138" t="inlineStr">
        <is>
          <t>SÖDERMANLANDS LÄN</t>
        </is>
      </c>
      <c r="E138" t="inlineStr">
        <is>
          <t>ESKILSTUNA</t>
        </is>
      </c>
      <c r="G138" t="n">
        <v>6.8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41476-2019</t>
        </is>
      </c>
      <c r="B139" s="1" t="n">
        <v>43696</v>
      </c>
      <c r="C139" s="1" t="n">
        <v>45473</v>
      </c>
      <c r="D139" t="inlineStr">
        <is>
          <t>SÖDERMANLANDS LÄN</t>
        </is>
      </c>
      <c r="E139" t="inlineStr">
        <is>
          <t>ESKILSTUNA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41481-2019</t>
        </is>
      </c>
      <c r="B140" s="1" t="n">
        <v>43696</v>
      </c>
      <c r="C140" s="1" t="n">
        <v>45473</v>
      </c>
      <c r="D140" t="inlineStr">
        <is>
          <t>SÖDERMANLANDS LÄN</t>
        </is>
      </c>
      <c r="E140" t="inlineStr">
        <is>
          <t>ESKILSTUNA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41442-2019</t>
        </is>
      </c>
      <c r="B141" s="1" t="n">
        <v>43698</v>
      </c>
      <c r="C141" s="1" t="n">
        <v>45473</v>
      </c>
      <c r="D141" t="inlineStr">
        <is>
          <t>SÖDERMANLANDS LÄN</t>
        </is>
      </c>
      <c r="E141" t="inlineStr">
        <is>
          <t>ESKILSTUNA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42056-2019</t>
        </is>
      </c>
      <c r="B142" s="1" t="n">
        <v>43700</v>
      </c>
      <c r="C142" s="1" t="n">
        <v>45473</v>
      </c>
      <c r="D142" t="inlineStr">
        <is>
          <t>SÖDERMANLANDS LÄN</t>
        </is>
      </c>
      <c r="E142" t="inlineStr">
        <is>
          <t>ESKILSTUNA</t>
        </is>
      </c>
      <c r="G142" t="n">
        <v>7.4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44364-2019</t>
        </is>
      </c>
      <c r="B143" s="1" t="n">
        <v>43705</v>
      </c>
      <c r="C143" s="1" t="n">
        <v>45473</v>
      </c>
      <c r="D143" t="inlineStr">
        <is>
          <t>SÖDERMANLANDS LÄN</t>
        </is>
      </c>
      <c r="E143" t="inlineStr">
        <is>
          <t>ESKILSTUNA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43312-2019</t>
        </is>
      </c>
      <c r="B144" s="1" t="n">
        <v>43706</v>
      </c>
      <c r="C144" s="1" t="n">
        <v>45473</v>
      </c>
      <c r="D144" t="inlineStr">
        <is>
          <t>SÖDERMANLANDS LÄN</t>
        </is>
      </c>
      <c r="E144" t="inlineStr">
        <is>
          <t>ESKILSTUNA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43301-2019</t>
        </is>
      </c>
      <c r="B145" s="1" t="n">
        <v>43706</v>
      </c>
      <c r="C145" s="1" t="n">
        <v>45473</v>
      </c>
      <c r="D145" t="inlineStr">
        <is>
          <t>SÖDERMANLANDS LÄN</t>
        </is>
      </c>
      <c r="E145" t="inlineStr">
        <is>
          <t>ESKILSTUNA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44742-2019</t>
        </is>
      </c>
      <c r="B146" s="1" t="n">
        <v>43712</v>
      </c>
      <c r="C146" s="1" t="n">
        <v>45473</v>
      </c>
      <c r="D146" t="inlineStr">
        <is>
          <t>SÖDERMANLANDS LÄN</t>
        </is>
      </c>
      <c r="E146" t="inlineStr">
        <is>
          <t>ESKILSTUNA</t>
        </is>
      </c>
      <c r="G146" t="n">
        <v>6.3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44698-2019</t>
        </is>
      </c>
      <c r="B147" s="1" t="n">
        <v>43712</v>
      </c>
      <c r="C147" s="1" t="n">
        <v>45473</v>
      </c>
      <c r="D147" t="inlineStr">
        <is>
          <t>SÖDERMANLANDS LÄN</t>
        </is>
      </c>
      <c r="E147" t="inlineStr">
        <is>
          <t>ESKILSTUNA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45181-2019</t>
        </is>
      </c>
      <c r="B148" s="1" t="n">
        <v>43713</v>
      </c>
      <c r="C148" s="1" t="n">
        <v>45473</v>
      </c>
      <c r="D148" t="inlineStr">
        <is>
          <t>SÖDERMANLANDS LÄN</t>
        </is>
      </c>
      <c r="E148" t="inlineStr">
        <is>
          <t>ESKILSTUNA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45988-2019</t>
        </is>
      </c>
      <c r="B149" s="1" t="n">
        <v>43718</v>
      </c>
      <c r="C149" s="1" t="n">
        <v>45473</v>
      </c>
      <c r="D149" t="inlineStr">
        <is>
          <t>SÖDERMANLANDS LÄN</t>
        </is>
      </c>
      <c r="E149" t="inlineStr">
        <is>
          <t>ESKILSTUNA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47280-2019</t>
        </is>
      </c>
      <c r="B150" s="1" t="n">
        <v>43721</v>
      </c>
      <c r="C150" s="1" t="n">
        <v>45473</v>
      </c>
      <c r="D150" t="inlineStr">
        <is>
          <t>SÖDERMANLANDS LÄN</t>
        </is>
      </c>
      <c r="E150" t="inlineStr">
        <is>
          <t>ESKILSTUNA</t>
        </is>
      </c>
      <c r="G150" t="n">
        <v>18.1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48943-2019</t>
        </is>
      </c>
      <c r="B151" s="1" t="n">
        <v>43728</v>
      </c>
      <c r="C151" s="1" t="n">
        <v>45473</v>
      </c>
      <c r="D151" t="inlineStr">
        <is>
          <t>SÖDERMANLANDS LÄN</t>
        </is>
      </c>
      <c r="E151" t="inlineStr">
        <is>
          <t>ESKILSTUNA</t>
        </is>
      </c>
      <c r="F151" t="inlineStr">
        <is>
          <t>Naturvårdsverket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49628-2019</t>
        </is>
      </c>
      <c r="B152" s="1" t="n">
        <v>43732</v>
      </c>
      <c r="C152" s="1" t="n">
        <v>45473</v>
      </c>
      <c r="D152" t="inlineStr">
        <is>
          <t>SÖDERMANLANDS LÄN</t>
        </is>
      </c>
      <c r="E152" t="inlineStr">
        <is>
          <t>ESKILSTUNA</t>
        </is>
      </c>
      <c r="G152" t="n">
        <v>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49630-2019</t>
        </is>
      </c>
      <c r="B153" s="1" t="n">
        <v>43732</v>
      </c>
      <c r="C153" s="1" t="n">
        <v>45473</v>
      </c>
      <c r="D153" t="inlineStr">
        <is>
          <t>SÖDERMANLANDS LÄN</t>
        </is>
      </c>
      <c r="E153" t="inlineStr">
        <is>
          <t>ESKILSTUNA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51608-2019</t>
        </is>
      </c>
      <c r="B154" s="1" t="n">
        <v>43733</v>
      </c>
      <c r="C154" s="1" t="n">
        <v>45473</v>
      </c>
      <c r="D154" t="inlineStr">
        <is>
          <t>SÖDERMANLANDS LÄN</t>
        </is>
      </c>
      <c r="E154" t="inlineStr">
        <is>
          <t>ESKILSTUNA</t>
        </is>
      </c>
      <c r="G154" t="n">
        <v>8.699999999999999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50339-2019</t>
        </is>
      </c>
      <c r="B155" s="1" t="n">
        <v>43735</v>
      </c>
      <c r="C155" s="1" t="n">
        <v>45473</v>
      </c>
      <c r="D155" t="inlineStr">
        <is>
          <t>SÖDERMANLANDS LÄN</t>
        </is>
      </c>
      <c r="E155" t="inlineStr">
        <is>
          <t>ESKILSTUNA</t>
        </is>
      </c>
      <c r="F155" t="inlineStr">
        <is>
          <t>Allmännings- och besparingsskogar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50951-2019</t>
        </is>
      </c>
      <c r="B156" s="1" t="n">
        <v>43738</v>
      </c>
      <c r="C156" s="1" t="n">
        <v>45473</v>
      </c>
      <c r="D156" t="inlineStr">
        <is>
          <t>SÖDERMANLANDS LÄN</t>
        </is>
      </c>
      <c r="E156" t="inlineStr">
        <is>
          <t>ESKILSTUNA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51292-2019</t>
        </is>
      </c>
      <c r="B157" s="1" t="n">
        <v>43739</v>
      </c>
      <c r="C157" s="1" t="n">
        <v>45473</v>
      </c>
      <c r="D157" t="inlineStr">
        <is>
          <t>SÖDERMANLANDS LÄN</t>
        </is>
      </c>
      <c r="E157" t="inlineStr">
        <is>
          <t>ESKILSTUNA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51648-2019</t>
        </is>
      </c>
      <c r="B158" s="1" t="n">
        <v>43740</v>
      </c>
      <c r="C158" s="1" t="n">
        <v>45473</v>
      </c>
      <c r="D158" t="inlineStr">
        <is>
          <t>SÖDERMANLANDS LÄN</t>
        </is>
      </c>
      <c r="E158" t="inlineStr">
        <is>
          <t>ESKILSTUNA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52717-2019</t>
        </is>
      </c>
      <c r="B159" s="1" t="n">
        <v>43746</v>
      </c>
      <c r="C159" s="1" t="n">
        <v>45473</v>
      </c>
      <c r="D159" t="inlineStr">
        <is>
          <t>SÖDERMANLANDS LÄN</t>
        </is>
      </c>
      <c r="E159" t="inlineStr">
        <is>
          <t>ESKILSTUNA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52720-2019</t>
        </is>
      </c>
      <c r="B160" s="1" t="n">
        <v>43746</v>
      </c>
      <c r="C160" s="1" t="n">
        <v>45473</v>
      </c>
      <c r="D160" t="inlineStr">
        <is>
          <t>SÖDERMANLANDS LÄN</t>
        </is>
      </c>
      <c r="E160" t="inlineStr">
        <is>
          <t>ESKILSTUNA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53876-2019</t>
        </is>
      </c>
      <c r="B161" s="1" t="n">
        <v>43752</v>
      </c>
      <c r="C161" s="1" t="n">
        <v>45473</v>
      </c>
      <c r="D161" t="inlineStr">
        <is>
          <t>SÖDERMANLANDS LÄN</t>
        </is>
      </c>
      <c r="E161" t="inlineStr">
        <is>
          <t>ESKILSTUNA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53872-2019</t>
        </is>
      </c>
      <c r="B162" s="1" t="n">
        <v>43752</v>
      </c>
      <c r="C162" s="1" t="n">
        <v>45473</v>
      </c>
      <c r="D162" t="inlineStr">
        <is>
          <t>SÖDERMANLANDS LÄN</t>
        </is>
      </c>
      <c r="E162" t="inlineStr">
        <is>
          <t>ESKILSTUNA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54527-2019</t>
        </is>
      </c>
      <c r="B163" s="1" t="n">
        <v>43754</v>
      </c>
      <c r="C163" s="1" t="n">
        <v>45473</v>
      </c>
      <c r="D163" t="inlineStr">
        <is>
          <t>SÖDERMANLANDS LÄN</t>
        </is>
      </c>
      <c r="E163" t="inlineStr">
        <is>
          <t>ESKILSTUNA</t>
        </is>
      </c>
      <c r="F163" t="inlineStr">
        <is>
          <t>Allmännings- och besparingsskogar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56435-2019</t>
        </is>
      </c>
      <c r="B164" s="1" t="n">
        <v>43756</v>
      </c>
      <c r="C164" s="1" t="n">
        <v>45473</v>
      </c>
      <c r="D164" t="inlineStr">
        <is>
          <t>SÖDERMANLANDS LÄN</t>
        </is>
      </c>
      <c r="E164" t="inlineStr">
        <is>
          <t>ESKILSTUNA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56260-2019</t>
        </is>
      </c>
      <c r="B165" s="1" t="n">
        <v>43762</v>
      </c>
      <c r="C165" s="1" t="n">
        <v>45473</v>
      </c>
      <c r="D165" t="inlineStr">
        <is>
          <t>SÖDERMANLANDS LÄN</t>
        </is>
      </c>
      <c r="E165" t="inlineStr">
        <is>
          <t>ESKILSTUNA</t>
        </is>
      </c>
      <c r="G165" t="n">
        <v>8.6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56658-2019</t>
        </is>
      </c>
      <c r="B166" s="1" t="n">
        <v>43763</v>
      </c>
      <c r="C166" s="1" t="n">
        <v>45473</v>
      </c>
      <c r="D166" t="inlineStr">
        <is>
          <t>SÖDERMANLANDS LÄN</t>
        </is>
      </c>
      <c r="E166" t="inlineStr">
        <is>
          <t>ESKILSTUNA</t>
        </is>
      </c>
      <c r="F166" t="inlineStr">
        <is>
          <t>Allmännings- och besparingsskogar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56745-2019</t>
        </is>
      </c>
      <c r="B167" s="1" t="n">
        <v>43763</v>
      </c>
      <c r="C167" s="1" t="n">
        <v>45473</v>
      </c>
      <c r="D167" t="inlineStr">
        <is>
          <t>SÖDERMANLANDS LÄN</t>
        </is>
      </c>
      <c r="E167" t="inlineStr">
        <is>
          <t>ESKILSTUNA</t>
        </is>
      </c>
      <c r="G167" t="n">
        <v>5.5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56759-2019</t>
        </is>
      </c>
      <c r="B168" s="1" t="n">
        <v>43763</v>
      </c>
      <c r="C168" s="1" t="n">
        <v>45473</v>
      </c>
      <c r="D168" t="inlineStr">
        <is>
          <t>SÖDERMANLANDS LÄN</t>
        </is>
      </c>
      <c r="E168" t="inlineStr">
        <is>
          <t>ESKILSTUNA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57137-2019</t>
        </is>
      </c>
      <c r="B169" s="1" t="n">
        <v>43766</v>
      </c>
      <c r="C169" s="1" t="n">
        <v>45473</v>
      </c>
      <c r="D169" t="inlineStr">
        <is>
          <t>SÖDERMANLANDS LÄN</t>
        </is>
      </c>
      <c r="E169" t="inlineStr">
        <is>
          <t>ESKILSTUNA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57795-2019</t>
        </is>
      </c>
      <c r="B170" s="1" t="n">
        <v>43768</v>
      </c>
      <c r="C170" s="1" t="n">
        <v>45473</v>
      </c>
      <c r="D170" t="inlineStr">
        <is>
          <t>SÖDERMANLANDS LÄN</t>
        </is>
      </c>
      <c r="E170" t="inlineStr">
        <is>
          <t>ESKILSTUNA</t>
        </is>
      </c>
      <c r="F170" t="inlineStr">
        <is>
          <t>Kyrkan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57800-2019</t>
        </is>
      </c>
      <c r="B171" s="1" t="n">
        <v>43768</v>
      </c>
      <c r="C171" s="1" t="n">
        <v>45473</v>
      </c>
      <c r="D171" t="inlineStr">
        <is>
          <t>SÖDERMANLANDS LÄN</t>
        </is>
      </c>
      <c r="E171" t="inlineStr">
        <is>
          <t>ESKILSTUNA</t>
        </is>
      </c>
      <c r="F171" t="inlineStr">
        <is>
          <t>Kyrkan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57992-2019</t>
        </is>
      </c>
      <c r="B172" s="1" t="n">
        <v>43769</v>
      </c>
      <c r="C172" s="1" t="n">
        <v>45473</v>
      </c>
      <c r="D172" t="inlineStr">
        <is>
          <t>SÖDERMANLANDS LÄN</t>
        </is>
      </c>
      <c r="E172" t="inlineStr">
        <is>
          <t>ESKILSTUNA</t>
        </is>
      </c>
      <c r="G172" t="n">
        <v>7.7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58378-2019</t>
        </is>
      </c>
      <c r="B173" s="1" t="n">
        <v>43771</v>
      </c>
      <c r="C173" s="1" t="n">
        <v>45473</v>
      </c>
      <c r="D173" t="inlineStr">
        <is>
          <t>SÖDERMANLANDS LÄN</t>
        </is>
      </c>
      <c r="E173" t="inlineStr">
        <is>
          <t>ESKILSTUNA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59547-2019</t>
        </is>
      </c>
      <c r="B174" s="1" t="n">
        <v>43776</v>
      </c>
      <c r="C174" s="1" t="n">
        <v>45473</v>
      </c>
      <c r="D174" t="inlineStr">
        <is>
          <t>SÖDERMANLANDS LÄN</t>
        </is>
      </c>
      <c r="E174" t="inlineStr">
        <is>
          <t>ESKILSTUNA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59529-2019</t>
        </is>
      </c>
      <c r="B175" s="1" t="n">
        <v>43776</v>
      </c>
      <c r="C175" s="1" t="n">
        <v>45473</v>
      </c>
      <c r="D175" t="inlineStr">
        <is>
          <t>SÖDERMANLANDS LÄN</t>
        </is>
      </c>
      <c r="E175" t="inlineStr">
        <is>
          <t>ESKILSTUNA</t>
        </is>
      </c>
      <c r="G175" t="n">
        <v>7.4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60731-2019</t>
        </is>
      </c>
      <c r="B176" s="1" t="n">
        <v>43781</v>
      </c>
      <c r="C176" s="1" t="n">
        <v>45473</v>
      </c>
      <c r="D176" t="inlineStr">
        <is>
          <t>SÖDERMANLANDS LÄN</t>
        </is>
      </c>
      <c r="E176" t="inlineStr">
        <is>
          <t>ESKILSTUNA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60860-2019</t>
        </is>
      </c>
      <c r="B177" s="1" t="n">
        <v>43781</v>
      </c>
      <c r="C177" s="1" t="n">
        <v>45473</v>
      </c>
      <c r="D177" t="inlineStr">
        <is>
          <t>SÖDERMANLANDS LÄN</t>
        </is>
      </c>
      <c r="E177" t="inlineStr">
        <is>
          <t>ESKILSTUNA</t>
        </is>
      </c>
      <c r="F177" t="inlineStr">
        <is>
          <t>Allmännings- och besparingsskogar</t>
        </is>
      </c>
      <c r="G177" t="n">
        <v>17.5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60852-2019</t>
        </is>
      </c>
      <c r="B178" s="1" t="n">
        <v>43781</v>
      </c>
      <c r="C178" s="1" t="n">
        <v>45473</v>
      </c>
      <c r="D178" t="inlineStr">
        <is>
          <t>SÖDERMANLANDS LÄN</t>
        </is>
      </c>
      <c r="E178" t="inlineStr">
        <is>
          <t>ESKILSTUNA</t>
        </is>
      </c>
      <c r="F178" t="inlineStr">
        <is>
          <t>Allmännings- och besparingsskogar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61653-2019</t>
        </is>
      </c>
      <c r="B179" s="1" t="n">
        <v>43784</v>
      </c>
      <c r="C179" s="1" t="n">
        <v>45473</v>
      </c>
      <c r="D179" t="inlineStr">
        <is>
          <t>SÖDERMANLANDS LÄN</t>
        </is>
      </c>
      <c r="E179" t="inlineStr">
        <is>
          <t>ESKILSTUNA</t>
        </is>
      </c>
      <c r="G179" t="n">
        <v>5.4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61713-2019</t>
        </is>
      </c>
      <c r="B180" s="1" t="n">
        <v>43784</v>
      </c>
      <c r="C180" s="1" t="n">
        <v>45473</v>
      </c>
      <c r="D180" t="inlineStr">
        <is>
          <t>SÖDERMANLANDS LÄN</t>
        </is>
      </c>
      <c r="E180" t="inlineStr">
        <is>
          <t>ESKILSTUNA</t>
        </is>
      </c>
      <c r="F180" t="inlineStr">
        <is>
          <t>Holmen skog AB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61809-2019</t>
        </is>
      </c>
      <c r="B181" s="1" t="n">
        <v>43786</v>
      </c>
      <c r="C181" s="1" t="n">
        <v>45473</v>
      </c>
      <c r="D181" t="inlineStr">
        <is>
          <t>SÖDERMANLANDS LÄN</t>
        </is>
      </c>
      <c r="E181" t="inlineStr">
        <is>
          <t>ESKILSTUNA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61863-2019</t>
        </is>
      </c>
      <c r="B182" s="1" t="n">
        <v>43787</v>
      </c>
      <c r="C182" s="1" t="n">
        <v>45473</v>
      </c>
      <c r="D182" t="inlineStr">
        <is>
          <t>SÖDERMANLANDS LÄN</t>
        </is>
      </c>
      <c r="E182" t="inlineStr">
        <is>
          <t>ESKILSTUNA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61980-2019</t>
        </is>
      </c>
      <c r="B183" s="1" t="n">
        <v>43787</v>
      </c>
      <c r="C183" s="1" t="n">
        <v>45473</v>
      </c>
      <c r="D183" t="inlineStr">
        <is>
          <t>SÖDERMANLANDS LÄN</t>
        </is>
      </c>
      <c r="E183" t="inlineStr">
        <is>
          <t>ESKILSTUNA</t>
        </is>
      </c>
      <c r="G183" t="n">
        <v>8.300000000000001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62271-2019</t>
        </is>
      </c>
      <c r="B184" s="1" t="n">
        <v>43788</v>
      </c>
      <c r="C184" s="1" t="n">
        <v>45473</v>
      </c>
      <c r="D184" t="inlineStr">
        <is>
          <t>SÖDERMANLANDS LÄN</t>
        </is>
      </c>
      <c r="E184" t="inlineStr">
        <is>
          <t>ESKILSTUNA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62257-2019</t>
        </is>
      </c>
      <c r="B185" s="1" t="n">
        <v>43788</v>
      </c>
      <c r="C185" s="1" t="n">
        <v>45473</v>
      </c>
      <c r="D185" t="inlineStr">
        <is>
          <t>SÖDERMANLANDS LÄN</t>
        </is>
      </c>
      <c r="E185" t="inlineStr">
        <is>
          <t>ESKILSTUNA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62315-2019</t>
        </is>
      </c>
      <c r="B186" s="1" t="n">
        <v>43788</v>
      </c>
      <c r="C186" s="1" t="n">
        <v>45473</v>
      </c>
      <c r="D186" t="inlineStr">
        <is>
          <t>SÖDERMANLANDS LÄN</t>
        </is>
      </c>
      <c r="E186" t="inlineStr">
        <is>
          <t>ESKILSTUNA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62471-2019</t>
        </is>
      </c>
      <c r="B187" s="1" t="n">
        <v>43788</v>
      </c>
      <c r="C187" s="1" t="n">
        <v>45473</v>
      </c>
      <c r="D187" t="inlineStr">
        <is>
          <t>SÖDERMANLANDS LÄN</t>
        </is>
      </c>
      <c r="E187" t="inlineStr">
        <is>
          <t>ESKILSTUNA</t>
        </is>
      </c>
      <c r="G187" t="n">
        <v>11.7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62510-2019</t>
        </is>
      </c>
      <c r="B188" s="1" t="n">
        <v>43788</v>
      </c>
      <c r="C188" s="1" t="n">
        <v>45473</v>
      </c>
      <c r="D188" t="inlineStr">
        <is>
          <t>SÖDERMANLANDS LÄN</t>
        </is>
      </c>
      <c r="E188" t="inlineStr">
        <is>
          <t>ESKILSTUNA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62467-2019</t>
        </is>
      </c>
      <c r="B189" s="1" t="n">
        <v>43788</v>
      </c>
      <c r="C189" s="1" t="n">
        <v>45473</v>
      </c>
      <c r="D189" t="inlineStr">
        <is>
          <t>SÖDERMANLANDS LÄN</t>
        </is>
      </c>
      <c r="E189" t="inlineStr">
        <is>
          <t>ESKILSTUNA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62469-2019</t>
        </is>
      </c>
      <c r="B190" s="1" t="n">
        <v>43788</v>
      </c>
      <c r="C190" s="1" t="n">
        <v>45473</v>
      </c>
      <c r="D190" t="inlineStr">
        <is>
          <t>SÖDERMANLANDS LÄN</t>
        </is>
      </c>
      <c r="E190" t="inlineStr">
        <is>
          <t>ESKILSTUNA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62676-2019</t>
        </is>
      </c>
      <c r="B191" s="1" t="n">
        <v>43789</v>
      </c>
      <c r="C191" s="1" t="n">
        <v>45473</v>
      </c>
      <c r="D191" t="inlineStr">
        <is>
          <t>SÖDERMANLANDS LÄN</t>
        </is>
      </c>
      <c r="E191" t="inlineStr">
        <is>
          <t>ESKILSTUNA</t>
        </is>
      </c>
      <c r="G191" t="n">
        <v>6.4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62977-2019</t>
        </is>
      </c>
      <c r="B192" s="1" t="n">
        <v>43790</v>
      </c>
      <c r="C192" s="1" t="n">
        <v>45473</v>
      </c>
      <c r="D192" t="inlineStr">
        <is>
          <t>SÖDERMANLANDS LÄN</t>
        </is>
      </c>
      <c r="E192" t="inlineStr">
        <is>
          <t>ESKILSTUNA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62982-2019</t>
        </is>
      </c>
      <c r="B193" s="1" t="n">
        <v>43790</v>
      </c>
      <c r="C193" s="1" t="n">
        <v>45473</v>
      </c>
      <c r="D193" t="inlineStr">
        <is>
          <t>SÖDERMANLANDS LÄN</t>
        </is>
      </c>
      <c r="E193" t="inlineStr">
        <is>
          <t>ESKILSTUNA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63001-2019</t>
        </is>
      </c>
      <c r="B194" s="1" t="n">
        <v>43790</v>
      </c>
      <c r="C194" s="1" t="n">
        <v>45473</v>
      </c>
      <c r="D194" t="inlineStr">
        <is>
          <t>SÖDERMANLANDS LÄN</t>
        </is>
      </c>
      <c r="E194" t="inlineStr">
        <is>
          <t>ESKILSTUNA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62995-2019</t>
        </is>
      </c>
      <c r="B195" s="1" t="n">
        <v>43790</v>
      </c>
      <c r="C195" s="1" t="n">
        <v>45473</v>
      </c>
      <c r="D195" t="inlineStr">
        <is>
          <t>SÖDERMANLANDS LÄN</t>
        </is>
      </c>
      <c r="E195" t="inlineStr">
        <is>
          <t>ESKILSTUNA</t>
        </is>
      </c>
      <c r="G195" t="n">
        <v>6.7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63120-2019</t>
        </is>
      </c>
      <c r="B196" s="1" t="n">
        <v>43791</v>
      </c>
      <c r="C196" s="1" t="n">
        <v>45473</v>
      </c>
      <c r="D196" t="inlineStr">
        <is>
          <t>SÖDERMANLANDS LÄN</t>
        </is>
      </c>
      <c r="E196" t="inlineStr">
        <is>
          <t>ESKILSTUNA</t>
        </is>
      </c>
      <c r="G196" t="n">
        <v>8.699999999999999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63566-2019</t>
        </is>
      </c>
      <c r="B197" s="1" t="n">
        <v>43795</v>
      </c>
      <c r="C197" s="1" t="n">
        <v>45473</v>
      </c>
      <c r="D197" t="inlineStr">
        <is>
          <t>SÖDERMANLANDS LÄN</t>
        </is>
      </c>
      <c r="E197" t="inlineStr">
        <is>
          <t>ESKILSTUNA</t>
        </is>
      </c>
      <c r="F197" t="inlineStr">
        <is>
          <t>Allmännings- och besparingsskogar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63580-2019</t>
        </is>
      </c>
      <c r="B198" s="1" t="n">
        <v>43795</v>
      </c>
      <c r="C198" s="1" t="n">
        <v>45473</v>
      </c>
      <c r="D198" t="inlineStr">
        <is>
          <t>SÖDERMANLANDS LÄN</t>
        </is>
      </c>
      <c r="E198" t="inlineStr">
        <is>
          <t>ESKILSTUNA</t>
        </is>
      </c>
      <c r="F198" t="inlineStr">
        <is>
          <t>Allmännings- och besparingsskogar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63575-2019</t>
        </is>
      </c>
      <c r="B199" s="1" t="n">
        <v>43795</v>
      </c>
      <c r="C199" s="1" t="n">
        <v>45473</v>
      </c>
      <c r="D199" t="inlineStr">
        <is>
          <t>SÖDERMANLANDS LÄN</t>
        </is>
      </c>
      <c r="E199" t="inlineStr">
        <is>
          <t>ESKILSTUNA</t>
        </is>
      </c>
      <c r="F199" t="inlineStr">
        <is>
          <t>Allmännings- och besparingsskogar</t>
        </is>
      </c>
      <c r="G199" t="n">
        <v>9.4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63586-2019</t>
        </is>
      </c>
      <c r="B200" s="1" t="n">
        <v>43795</v>
      </c>
      <c r="C200" s="1" t="n">
        <v>45473</v>
      </c>
      <c r="D200" t="inlineStr">
        <is>
          <t>SÖDERMANLANDS LÄN</t>
        </is>
      </c>
      <c r="E200" t="inlineStr">
        <is>
          <t>ESKILSTUNA</t>
        </is>
      </c>
      <c r="F200" t="inlineStr">
        <is>
          <t>Allmännings- och besparingsskogar</t>
        </is>
      </c>
      <c r="G200" t="n">
        <v>9.199999999999999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64222-2019</t>
        </is>
      </c>
      <c r="B201" s="1" t="n">
        <v>43797</v>
      </c>
      <c r="C201" s="1" t="n">
        <v>45473</v>
      </c>
      <c r="D201" t="inlineStr">
        <is>
          <t>SÖDERMANLANDS LÄN</t>
        </is>
      </c>
      <c r="E201" t="inlineStr">
        <is>
          <t>ESKILSTUNA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65523-2019</t>
        </is>
      </c>
      <c r="B202" s="1" t="n">
        <v>43803</v>
      </c>
      <c r="C202" s="1" t="n">
        <v>45473</v>
      </c>
      <c r="D202" t="inlineStr">
        <is>
          <t>SÖDERMANLANDS LÄN</t>
        </is>
      </c>
      <c r="E202" t="inlineStr">
        <is>
          <t>ESKILSTUNA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65657-2019</t>
        </is>
      </c>
      <c r="B203" s="1" t="n">
        <v>43804</v>
      </c>
      <c r="C203" s="1" t="n">
        <v>45473</v>
      </c>
      <c r="D203" t="inlineStr">
        <is>
          <t>SÖDERMANLANDS LÄN</t>
        </is>
      </c>
      <c r="E203" t="inlineStr">
        <is>
          <t>ESKILSTUNA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65747-2019</t>
        </is>
      </c>
      <c r="B204" s="1" t="n">
        <v>43804</v>
      </c>
      <c r="C204" s="1" t="n">
        <v>45473</v>
      </c>
      <c r="D204" t="inlineStr">
        <is>
          <t>SÖDERMANLANDS LÄN</t>
        </is>
      </c>
      <c r="E204" t="inlineStr">
        <is>
          <t>ESKILSTUNA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65766-2019</t>
        </is>
      </c>
      <c r="B205" s="1" t="n">
        <v>43804</v>
      </c>
      <c r="C205" s="1" t="n">
        <v>45473</v>
      </c>
      <c r="D205" t="inlineStr">
        <is>
          <t>SÖDERMANLANDS LÄN</t>
        </is>
      </c>
      <c r="E205" t="inlineStr">
        <is>
          <t>ESKILSTUNA</t>
        </is>
      </c>
      <c r="F205" t="inlineStr">
        <is>
          <t>Kyrkan</t>
        </is>
      </c>
      <c r="G205" t="n">
        <v>14.9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66876-2019</t>
        </is>
      </c>
      <c r="B206" s="1" t="n">
        <v>43804</v>
      </c>
      <c r="C206" s="1" t="n">
        <v>45473</v>
      </c>
      <c r="D206" t="inlineStr">
        <is>
          <t>SÖDERMANLANDS LÄN</t>
        </is>
      </c>
      <c r="E206" t="inlineStr">
        <is>
          <t>ESKILSTUNA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67164-2019</t>
        </is>
      </c>
      <c r="B207" s="1" t="n">
        <v>43804</v>
      </c>
      <c r="C207" s="1" t="n">
        <v>45473</v>
      </c>
      <c r="D207" t="inlineStr">
        <is>
          <t>SÖDERMANLANDS LÄN</t>
        </is>
      </c>
      <c r="E207" t="inlineStr">
        <is>
          <t>ESKILSTUNA</t>
        </is>
      </c>
      <c r="G207" t="n">
        <v>5.6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65961-2019</t>
        </is>
      </c>
      <c r="B208" s="1" t="n">
        <v>43805</v>
      </c>
      <c r="C208" s="1" t="n">
        <v>45473</v>
      </c>
      <c r="D208" t="inlineStr">
        <is>
          <t>SÖDERMANLANDS LÄN</t>
        </is>
      </c>
      <c r="E208" t="inlineStr">
        <is>
          <t>ESKILSTUNA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66901-2019</t>
        </is>
      </c>
      <c r="B209" s="1" t="n">
        <v>43805</v>
      </c>
      <c r="C209" s="1" t="n">
        <v>45473</v>
      </c>
      <c r="D209" t="inlineStr">
        <is>
          <t>SÖDERMANLANDS LÄN</t>
        </is>
      </c>
      <c r="E209" t="inlineStr">
        <is>
          <t>ESKILSTUNA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66285-2019</t>
        </is>
      </c>
      <c r="B210" s="1" t="n">
        <v>43808</v>
      </c>
      <c r="C210" s="1" t="n">
        <v>45473</v>
      </c>
      <c r="D210" t="inlineStr">
        <is>
          <t>SÖDERMANLANDS LÄN</t>
        </is>
      </c>
      <c r="E210" t="inlineStr">
        <is>
          <t>ESKILSTUNA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66363-2019</t>
        </is>
      </c>
      <c r="B211" s="1" t="n">
        <v>43808</v>
      </c>
      <c r="C211" s="1" t="n">
        <v>45473</v>
      </c>
      <c r="D211" t="inlineStr">
        <is>
          <t>SÖDERMANLANDS LÄN</t>
        </is>
      </c>
      <c r="E211" t="inlineStr">
        <is>
          <t>ESKILSTUNA</t>
        </is>
      </c>
      <c r="G211" t="n">
        <v>8.1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67320-2019</t>
        </is>
      </c>
      <c r="B212" s="1" t="n">
        <v>43808</v>
      </c>
      <c r="C212" s="1" t="n">
        <v>45473</v>
      </c>
      <c r="D212" t="inlineStr">
        <is>
          <t>SÖDERMANLANDS LÄN</t>
        </is>
      </c>
      <c r="E212" t="inlineStr">
        <is>
          <t>ESKILSTUNA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66360-2019</t>
        </is>
      </c>
      <c r="B213" s="1" t="n">
        <v>43808</v>
      </c>
      <c r="C213" s="1" t="n">
        <v>45473</v>
      </c>
      <c r="D213" t="inlineStr">
        <is>
          <t>SÖDERMANLANDS LÄN</t>
        </is>
      </c>
      <c r="E213" t="inlineStr">
        <is>
          <t>ESKILSTUNA</t>
        </is>
      </c>
      <c r="G213" t="n">
        <v>6.9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67307-2019</t>
        </is>
      </c>
      <c r="B214" s="1" t="n">
        <v>43808</v>
      </c>
      <c r="C214" s="1" t="n">
        <v>45473</v>
      </c>
      <c r="D214" t="inlineStr">
        <is>
          <t>SÖDERMANLANDS LÄN</t>
        </is>
      </c>
      <c r="E214" t="inlineStr">
        <is>
          <t>ESKILSTUNA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67311-2019</t>
        </is>
      </c>
      <c r="B215" s="1" t="n">
        <v>43812</v>
      </c>
      <c r="C215" s="1" t="n">
        <v>45473</v>
      </c>
      <c r="D215" t="inlineStr">
        <is>
          <t>SÖDERMANLANDS LÄN</t>
        </is>
      </c>
      <c r="E215" t="inlineStr">
        <is>
          <t>ESKILSTUNA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67327-2019</t>
        </is>
      </c>
      <c r="B216" s="1" t="n">
        <v>43812</v>
      </c>
      <c r="C216" s="1" t="n">
        <v>45473</v>
      </c>
      <c r="D216" t="inlineStr">
        <is>
          <t>SÖDERMANLANDS LÄN</t>
        </is>
      </c>
      <c r="E216" t="inlineStr">
        <is>
          <t>ESKILSTUNA</t>
        </is>
      </c>
      <c r="G216" t="n">
        <v>14.1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67306-2019</t>
        </is>
      </c>
      <c r="B217" s="1" t="n">
        <v>43812</v>
      </c>
      <c r="C217" s="1" t="n">
        <v>45473</v>
      </c>
      <c r="D217" t="inlineStr">
        <is>
          <t>SÖDERMANLANDS LÄN</t>
        </is>
      </c>
      <c r="E217" t="inlineStr">
        <is>
          <t>ESKILSTUNA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67321-2019</t>
        </is>
      </c>
      <c r="B218" s="1" t="n">
        <v>43812</v>
      </c>
      <c r="C218" s="1" t="n">
        <v>45473</v>
      </c>
      <c r="D218" t="inlineStr">
        <is>
          <t>SÖDERMANLANDS LÄN</t>
        </is>
      </c>
      <c r="E218" t="inlineStr">
        <is>
          <t>ESKILSTUNA</t>
        </is>
      </c>
      <c r="G218" t="n">
        <v>13.7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67955-2019</t>
        </is>
      </c>
      <c r="B219" s="1" t="n">
        <v>43816</v>
      </c>
      <c r="C219" s="1" t="n">
        <v>45473</v>
      </c>
      <c r="D219" t="inlineStr">
        <is>
          <t>SÖDERMANLANDS LÄN</t>
        </is>
      </c>
      <c r="E219" t="inlineStr">
        <is>
          <t>ESKILSTUNA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68984-2019</t>
        </is>
      </c>
      <c r="B220" s="1" t="n">
        <v>43825</v>
      </c>
      <c r="C220" s="1" t="n">
        <v>45473</v>
      </c>
      <c r="D220" t="inlineStr">
        <is>
          <t>SÖDERMANLANDS LÄN</t>
        </is>
      </c>
      <c r="E220" t="inlineStr">
        <is>
          <t>ESKILSTUNA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1720-2020</t>
        </is>
      </c>
      <c r="B221" s="1" t="n">
        <v>43844</v>
      </c>
      <c r="C221" s="1" t="n">
        <v>45473</v>
      </c>
      <c r="D221" t="inlineStr">
        <is>
          <t>SÖDERMANLANDS LÄN</t>
        </is>
      </c>
      <c r="E221" t="inlineStr">
        <is>
          <t>ESKILSTUNA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3687-2020</t>
        </is>
      </c>
      <c r="B222" s="1" t="n">
        <v>43845</v>
      </c>
      <c r="C222" s="1" t="n">
        <v>45473</v>
      </c>
      <c r="D222" t="inlineStr">
        <is>
          <t>SÖDERMANLANDS LÄN</t>
        </is>
      </c>
      <c r="E222" t="inlineStr">
        <is>
          <t>ESKILSTUNA</t>
        </is>
      </c>
      <c r="G222" t="n">
        <v>17.8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2113-2020</t>
        </is>
      </c>
      <c r="B223" s="1" t="n">
        <v>43846</v>
      </c>
      <c r="C223" s="1" t="n">
        <v>45473</v>
      </c>
      <c r="D223" t="inlineStr">
        <is>
          <t>SÖDERMANLANDS LÄN</t>
        </is>
      </c>
      <c r="E223" t="inlineStr">
        <is>
          <t>ESKILSTUNA</t>
        </is>
      </c>
      <c r="F223" t="inlineStr">
        <is>
          <t>Kyrkan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2486-2020</t>
        </is>
      </c>
      <c r="B224" s="1" t="n">
        <v>43847</v>
      </c>
      <c r="C224" s="1" t="n">
        <v>45473</v>
      </c>
      <c r="D224" t="inlineStr">
        <is>
          <t>SÖDERMANLANDS LÄN</t>
        </is>
      </c>
      <c r="E224" t="inlineStr">
        <is>
          <t>ESKILSTUNA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2502-2020</t>
        </is>
      </c>
      <c r="B225" s="1" t="n">
        <v>43847</v>
      </c>
      <c r="C225" s="1" t="n">
        <v>45473</v>
      </c>
      <c r="D225" t="inlineStr">
        <is>
          <t>SÖDERMANLANDS LÄN</t>
        </is>
      </c>
      <c r="E225" t="inlineStr">
        <is>
          <t>ESKILSTUNA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2509-2020</t>
        </is>
      </c>
      <c r="B226" s="1" t="n">
        <v>43847</v>
      </c>
      <c r="C226" s="1" t="n">
        <v>45473</v>
      </c>
      <c r="D226" t="inlineStr">
        <is>
          <t>SÖDERMANLANDS LÄN</t>
        </is>
      </c>
      <c r="E226" t="inlineStr">
        <is>
          <t>ESKILSTUNA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2661-2020</t>
        </is>
      </c>
      <c r="B227" s="1" t="n">
        <v>43848</v>
      </c>
      <c r="C227" s="1" t="n">
        <v>45473</v>
      </c>
      <c r="D227" t="inlineStr">
        <is>
          <t>SÖDERMANLANDS LÄN</t>
        </is>
      </c>
      <c r="E227" t="inlineStr">
        <is>
          <t>ESKILSTUNA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2879-2020</t>
        </is>
      </c>
      <c r="B228" s="1" t="n">
        <v>43850</v>
      </c>
      <c r="C228" s="1" t="n">
        <v>45473</v>
      </c>
      <c r="D228" t="inlineStr">
        <is>
          <t>SÖDERMANLANDS LÄN</t>
        </is>
      </c>
      <c r="E228" t="inlineStr">
        <is>
          <t>ESKILSTUNA</t>
        </is>
      </c>
      <c r="G228" t="n">
        <v>5.7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2975-2020</t>
        </is>
      </c>
      <c r="B229" s="1" t="n">
        <v>43850</v>
      </c>
      <c r="C229" s="1" t="n">
        <v>45473</v>
      </c>
      <c r="D229" t="inlineStr">
        <is>
          <t>SÖDERMANLANDS LÄN</t>
        </is>
      </c>
      <c r="E229" t="inlineStr">
        <is>
          <t>ESKILSTUNA</t>
        </is>
      </c>
      <c r="F229" t="inlineStr">
        <is>
          <t>Kyrkan</t>
        </is>
      </c>
      <c r="G229" t="n">
        <v>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3931-2020</t>
        </is>
      </c>
      <c r="B230" s="1" t="n">
        <v>43851</v>
      </c>
      <c r="C230" s="1" t="n">
        <v>45473</v>
      </c>
      <c r="D230" t="inlineStr">
        <is>
          <t>SÖDERMANLANDS LÄN</t>
        </is>
      </c>
      <c r="E230" t="inlineStr">
        <is>
          <t>ESKILSTUNA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4805-2020</t>
        </is>
      </c>
      <c r="B231" s="1" t="n">
        <v>43852</v>
      </c>
      <c r="C231" s="1" t="n">
        <v>45473</v>
      </c>
      <c r="D231" t="inlineStr">
        <is>
          <t>SÖDERMANLANDS LÄN</t>
        </is>
      </c>
      <c r="E231" t="inlineStr">
        <is>
          <t>ESKILSTUNA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4845-2020</t>
        </is>
      </c>
      <c r="B232" s="1" t="n">
        <v>43852</v>
      </c>
      <c r="C232" s="1" t="n">
        <v>45473</v>
      </c>
      <c r="D232" t="inlineStr">
        <is>
          <t>SÖDERMANLANDS LÄN</t>
        </is>
      </c>
      <c r="E232" t="inlineStr">
        <is>
          <t>ESKILSTUNA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3667-2020</t>
        </is>
      </c>
      <c r="B233" s="1" t="n">
        <v>43853</v>
      </c>
      <c r="C233" s="1" t="n">
        <v>45473</v>
      </c>
      <c r="D233" t="inlineStr">
        <is>
          <t>SÖDERMANLANDS LÄN</t>
        </is>
      </c>
      <c r="E233" t="inlineStr">
        <is>
          <t>ESKILSTUNA</t>
        </is>
      </c>
      <c r="G233" t="n">
        <v>50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3718-2020</t>
        </is>
      </c>
      <c r="B234" s="1" t="n">
        <v>43853</v>
      </c>
      <c r="C234" s="1" t="n">
        <v>45473</v>
      </c>
      <c r="D234" t="inlineStr">
        <is>
          <t>SÖDERMANLANDS LÄN</t>
        </is>
      </c>
      <c r="E234" t="inlineStr">
        <is>
          <t>ESKILSTUNA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5068-2020</t>
        </is>
      </c>
      <c r="B235" s="1" t="n">
        <v>43859</v>
      </c>
      <c r="C235" s="1" t="n">
        <v>45473</v>
      </c>
      <c r="D235" t="inlineStr">
        <is>
          <t>SÖDERMANLANDS LÄN</t>
        </is>
      </c>
      <c r="E235" t="inlineStr">
        <is>
          <t>ESKILSTUNA</t>
        </is>
      </c>
      <c r="F235" t="inlineStr">
        <is>
          <t>Kyrkan</t>
        </is>
      </c>
      <c r="G235" t="n">
        <v>5.6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5258-2020</t>
        </is>
      </c>
      <c r="B236" s="1" t="n">
        <v>43860</v>
      </c>
      <c r="C236" s="1" t="n">
        <v>45473</v>
      </c>
      <c r="D236" t="inlineStr">
        <is>
          <t>SÖDERMANLANDS LÄN</t>
        </is>
      </c>
      <c r="E236" t="inlineStr">
        <is>
          <t>ESKILSTUNA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5700-2020</t>
        </is>
      </c>
      <c r="B237" s="1" t="n">
        <v>43861</v>
      </c>
      <c r="C237" s="1" t="n">
        <v>45473</v>
      </c>
      <c r="D237" t="inlineStr">
        <is>
          <t>SÖDERMANLANDS LÄN</t>
        </is>
      </c>
      <c r="E237" t="inlineStr">
        <is>
          <t>ESKILSTUNA</t>
        </is>
      </c>
      <c r="G237" t="n">
        <v>13.8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5719-2020</t>
        </is>
      </c>
      <c r="B238" s="1" t="n">
        <v>43862</v>
      </c>
      <c r="C238" s="1" t="n">
        <v>45473</v>
      </c>
      <c r="D238" t="inlineStr">
        <is>
          <t>SÖDERMANLANDS LÄN</t>
        </is>
      </c>
      <c r="E238" t="inlineStr">
        <is>
          <t>ESKILSTUNA</t>
        </is>
      </c>
      <c r="G238" t="n">
        <v>8.9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6439-2020</t>
        </is>
      </c>
      <c r="B239" s="1" t="n">
        <v>43866</v>
      </c>
      <c r="C239" s="1" t="n">
        <v>45473</v>
      </c>
      <c r="D239" t="inlineStr">
        <is>
          <t>SÖDERMANLANDS LÄN</t>
        </is>
      </c>
      <c r="E239" t="inlineStr">
        <is>
          <t>ESKILSTUNA</t>
        </is>
      </c>
      <c r="G239" t="n">
        <v>5.7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10087-2020</t>
        </is>
      </c>
      <c r="B240" s="1" t="n">
        <v>43885</v>
      </c>
      <c r="C240" s="1" t="n">
        <v>45473</v>
      </c>
      <c r="D240" t="inlineStr">
        <is>
          <t>SÖDERMANLANDS LÄN</t>
        </is>
      </c>
      <c r="E240" t="inlineStr">
        <is>
          <t>ESKILSTUNA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11896-2020</t>
        </is>
      </c>
      <c r="B241" s="1" t="n">
        <v>43894</v>
      </c>
      <c r="C241" s="1" t="n">
        <v>45473</v>
      </c>
      <c r="D241" t="inlineStr">
        <is>
          <t>SÖDERMANLANDS LÄN</t>
        </is>
      </c>
      <c r="E241" t="inlineStr">
        <is>
          <t>ESKILSTUNA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12510-2020</t>
        </is>
      </c>
      <c r="B242" s="1" t="n">
        <v>43896</v>
      </c>
      <c r="C242" s="1" t="n">
        <v>45473</v>
      </c>
      <c r="D242" t="inlineStr">
        <is>
          <t>SÖDERMANLANDS LÄN</t>
        </is>
      </c>
      <c r="E242" t="inlineStr">
        <is>
          <t>ESKILSTUNA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13538-2020</t>
        </is>
      </c>
      <c r="B243" s="1" t="n">
        <v>43902</v>
      </c>
      <c r="C243" s="1" t="n">
        <v>45473</v>
      </c>
      <c r="D243" t="inlineStr">
        <is>
          <t>SÖDERMANLANDS LÄN</t>
        </is>
      </c>
      <c r="E243" t="inlineStr">
        <is>
          <t>ESKILSTUNA</t>
        </is>
      </c>
      <c r="F243" t="inlineStr">
        <is>
          <t>Kyrkan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13843-2020</t>
        </is>
      </c>
      <c r="B244" s="1" t="n">
        <v>43903</v>
      </c>
      <c r="C244" s="1" t="n">
        <v>45473</v>
      </c>
      <c r="D244" t="inlineStr">
        <is>
          <t>SÖDERMANLANDS LÄN</t>
        </is>
      </c>
      <c r="E244" t="inlineStr">
        <is>
          <t>ESKILSTUNA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14394-2020</t>
        </is>
      </c>
      <c r="B245" s="1" t="n">
        <v>43908</v>
      </c>
      <c r="C245" s="1" t="n">
        <v>45473</v>
      </c>
      <c r="D245" t="inlineStr">
        <is>
          <t>SÖDERMANLANDS LÄN</t>
        </is>
      </c>
      <c r="E245" t="inlineStr">
        <is>
          <t>ESKILSTUNA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14893-2020</t>
        </is>
      </c>
      <c r="B246" s="1" t="n">
        <v>43910</v>
      </c>
      <c r="C246" s="1" t="n">
        <v>45473</v>
      </c>
      <c r="D246" t="inlineStr">
        <is>
          <t>SÖDERMANLANDS LÄN</t>
        </is>
      </c>
      <c r="E246" t="inlineStr">
        <is>
          <t>ESKILSTUNA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15394-2020</t>
        </is>
      </c>
      <c r="B247" s="1" t="n">
        <v>43913</v>
      </c>
      <c r="C247" s="1" t="n">
        <v>45473</v>
      </c>
      <c r="D247" t="inlineStr">
        <is>
          <t>SÖDERMANLANDS LÄN</t>
        </is>
      </c>
      <c r="E247" t="inlineStr">
        <is>
          <t>ESKILSTUNA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16846-2020</t>
        </is>
      </c>
      <c r="B248" s="1" t="n">
        <v>43921</v>
      </c>
      <c r="C248" s="1" t="n">
        <v>45473</v>
      </c>
      <c r="D248" t="inlineStr">
        <is>
          <t>SÖDERMANLANDS LÄN</t>
        </is>
      </c>
      <c r="E248" t="inlineStr">
        <is>
          <t>ESKILSTUNA</t>
        </is>
      </c>
      <c r="G248" t="n">
        <v>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16835-2020</t>
        </is>
      </c>
      <c r="B249" s="1" t="n">
        <v>43921</v>
      </c>
      <c r="C249" s="1" t="n">
        <v>45473</v>
      </c>
      <c r="D249" t="inlineStr">
        <is>
          <t>SÖDERMANLANDS LÄN</t>
        </is>
      </c>
      <c r="E249" t="inlineStr">
        <is>
          <t>ESKILSTUNA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19227-2020</t>
        </is>
      </c>
      <c r="B250" s="1" t="n">
        <v>43937</v>
      </c>
      <c r="C250" s="1" t="n">
        <v>45473</v>
      </c>
      <c r="D250" t="inlineStr">
        <is>
          <t>SÖDERMANLANDS LÄN</t>
        </is>
      </c>
      <c r="E250" t="inlineStr">
        <is>
          <t>ESKILSTUNA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19418-2020</t>
        </is>
      </c>
      <c r="B251" s="1" t="n">
        <v>43938</v>
      </c>
      <c r="C251" s="1" t="n">
        <v>45473</v>
      </c>
      <c r="D251" t="inlineStr">
        <is>
          <t>SÖDERMANLANDS LÄN</t>
        </is>
      </c>
      <c r="E251" t="inlineStr">
        <is>
          <t>ESKILSTUNA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19475-2020</t>
        </is>
      </c>
      <c r="B252" s="1" t="n">
        <v>43938</v>
      </c>
      <c r="C252" s="1" t="n">
        <v>45473</v>
      </c>
      <c r="D252" t="inlineStr">
        <is>
          <t>SÖDERMANLANDS LÄN</t>
        </is>
      </c>
      <c r="E252" t="inlineStr">
        <is>
          <t>ESKILSTUNA</t>
        </is>
      </c>
      <c r="G252" t="n">
        <v>8.5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19490-2020</t>
        </is>
      </c>
      <c r="B253" s="1" t="n">
        <v>43938</v>
      </c>
      <c r="C253" s="1" t="n">
        <v>45473</v>
      </c>
      <c r="D253" t="inlineStr">
        <is>
          <t>SÖDERMANLANDS LÄN</t>
        </is>
      </c>
      <c r="E253" t="inlineStr">
        <is>
          <t>ESKILSTUNA</t>
        </is>
      </c>
      <c r="G253" t="n">
        <v>8.6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19562-2020</t>
        </is>
      </c>
      <c r="B254" s="1" t="n">
        <v>43941</v>
      </c>
      <c r="C254" s="1" t="n">
        <v>45473</v>
      </c>
      <c r="D254" t="inlineStr">
        <is>
          <t>SÖDERMANLANDS LÄN</t>
        </is>
      </c>
      <c r="E254" t="inlineStr">
        <is>
          <t>ESKILSTUNA</t>
        </is>
      </c>
      <c r="G254" t="n">
        <v>7.8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22398-2020</t>
        </is>
      </c>
      <c r="B255" s="1" t="n">
        <v>43962</v>
      </c>
      <c r="C255" s="1" t="n">
        <v>45473</v>
      </c>
      <c r="D255" t="inlineStr">
        <is>
          <t>SÖDERMANLANDS LÄN</t>
        </is>
      </c>
      <c r="E255" t="inlineStr">
        <is>
          <t>ESKILSTUNA</t>
        </is>
      </c>
      <c r="F255" t="inlineStr">
        <is>
          <t>Kommuner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23450-2020</t>
        </is>
      </c>
      <c r="B256" s="1" t="n">
        <v>43966</v>
      </c>
      <c r="C256" s="1" t="n">
        <v>45473</v>
      </c>
      <c r="D256" t="inlineStr">
        <is>
          <t>SÖDERMANLANDS LÄN</t>
        </is>
      </c>
      <c r="E256" t="inlineStr">
        <is>
          <t>ESKILSTUNA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23451-2020</t>
        </is>
      </c>
      <c r="B257" s="1" t="n">
        <v>43966</v>
      </c>
      <c r="C257" s="1" t="n">
        <v>45473</v>
      </c>
      <c r="D257" t="inlineStr">
        <is>
          <t>SÖDERMANLANDS LÄN</t>
        </is>
      </c>
      <c r="E257" t="inlineStr">
        <is>
          <t>ESKILSTUNA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26008-2020</t>
        </is>
      </c>
      <c r="B258" s="1" t="n">
        <v>43985</v>
      </c>
      <c r="C258" s="1" t="n">
        <v>45473</v>
      </c>
      <c r="D258" t="inlineStr">
        <is>
          <t>SÖDERMANLANDS LÄN</t>
        </is>
      </c>
      <c r="E258" t="inlineStr">
        <is>
          <t>ESKILSTUNA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26007-2020</t>
        </is>
      </c>
      <c r="B259" s="1" t="n">
        <v>43985</v>
      </c>
      <c r="C259" s="1" t="n">
        <v>45473</v>
      </c>
      <c r="D259" t="inlineStr">
        <is>
          <t>SÖDERMANLANDS LÄN</t>
        </is>
      </c>
      <c r="E259" t="inlineStr">
        <is>
          <t>ESKILSTUNA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26340-2020</t>
        </is>
      </c>
      <c r="B260" s="1" t="n">
        <v>43986</v>
      </c>
      <c r="C260" s="1" t="n">
        <v>45473</v>
      </c>
      <c r="D260" t="inlineStr">
        <is>
          <t>SÖDERMANLANDS LÄN</t>
        </is>
      </c>
      <c r="E260" t="inlineStr">
        <is>
          <t>ESKILSTUNA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26336-2020</t>
        </is>
      </c>
      <c r="B261" s="1" t="n">
        <v>43986</v>
      </c>
      <c r="C261" s="1" t="n">
        <v>45473</v>
      </c>
      <c r="D261" t="inlineStr">
        <is>
          <t>SÖDERMANLANDS LÄN</t>
        </is>
      </c>
      <c r="E261" t="inlineStr">
        <is>
          <t>ESKILSTUNA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27238-2020</t>
        </is>
      </c>
      <c r="B262" s="1" t="n">
        <v>43992</v>
      </c>
      <c r="C262" s="1" t="n">
        <v>45473</v>
      </c>
      <c r="D262" t="inlineStr">
        <is>
          <t>SÖDERMANLANDS LÄN</t>
        </is>
      </c>
      <c r="E262" t="inlineStr">
        <is>
          <t>ESKILSTUNA</t>
        </is>
      </c>
      <c r="G262" t="n">
        <v>7.2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27250-2020</t>
        </is>
      </c>
      <c r="B263" s="1" t="n">
        <v>43992</v>
      </c>
      <c r="C263" s="1" t="n">
        <v>45473</v>
      </c>
      <c r="D263" t="inlineStr">
        <is>
          <t>SÖDERMANLANDS LÄN</t>
        </is>
      </c>
      <c r="E263" t="inlineStr">
        <is>
          <t>ESKILSTUNA</t>
        </is>
      </c>
      <c r="G263" t="n">
        <v>14.1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27229-2020</t>
        </is>
      </c>
      <c r="B264" s="1" t="n">
        <v>43992</v>
      </c>
      <c r="C264" s="1" t="n">
        <v>45473</v>
      </c>
      <c r="D264" t="inlineStr">
        <is>
          <t>SÖDERMANLANDS LÄN</t>
        </is>
      </c>
      <c r="E264" t="inlineStr">
        <is>
          <t>ESKILSTUNA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28324-2020</t>
        </is>
      </c>
      <c r="B265" s="1" t="n">
        <v>43997</v>
      </c>
      <c r="C265" s="1" t="n">
        <v>45473</v>
      </c>
      <c r="D265" t="inlineStr">
        <is>
          <t>SÖDERMANLANDS LÄN</t>
        </is>
      </c>
      <c r="E265" t="inlineStr">
        <is>
          <t>ESKILSTUNA</t>
        </is>
      </c>
      <c r="F265" t="inlineStr">
        <is>
          <t>Kyrkan</t>
        </is>
      </c>
      <c r="G265" t="n">
        <v>7.6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28331-2020</t>
        </is>
      </c>
      <c r="B266" s="1" t="n">
        <v>43997</v>
      </c>
      <c r="C266" s="1" t="n">
        <v>45473</v>
      </c>
      <c r="D266" t="inlineStr">
        <is>
          <t>SÖDERMANLANDS LÄN</t>
        </is>
      </c>
      <c r="E266" t="inlineStr">
        <is>
          <t>ESKILSTUNA</t>
        </is>
      </c>
      <c r="F266" t="inlineStr">
        <is>
          <t>Kyrkan</t>
        </is>
      </c>
      <c r="G266" t="n">
        <v>11.8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29015-2020</t>
        </is>
      </c>
      <c r="B267" s="1" t="n">
        <v>44000</v>
      </c>
      <c r="C267" s="1" t="n">
        <v>45473</v>
      </c>
      <c r="D267" t="inlineStr">
        <is>
          <t>SÖDERMANLANDS LÄN</t>
        </is>
      </c>
      <c r="E267" t="inlineStr">
        <is>
          <t>ESKILSTUNA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29021-2020</t>
        </is>
      </c>
      <c r="B268" s="1" t="n">
        <v>44000</v>
      </c>
      <c r="C268" s="1" t="n">
        <v>45473</v>
      </c>
      <c r="D268" t="inlineStr">
        <is>
          <t>SÖDERMANLANDS LÄN</t>
        </is>
      </c>
      <c r="E268" t="inlineStr">
        <is>
          <t>ESKILSTUNA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30133-2020</t>
        </is>
      </c>
      <c r="B269" s="1" t="n">
        <v>44006</v>
      </c>
      <c r="C269" s="1" t="n">
        <v>45473</v>
      </c>
      <c r="D269" t="inlineStr">
        <is>
          <t>SÖDERMANLANDS LÄN</t>
        </is>
      </c>
      <c r="E269" t="inlineStr">
        <is>
          <t>ESKILSTUNA</t>
        </is>
      </c>
      <c r="G269" t="n">
        <v>7.5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31619-2020</t>
        </is>
      </c>
      <c r="B270" s="1" t="n">
        <v>44013</v>
      </c>
      <c r="C270" s="1" t="n">
        <v>45473</v>
      </c>
      <c r="D270" t="inlineStr">
        <is>
          <t>SÖDERMANLANDS LÄN</t>
        </is>
      </c>
      <c r="E270" t="inlineStr">
        <is>
          <t>ESKILSTUNA</t>
        </is>
      </c>
      <c r="F270" t="inlineStr">
        <is>
          <t>Allmännings- och besparingsskogar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31950-2020</t>
        </is>
      </c>
      <c r="B271" s="1" t="n">
        <v>44014</v>
      </c>
      <c r="C271" s="1" t="n">
        <v>45473</v>
      </c>
      <c r="D271" t="inlineStr">
        <is>
          <t>SÖDERMANLANDS LÄN</t>
        </is>
      </c>
      <c r="E271" t="inlineStr">
        <is>
          <t>ESKILSTUNA</t>
        </is>
      </c>
      <c r="F271" t="inlineStr">
        <is>
          <t>Allmännings- och besparingsskogar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32626-2020</t>
        </is>
      </c>
      <c r="B272" s="1" t="n">
        <v>44019</v>
      </c>
      <c r="C272" s="1" t="n">
        <v>45473</v>
      </c>
      <c r="D272" t="inlineStr">
        <is>
          <t>SÖDERMANLANDS LÄN</t>
        </is>
      </c>
      <c r="E272" t="inlineStr">
        <is>
          <t>ESKILSTUNA</t>
        </is>
      </c>
      <c r="G272" t="n">
        <v>10.1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34709-2020</t>
        </is>
      </c>
      <c r="B273" s="1" t="n">
        <v>44035</v>
      </c>
      <c r="C273" s="1" t="n">
        <v>45473</v>
      </c>
      <c r="D273" t="inlineStr">
        <is>
          <t>SÖDERMANLANDS LÄN</t>
        </is>
      </c>
      <c r="E273" t="inlineStr">
        <is>
          <t>ESKILSTUNA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35054-2020</t>
        </is>
      </c>
      <c r="B274" s="1" t="n">
        <v>44039</v>
      </c>
      <c r="C274" s="1" t="n">
        <v>45473</v>
      </c>
      <c r="D274" t="inlineStr">
        <is>
          <t>SÖDERMANLANDS LÄN</t>
        </is>
      </c>
      <c r="E274" t="inlineStr">
        <is>
          <t>ESKILSTUNA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35302-2020</t>
        </is>
      </c>
      <c r="B275" s="1" t="n">
        <v>44041</v>
      </c>
      <c r="C275" s="1" t="n">
        <v>45473</v>
      </c>
      <c r="D275" t="inlineStr">
        <is>
          <t>SÖDERMANLANDS LÄN</t>
        </is>
      </c>
      <c r="E275" t="inlineStr">
        <is>
          <t>ESKILSTUNA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35398-2020</t>
        </is>
      </c>
      <c r="B276" s="1" t="n">
        <v>44042</v>
      </c>
      <c r="C276" s="1" t="n">
        <v>45473</v>
      </c>
      <c r="D276" t="inlineStr">
        <is>
          <t>SÖDERMANLANDS LÄN</t>
        </is>
      </c>
      <c r="E276" t="inlineStr">
        <is>
          <t>ESKILSTUNA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35506-2020</t>
        </is>
      </c>
      <c r="B277" s="1" t="n">
        <v>44042</v>
      </c>
      <c r="C277" s="1" t="n">
        <v>45473</v>
      </c>
      <c r="D277" t="inlineStr">
        <is>
          <t>SÖDERMANLANDS LÄN</t>
        </is>
      </c>
      <c r="E277" t="inlineStr">
        <is>
          <t>ESKILSTUNA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36120-2020</t>
        </is>
      </c>
      <c r="B278" s="1" t="n">
        <v>44048</v>
      </c>
      <c r="C278" s="1" t="n">
        <v>45473</v>
      </c>
      <c r="D278" t="inlineStr">
        <is>
          <t>SÖDERMANLANDS LÄN</t>
        </is>
      </c>
      <c r="E278" t="inlineStr">
        <is>
          <t>ESKILSTUNA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36236-2020</t>
        </is>
      </c>
      <c r="B279" s="1" t="n">
        <v>44048</v>
      </c>
      <c r="C279" s="1" t="n">
        <v>45473</v>
      </c>
      <c r="D279" t="inlineStr">
        <is>
          <t>SÖDERMANLANDS LÄN</t>
        </is>
      </c>
      <c r="E279" t="inlineStr">
        <is>
          <t>ESKILSTUNA</t>
        </is>
      </c>
      <c r="G279" t="n">
        <v>5.9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37267-2020</t>
        </is>
      </c>
      <c r="B280" s="1" t="n">
        <v>44055</v>
      </c>
      <c r="C280" s="1" t="n">
        <v>45473</v>
      </c>
      <c r="D280" t="inlineStr">
        <is>
          <t>SÖDERMANLANDS LÄN</t>
        </is>
      </c>
      <c r="E280" t="inlineStr">
        <is>
          <t>ESKILSTUNA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37272-2020</t>
        </is>
      </c>
      <c r="B281" s="1" t="n">
        <v>44055</v>
      </c>
      <c r="C281" s="1" t="n">
        <v>45473</v>
      </c>
      <c r="D281" t="inlineStr">
        <is>
          <t>SÖDERMANLANDS LÄN</t>
        </is>
      </c>
      <c r="E281" t="inlineStr">
        <is>
          <t>ESKILSTUNA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37261-2020</t>
        </is>
      </c>
      <c r="B282" s="1" t="n">
        <v>44055</v>
      </c>
      <c r="C282" s="1" t="n">
        <v>45473</v>
      </c>
      <c r="D282" t="inlineStr">
        <is>
          <t>SÖDERMANLANDS LÄN</t>
        </is>
      </c>
      <c r="E282" t="inlineStr">
        <is>
          <t>ESKILSTUNA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38450-2020</t>
        </is>
      </c>
      <c r="B283" s="1" t="n">
        <v>44060</v>
      </c>
      <c r="C283" s="1" t="n">
        <v>45473</v>
      </c>
      <c r="D283" t="inlineStr">
        <is>
          <t>SÖDERMANLANDS LÄN</t>
        </is>
      </c>
      <c r="E283" t="inlineStr">
        <is>
          <t>ESKILSTUNA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40358-2020</t>
        </is>
      </c>
      <c r="B284" s="1" t="n">
        <v>44068</v>
      </c>
      <c r="C284" s="1" t="n">
        <v>45473</v>
      </c>
      <c r="D284" t="inlineStr">
        <is>
          <t>SÖDERMANLANDS LÄN</t>
        </is>
      </c>
      <c r="E284" t="inlineStr">
        <is>
          <t>ESKILSTUNA</t>
        </is>
      </c>
      <c r="G284" t="n">
        <v>5.1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40362-2020</t>
        </is>
      </c>
      <c r="B285" s="1" t="n">
        <v>44068</v>
      </c>
      <c r="C285" s="1" t="n">
        <v>45473</v>
      </c>
      <c r="D285" t="inlineStr">
        <is>
          <t>SÖDERMANLANDS LÄN</t>
        </is>
      </c>
      <c r="E285" t="inlineStr">
        <is>
          <t>ESKILSTUNA</t>
        </is>
      </c>
      <c r="G285" t="n">
        <v>9.199999999999999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41266-2020</t>
        </is>
      </c>
      <c r="B286" s="1" t="n">
        <v>44069</v>
      </c>
      <c r="C286" s="1" t="n">
        <v>45473</v>
      </c>
      <c r="D286" t="inlineStr">
        <is>
          <t>SÖDERMANLANDS LÄN</t>
        </is>
      </c>
      <c r="E286" t="inlineStr">
        <is>
          <t>ESKILSTUNA</t>
        </is>
      </c>
      <c r="G286" t="n">
        <v>32.6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40710-2020</t>
        </is>
      </c>
      <c r="B287" s="1" t="n">
        <v>44069</v>
      </c>
      <c r="C287" s="1" t="n">
        <v>45473</v>
      </c>
      <c r="D287" t="inlineStr">
        <is>
          <t>SÖDERMANLANDS LÄN</t>
        </is>
      </c>
      <c r="E287" t="inlineStr">
        <is>
          <t>ESKILSTUNA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41293-2020</t>
        </is>
      </c>
      <c r="B288" s="1" t="n">
        <v>44069</v>
      </c>
      <c r="C288" s="1" t="n">
        <v>45473</v>
      </c>
      <c r="D288" t="inlineStr">
        <is>
          <t>SÖDERMANLANDS LÄN</t>
        </is>
      </c>
      <c r="E288" t="inlineStr">
        <is>
          <t>ESKILSTUNA</t>
        </is>
      </c>
      <c r="G288" t="n">
        <v>29.8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40922-2020</t>
        </is>
      </c>
      <c r="B289" s="1" t="n">
        <v>44070</v>
      </c>
      <c r="C289" s="1" t="n">
        <v>45473</v>
      </c>
      <c r="D289" t="inlineStr">
        <is>
          <t>SÖDERMANLANDS LÄN</t>
        </is>
      </c>
      <c r="E289" t="inlineStr">
        <is>
          <t>ESKILSTUNA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41597-2020</t>
        </is>
      </c>
      <c r="B290" s="1" t="n">
        <v>44074</v>
      </c>
      <c r="C290" s="1" t="n">
        <v>45473</v>
      </c>
      <c r="D290" t="inlineStr">
        <is>
          <t>SÖDERMANLANDS LÄN</t>
        </is>
      </c>
      <c r="E290" t="inlineStr">
        <is>
          <t>ESKILSTUNA</t>
        </is>
      </c>
      <c r="F290" t="inlineStr">
        <is>
          <t>Sveaskog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41950-2020</t>
        </is>
      </c>
      <c r="B291" s="1" t="n">
        <v>44075</v>
      </c>
      <c r="C291" s="1" t="n">
        <v>45473</v>
      </c>
      <c r="D291" t="inlineStr">
        <is>
          <t>SÖDERMANLANDS LÄN</t>
        </is>
      </c>
      <c r="E291" t="inlineStr">
        <is>
          <t>ESKILSTUNA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43411-2020</t>
        </is>
      </c>
      <c r="B292" s="1" t="n">
        <v>44081</v>
      </c>
      <c r="C292" s="1" t="n">
        <v>45473</v>
      </c>
      <c r="D292" t="inlineStr">
        <is>
          <t>SÖDERMANLANDS LÄN</t>
        </is>
      </c>
      <c r="E292" t="inlineStr">
        <is>
          <t>ESKILSTUNA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44768-2020</t>
        </is>
      </c>
      <c r="B293" s="1" t="n">
        <v>44085</v>
      </c>
      <c r="C293" s="1" t="n">
        <v>45473</v>
      </c>
      <c r="D293" t="inlineStr">
        <is>
          <t>SÖDERMANLANDS LÄN</t>
        </is>
      </c>
      <c r="E293" t="inlineStr">
        <is>
          <t>ESKILSTUNA</t>
        </is>
      </c>
      <c r="F293" t="inlineStr">
        <is>
          <t>Allmännings- och besparingsskogar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44870-2020</t>
        </is>
      </c>
      <c r="B294" s="1" t="n">
        <v>44087</v>
      </c>
      <c r="C294" s="1" t="n">
        <v>45473</v>
      </c>
      <c r="D294" t="inlineStr">
        <is>
          <t>SÖDERMANLANDS LÄN</t>
        </is>
      </c>
      <c r="E294" t="inlineStr">
        <is>
          <t>ESKILSTUNA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44951-2020</t>
        </is>
      </c>
      <c r="B295" s="1" t="n">
        <v>44088</v>
      </c>
      <c r="C295" s="1" t="n">
        <v>45473</v>
      </c>
      <c r="D295" t="inlineStr">
        <is>
          <t>SÖDERMANLANDS LÄN</t>
        </is>
      </c>
      <c r="E295" t="inlineStr">
        <is>
          <t>ESKILSTUNA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45144-2020</t>
        </is>
      </c>
      <c r="B296" s="1" t="n">
        <v>44088</v>
      </c>
      <c r="C296" s="1" t="n">
        <v>45473</v>
      </c>
      <c r="D296" t="inlineStr">
        <is>
          <t>SÖDERMANLANDS LÄN</t>
        </is>
      </c>
      <c r="E296" t="inlineStr">
        <is>
          <t>ESKILSTUNA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45474-2020</t>
        </is>
      </c>
      <c r="B297" s="1" t="n">
        <v>44089</v>
      </c>
      <c r="C297" s="1" t="n">
        <v>45473</v>
      </c>
      <c r="D297" t="inlineStr">
        <is>
          <t>SÖDERMANLANDS LÄN</t>
        </is>
      </c>
      <c r="E297" t="inlineStr">
        <is>
          <t>ESKILSTUNA</t>
        </is>
      </c>
      <c r="G297" t="n">
        <v>10.8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45759-2020</t>
        </is>
      </c>
      <c r="B298" s="1" t="n">
        <v>44090</v>
      </c>
      <c r="C298" s="1" t="n">
        <v>45473</v>
      </c>
      <c r="D298" t="inlineStr">
        <is>
          <t>SÖDERMANLANDS LÄN</t>
        </is>
      </c>
      <c r="E298" t="inlineStr">
        <is>
          <t>ESKILSTUNA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46408-2020</t>
        </is>
      </c>
      <c r="B299" s="1" t="n">
        <v>44094</v>
      </c>
      <c r="C299" s="1" t="n">
        <v>45473</v>
      </c>
      <c r="D299" t="inlineStr">
        <is>
          <t>SÖDERMANLANDS LÄN</t>
        </is>
      </c>
      <c r="E299" t="inlineStr">
        <is>
          <t>ESKILSTUNA</t>
        </is>
      </c>
      <c r="F299" t="inlineStr">
        <is>
          <t>Sveaskog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47098-2020</t>
        </is>
      </c>
      <c r="B300" s="1" t="n">
        <v>44096</v>
      </c>
      <c r="C300" s="1" t="n">
        <v>45473</v>
      </c>
      <c r="D300" t="inlineStr">
        <is>
          <t>SÖDERMANLANDS LÄN</t>
        </is>
      </c>
      <c r="E300" t="inlineStr">
        <is>
          <t>ESKILSTUNA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47886-2020</t>
        </is>
      </c>
      <c r="B301" s="1" t="n">
        <v>44099</v>
      </c>
      <c r="C301" s="1" t="n">
        <v>45473</v>
      </c>
      <c r="D301" t="inlineStr">
        <is>
          <t>SÖDERMANLANDS LÄN</t>
        </is>
      </c>
      <c r="E301" t="inlineStr">
        <is>
          <t>ESKILSTUNA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47916-2020</t>
        </is>
      </c>
      <c r="B302" s="1" t="n">
        <v>44099</v>
      </c>
      <c r="C302" s="1" t="n">
        <v>45473</v>
      </c>
      <c r="D302" t="inlineStr">
        <is>
          <t>SÖDERMANLANDS LÄN</t>
        </is>
      </c>
      <c r="E302" t="inlineStr">
        <is>
          <t>ESKILSTUNA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48727-2020</t>
        </is>
      </c>
      <c r="B303" s="1" t="n">
        <v>44099</v>
      </c>
      <c r="C303" s="1" t="n">
        <v>45473</v>
      </c>
      <c r="D303" t="inlineStr">
        <is>
          <t>SÖDERMANLANDS LÄN</t>
        </is>
      </c>
      <c r="E303" t="inlineStr">
        <is>
          <t>ESKILSTUNA</t>
        </is>
      </c>
      <c r="G303" t="n">
        <v>5.9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49450-2020</t>
        </is>
      </c>
      <c r="B304" s="1" t="n">
        <v>44105</v>
      </c>
      <c r="C304" s="1" t="n">
        <v>45473</v>
      </c>
      <c r="D304" t="inlineStr">
        <is>
          <t>SÖDERMANLANDS LÄN</t>
        </is>
      </c>
      <c r="E304" t="inlineStr">
        <is>
          <t>ESKILSTUNA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49444-2020</t>
        </is>
      </c>
      <c r="B305" s="1" t="n">
        <v>44105</v>
      </c>
      <c r="C305" s="1" t="n">
        <v>45473</v>
      </c>
      <c r="D305" t="inlineStr">
        <is>
          <t>SÖDERMANLANDS LÄN</t>
        </is>
      </c>
      <c r="E305" t="inlineStr">
        <is>
          <t>ESKILSTUNA</t>
        </is>
      </c>
      <c r="G305" t="n">
        <v>7.3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  <c r="U305">
        <f>HYPERLINK("https://klasma.github.io/Logging_0484/knärot/A 49444-2020 karta knärot.png", "A 49444-2020")</f>
        <v/>
      </c>
      <c r="V305">
        <f>HYPERLINK("https://klasma.github.io/Logging_0484/klagomål/A 49444-2020 FSC-klagomål.docx", "A 49444-2020")</f>
        <v/>
      </c>
      <c r="W305">
        <f>HYPERLINK("https://klasma.github.io/Logging_0484/klagomålsmail/A 49444-2020 FSC-klagomål mail.docx", "A 49444-2020")</f>
        <v/>
      </c>
      <c r="X305">
        <f>HYPERLINK("https://klasma.github.io/Logging_0484/tillsyn/A 49444-2020 tillsynsbegäran.docx", "A 49444-2020")</f>
        <v/>
      </c>
      <c r="Y305">
        <f>HYPERLINK("https://klasma.github.io/Logging_0484/tillsynsmail/A 49444-2020 tillsynsbegäran mail.docx", "A 49444-2020")</f>
        <v/>
      </c>
    </row>
    <row r="306" ht="15" customHeight="1">
      <c r="A306" t="inlineStr">
        <is>
          <t>A 49454-2020</t>
        </is>
      </c>
      <c r="B306" s="1" t="n">
        <v>44105</v>
      </c>
      <c r="C306" s="1" t="n">
        <v>45473</v>
      </c>
      <c r="D306" t="inlineStr">
        <is>
          <t>SÖDERMANLANDS LÄN</t>
        </is>
      </c>
      <c r="E306" t="inlineStr">
        <is>
          <t>ESKILSTUNA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50165-2020</t>
        </is>
      </c>
      <c r="B307" s="1" t="n">
        <v>44109</v>
      </c>
      <c r="C307" s="1" t="n">
        <v>45473</v>
      </c>
      <c r="D307" t="inlineStr">
        <is>
          <t>SÖDERMANLANDS LÄN</t>
        </is>
      </c>
      <c r="E307" t="inlineStr">
        <is>
          <t>ESKILSTUNA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53085-2020</t>
        </is>
      </c>
      <c r="B308" s="1" t="n">
        <v>44120</v>
      </c>
      <c r="C308" s="1" t="n">
        <v>45473</v>
      </c>
      <c r="D308" t="inlineStr">
        <is>
          <t>SÖDERMANLANDS LÄN</t>
        </is>
      </c>
      <c r="E308" t="inlineStr">
        <is>
          <t>ESKILSTUNA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53805-2020</t>
        </is>
      </c>
      <c r="B309" s="1" t="n">
        <v>44124</v>
      </c>
      <c r="C309" s="1" t="n">
        <v>45473</v>
      </c>
      <c r="D309" t="inlineStr">
        <is>
          <t>SÖDERMANLANDS LÄN</t>
        </is>
      </c>
      <c r="E309" t="inlineStr">
        <is>
          <t>ESKILSTUNA</t>
        </is>
      </c>
      <c r="G309" t="n">
        <v>10.9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55308-2020</t>
        </is>
      </c>
      <c r="B310" s="1" t="n">
        <v>44130</v>
      </c>
      <c r="C310" s="1" t="n">
        <v>45473</v>
      </c>
      <c r="D310" t="inlineStr">
        <is>
          <t>SÖDERMANLANDS LÄN</t>
        </is>
      </c>
      <c r="E310" t="inlineStr">
        <is>
          <t>ESKILSTUNA</t>
        </is>
      </c>
      <c r="F310" t="inlineStr">
        <is>
          <t>Allmännings- och besparingsskogar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55914-2020</t>
        </is>
      </c>
      <c r="B311" s="1" t="n">
        <v>44132</v>
      </c>
      <c r="C311" s="1" t="n">
        <v>45473</v>
      </c>
      <c r="D311" t="inlineStr">
        <is>
          <t>SÖDERMANLANDS LÄN</t>
        </is>
      </c>
      <c r="E311" t="inlineStr">
        <is>
          <t>ESKILSTUNA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55968-2020</t>
        </is>
      </c>
      <c r="B312" s="1" t="n">
        <v>44132</v>
      </c>
      <c r="C312" s="1" t="n">
        <v>45473</v>
      </c>
      <c r="D312" t="inlineStr">
        <is>
          <t>SÖDERMANLANDS LÄN</t>
        </is>
      </c>
      <c r="E312" t="inlineStr">
        <is>
          <t>ESKILSTUNA</t>
        </is>
      </c>
      <c r="F312" t="inlineStr">
        <is>
          <t>Kyrkan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55976-2020</t>
        </is>
      </c>
      <c r="B313" s="1" t="n">
        <v>44132</v>
      </c>
      <c r="C313" s="1" t="n">
        <v>45473</v>
      </c>
      <c r="D313" t="inlineStr">
        <is>
          <t>SÖDERMANLANDS LÄN</t>
        </is>
      </c>
      <c r="E313" t="inlineStr">
        <is>
          <t>ESKILSTUNA</t>
        </is>
      </c>
      <c r="F313" t="inlineStr">
        <is>
          <t>Kyrkan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55971-2020</t>
        </is>
      </c>
      <c r="B314" s="1" t="n">
        <v>44132</v>
      </c>
      <c r="C314" s="1" t="n">
        <v>45473</v>
      </c>
      <c r="D314" t="inlineStr">
        <is>
          <t>SÖDERMANLANDS LÄN</t>
        </is>
      </c>
      <c r="E314" t="inlineStr">
        <is>
          <t>ESKILSTUNA</t>
        </is>
      </c>
      <c r="F314" t="inlineStr">
        <is>
          <t>Kyrkan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56556-2020</t>
        </is>
      </c>
      <c r="B315" s="1" t="n">
        <v>44134</v>
      </c>
      <c r="C315" s="1" t="n">
        <v>45473</v>
      </c>
      <c r="D315" t="inlineStr">
        <is>
          <t>SÖDERMANLANDS LÄN</t>
        </is>
      </c>
      <c r="E315" t="inlineStr">
        <is>
          <t>ESKILSTUNA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56449-2020</t>
        </is>
      </c>
      <c r="B316" s="1" t="n">
        <v>44134</v>
      </c>
      <c r="C316" s="1" t="n">
        <v>45473</v>
      </c>
      <c r="D316" t="inlineStr">
        <is>
          <t>SÖDERMANLANDS LÄN</t>
        </is>
      </c>
      <c r="E316" t="inlineStr">
        <is>
          <t>ESKILSTUNA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57266-2020</t>
        </is>
      </c>
      <c r="B317" s="1" t="n">
        <v>44139</v>
      </c>
      <c r="C317" s="1" t="n">
        <v>45473</v>
      </c>
      <c r="D317" t="inlineStr">
        <is>
          <t>SÖDERMANLANDS LÄN</t>
        </is>
      </c>
      <c r="E317" t="inlineStr">
        <is>
          <t>ESKILSTUNA</t>
        </is>
      </c>
      <c r="F317" t="inlineStr">
        <is>
          <t>Kommuner</t>
        </is>
      </c>
      <c r="G317" t="n">
        <v>11.9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58475-2020</t>
        </is>
      </c>
      <c r="B318" s="1" t="n">
        <v>44144</v>
      </c>
      <c r="C318" s="1" t="n">
        <v>45473</v>
      </c>
      <c r="D318" t="inlineStr">
        <is>
          <t>SÖDERMANLANDS LÄN</t>
        </is>
      </c>
      <c r="E318" t="inlineStr">
        <is>
          <t>ESKILSTUNA</t>
        </is>
      </c>
      <c r="G318" t="n">
        <v>5.6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58620-2020</t>
        </is>
      </c>
      <c r="B319" s="1" t="n">
        <v>44145</v>
      </c>
      <c r="C319" s="1" t="n">
        <v>45473</v>
      </c>
      <c r="D319" t="inlineStr">
        <is>
          <t>SÖDERMANLANDS LÄN</t>
        </is>
      </c>
      <c r="E319" t="inlineStr">
        <is>
          <t>ESKILSTUNA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58624-2020</t>
        </is>
      </c>
      <c r="B320" s="1" t="n">
        <v>44145</v>
      </c>
      <c r="C320" s="1" t="n">
        <v>45473</v>
      </c>
      <c r="D320" t="inlineStr">
        <is>
          <t>SÖDERMANLANDS LÄN</t>
        </is>
      </c>
      <c r="E320" t="inlineStr">
        <is>
          <t>ESKILSTUNA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58622-2020</t>
        </is>
      </c>
      <c r="B321" s="1" t="n">
        <v>44145</v>
      </c>
      <c r="C321" s="1" t="n">
        <v>45473</v>
      </c>
      <c r="D321" t="inlineStr">
        <is>
          <t>SÖDERMANLANDS LÄN</t>
        </is>
      </c>
      <c r="E321" t="inlineStr">
        <is>
          <t>ESKILSTUNA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59079-2020</t>
        </is>
      </c>
      <c r="B322" s="1" t="n">
        <v>44146</v>
      </c>
      <c r="C322" s="1" t="n">
        <v>45473</v>
      </c>
      <c r="D322" t="inlineStr">
        <is>
          <t>SÖDERMANLANDS LÄN</t>
        </is>
      </c>
      <c r="E322" t="inlineStr">
        <is>
          <t>ESKILSTUNA</t>
        </is>
      </c>
      <c r="G322" t="n">
        <v>6.7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59379-2020</t>
        </is>
      </c>
      <c r="B323" s="1" t="n">
        <v>44148</v>
      </c>
      <c r="C323" s="1" t="n">
        <v>45473</v>
      </c>
      <c r="D323" t="inlineStr">
        <is>
          <t>SÖDERMANLANDS LÄN</t>
        </is>
      </c>
      <c r="E323" t="inlineStr">
        <is>
          <t>ESKILSTUNA</t>
        </is>
      </c>
      <c r="F323" t="inlineStr">
        <is>
          <t>Kyrkan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60576-2020</t>
        </is>
      </c>
      <c r="B324" s="1" t="n">
        <v>44152</v>
      </c>
      <c r="C324" s="1" t="n">
        <v>45473</v>
      </c>
      <c r="D324" t="inlineStr">
        <is>
          <t>SÖDERMANLANDS LÄN</t>
        </is>
      </c>
      <c r="E324" t="inlineStr">
        <is>
          <t>ESKILSTUNA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61219-2020</t>
        </is>
      </c>
      <c r="B325" s="1" t="n">
        <v>44155</v>
      </c>
      <c r="C325" s="1" t="n">
        <v>45473</v>
      </c>
      <c r="D325" t="inlineStr">
        <is>
          <t>SÖDERMANLANDS LÄN</t>
        </is>
      </c>
      <c r="E325" t="inlineStr">
        <is>
          <t>ESKILSTUNA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61162-2020</t>
        </is>
      </c>
      <c r="B326" s="1" t="n">
        <v>44155</v>
      </c>
      <c r="C326" s="1" t="n">
        <v>45473</v>
      </c>
      <c r="D326" t="inlineStr">
        <is>
          <t>SÖDERMANLANDS LÄN</t>
        </is>
      </c>
      <c r="E326" t="inlineStr">
        <is>
          <t>ESKILSTUNA</t>
        </is>
      </c>
      <c r="G326" t="n">
        <v>7.7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61348-2020</t>
        </is>
      </c>
      <c r="B327" s="1" t="n">
        <v>44155</v>
      </c>
      <c r="C327" s="1" t="n">
        <v>45473</v>
      </c>
      <c r="D327" t="inlineStr">
        <is>
          <t>SÖDERMANLANDS LÄN</t>
        </is>
      </c>
      <c r="E327" t="inlineStr">
        <is>
          <t>ESKILSTUNA</t>
        </is>
      </c>
      <c r="F327" t="inlineStr">
        <is>
          <t>Kyrkan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63291-2020</t>
        </is>
      </c>
      <c r="B328" s="1" t="n">
        <v>44165</v>
      </c>
      <c r="C328" s="1" t="n">
        <v>45473</v>
      </c>
      <c r="D328" t="inlineStr">
        <is>
          <t>SÖDERMANLANDS LÄN</t>
        </is>
      </c>
      <c r="E328" t="inlineStr">
        <is>
          <t>ESKILSTUNA</t>
        </is>
      </c>
      <c r="F328" t="inlineStr">
        <is>
          <t>Kyrkan</t>
        </is>
      </c>
      <c r="G328" t="n">
        <v>20.6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64360-2020</t>
        </is>
      </c>
      <c r="B329" s="1" t="n">
        <v>44166</v>
      </c>
      <c r="C329" s="1" t="n">
        <v>45473</v>
      </c>
      <c r="D329" t="inlineStr">
        <is>
          <t>SÖDERMANLANDS LÄN</t>
        </is>
      </c>
      <c r="E329" t="inlineStr">
        <is>
          <t>ESKILSTUNA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64177-2020</t>
        </is>
      </c>
      <c r="B330" s="1" t="n">
        <v>44167</v>
      </c>
      <c r="C330" s="1" t="n">
        <v>45473</v>
      </c>
      <c r="D330" t="inlineStr">
        <is>
          <t>SÖDERMANLANDS LÄN</t>
        </is>
      </c>
      <c r="E330" t="inlineStr">
        <is>
          <t>ESKILSTUNA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65205-2020</t>
        </is>
      </c>
      <c r="B331" s="1" t="n">
        <v>44172</v>
      </c>
      <c r="C331" s="1" t="n">
        <v>45473</v>
      </c>
      <c r="D331" t="inlineStr">
        <is>
          <t>SÖDERMANLANDS LÄN</t>
        </is>
      </c>
      <c r="E331" t="inlineStr">
        <is>
          <t>ESKILSTUNA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65203-2020</t>
        </is>
      </c>
      <c r="B332" s="1" t="n">
        <v>44172</v>
      </c>
      <c r="C332" s="1" t="n">
        <v>45473</v>
      </c>
      <c r="D332" t="inlineStr">
        <is>
          <t>SÖDERMANLANDS LÄN</t>
        </is>
      </c>
      <c r="E332" t="inlineStr">
        <is>
          <t>ESKILSTUNA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65202-2020</t>
        </is>
      </c>
      <c r="B333" s="1" t="n">
        <v>44172</v>
      </c>
      <c r="C333" s="1" t="n">
        <v>45473</v>
      </c>
      <c r="D333" t="inlineStr">
        <is>
          <t>SÖDERMANLANDS LÄN</t>
        </is>
      </c>
      <c r="E333" t="inlineStr">
        <is>
          <t>ESKILSTUNA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65212-2020</t>
        </is>
      </c>
      <c r="B334" s="1" t="n">
        <v>44172</v>
      </c>
      <c r="C334" s="1" t="n">
        <v>45473</v>
      </c>
      <c r="D334" t="inlineStr">
        <is>
          <t>SÖDERMANLANDS LÄN</t>
        </is>
      </c>
      <c r="E334" t="inlineStr">
        <is>
          <t>ESKILSTUNA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66319-2020</t>
        </is>
      </c>
      <c r="B335" s="1" t="n">
        <v>44174</v>
      </c>
      <c r="C335" s="1" t="n">
        <v>45473</v>
      </c>
      <c r="D335" t="inlineStr">
        <is>
          <t>SÖDERMANLANDS LÄN</t>
        </is>
      </c>
      <c r="E335" t="inlineStr">
        <is>
          <t>ESKILSTUNA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66312-2020</t>
        </is>
      </c>
      <c r="B336" s="1" t="n">
        <v>44174</v>
      </c>
      <c r="C336" s="1" t="n">
        <v>45473</v>
      </c>
      <c r="D336" t="inlineStr">
        <is>
          <t>SÖDERMANLANDS LÄN</t>
        </is>
      </c>
      <c r="E336" t="inlineStr">
        <is>
          <t>ESKILSTUNA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66330-2020</t>
        </is>
      </c>
      <c r="B337" s="1" t="n">
        <v>44174</v>
      </c>
      <c r="C337" s="1" t="n">
        <v>45473</v>
      </c>
      <c r="D337" t="inlineStr">
        <is>
          <t>SÖDERMANLANDS LÄN</t>
        </is>
      </c>
      <c r="E337" t="inlineStr">
        <is>
          <t>ESKILSTUNA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66041-2020</t>
        </is>
      </c>
      <c r="B338" s="1" t="n">
        <v>44175</v>
      </c>
      <c r="C338" s="1" t="n">
        <v>45473</v>
      </c>
      <c r="D338" t="inlineStr">
        <is>
          <t>SÖDERMANLANDS LÄN</t>
        </is>
      </c>
      <c r="E338" t="inlineStr">
        <is>
          <t>ESKILSTUNA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66453-2020</t>
        </is>
      </c>
      <c r="B339" s="1" t="n">
        <v>44176</v>
      </c>
      <c r="C339" s="1" t="n">
        <v>45473</v>
      </c>
      <c r="D339" t="inlineStr">
        <is>
          <t>SÖDERMANLANDS LÄN</t>
        </is>
      </c>
      <c r="E339" t="inlineStr">
        <is>
          <t>ESKILSTUNA</t>
        </is>
      </c>
      <c r="G339" t="n">
        <v>10.5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66936-2020</t>
        </is>
      </c>
      <c r="B340" s="1" t="n">
        <v>44180</v>
      </c>
      <c r="C340" s="1" t="n">
        <v>45473</v>
      </c>
      <c r="D340" t="inlineStr">
        <is>
          <t>SÖDERMANLANDS LÄN</t>
        </is>
      </c>
      <c r="E340" t="inlineStr">
        <is>
          <t>ESKILSTUNA</t>
        </is>
      </c>
      <c r="G340" t="n">
        <v>35.1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66946-2020</t>
        </is>
      </c>
      <c r="B341" s="1" t="n">
        <v>44180</v>
      </c>
      <c r="C341" s="1" t="n">
        <v>45473</v>
      </c>
      <c r="D341" t="inlineStr">
        <is>
          <t>SÖDERMANLANDS LÄN</t>
        </is>
      </c>
      <c r="E341" t="inlineStr">
        <is>
          <t>ESKILSTUNA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69143-2020</t>
        </is>
      </c>
      <c r="B342" s="1" t="n">
        <v>44188</v>
      </c>
      <c r="C342" s="1" t="n">
        <v>45473</v>
      </c>
      <c r="D342" t="inlineStr">
        <is>
          <t>SÖDERMANLANDS LÄN</t>
        </is>
      </c>
      <c r="E342" t="inlineStr">
        <is>
          <t>ESKILSTUNA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69563-2020</t>
        </is>
      </c>
      <c r="B343" s="1" t="n">
        <v>44194</v>
      </c>
      <c r="C343" s="1" t="n">
        <v>45473</v>
      </c>
      <c r="D343" t="inlineStr">
        <is>
          <t>SÖDERMANLANDS LÄN</t>
        </is>
      </c>
      <c r="E343" t="inlineStr">
        <is>
          <t>ESKILSTUNA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471-2021</t>
        </is>
      </c>
      <c r="B344" s="1" t="n">
        <v>44203</v>
      </c>
      <c r="C344" s="1" t="n">
        <v>45473</v>
      </c>
      <c r="D344" t="inlineStr">
        <is>
          <t>SÖDERMANLANDS LÄN</t>
        </is>
      </c>
      <c r="E344" t="inlineStr">
        <is>
          <t>ESKILSTUNA</t>
        </is>
      </c>
      <c r="F344" t="inlineStr">
        <is>
          <t>Kyrkan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473-2021</t>
        </is>
      </c>
      <c r="B345" s="1" t="n">
        <v>44203</v>
      </c>
      <c r="C345" s="1" t="n">
        <v>45473</v>
      </c>
      <c r="D345" t="inlineStr">
        <is>
          <t>SÖDERMANLANDS LÄN</t>
        </is>
      </c>
      <c r="E345" t="inlineStr">
        <is>
          <t>ESKILSTUNA</t>
        </is>
      </c>
      <c r="F345" t="inlineStr">
        <is>
          <t>Kyrkan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1655-2021</t>
        </is>
      </c>
      <c r="B346" s="1" t="n">
        <v>44209</v>
      </c>
      <c r="C346" s="1" t="n">
        <v>45473</v>
      </c>
      <c r="D346" t="inlineStr">
        <is>
          <t>SÖDERMANLANDS LÄN</t>
        </is>
      </c>
      <c r="E346" t="inlineStr">
        <is>
          <t>ESKILSTUNA</t>
        </is>
      </c>
      <c r="F346" t="inlineStr">
        <is>
          <t>Allmännings- och besparingsskogar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1694-2021</t>
        </is>
      </c>
      <c r="B347" s="1" t="n">
        <v>44209</v>
      </c>
      <c r="C347" s="1" t="n">
        <v>45473</v>
      </c>
      <c r="D347" t="inlineStr">
        <is>
          <t>SÖDERMANLANDS LÄN</t>
        </is>
      </c>
      <c r="E347" t="inlineStr">
        <is>
          <t>ESKILSTUNA</t>
        </is>
      </c>
      <c r="F347" t="inlineStr">
        <is>
          <t>Allmännings- och besparingsskogar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2071-2021</t>
        </is>
      </c>
      <c r="B348" s="1" t="n">
        <v>44211</v>
      </c>
      <c r="C348" s="1" t="n">
        <v>45473</v>
      </c>
      <c r="D348" t="inlineStr">
        <is>
          <t>SÖDERMANLANDS LÄN</t>
        </is>
      </c>
      <c r="E348" t="inlineStr">
        <is>
          <t>ESKILSTUNA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2113-2021</t>
        </is>
      </c>
      <c r="B349" s="1" t="n">
        <v>44211</v>
      </c>
      <c r="C349" s="1" t="n">
        <v>45473</v>
      </c>
      <c r="D349" t="inlineStr">
        <is>
          <t>SÖDERMANLANDS LÄN</t>
        </is>
      </c>
      <c r="E349" t="inlineStr">
        <is>
          <t>ESKILSTUNA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2362-2021</t>
        </is>
      </c>
      <c r="B350" s="1" t="n">
        <v>44214</v>
      </c>
      <c r="C350" s="1" t="n">
        <v>45473</v>
      </c>
      <c r="D350" t="inlineStr">
        <is>
          <t>SÖDERMANLANDS LÄN</t>
        </is>
      </c>
      <c r="E350" t="inlineStr">
        <is>
          <t>ESKILSTUNA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2945-2021</t>
        </is>
      </c>
      <c r="B351" s="1" t="n">
        <v>44216</v>
      </c>
      <c r="C351" s="1" t="n">
        <v>45473</v>
      </c>
      <c r="D351" t="inlineStr">
        <is>
          <t>SÖDERMANLANDS LÄN</t>
        </is>
      </c>
      <c r="E351" t="inlineStr">
        <is>
          <t>ESKILSTUNA</t>
        </is>
      </c>
      <c r="F351" t="inlineStr">
        <is>
          <t>Allmännings- och besparingsskogar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3720-2021</t>
        </is>
      </c>
      <c r="B352" s="1" t="n">
        <v>44221</v>
      </c>
      <c r="C352" s="1" t="n">
        <v>45473</v>
      </c>
      <c r="D352" t="inlineStr">
        <is>
          <t>SÖDERMANLANDS LÄN</t>
        </is>
      </c>
      <c r="E352" t="inlineStr">
        <is>
          <t>ESKILSTUNA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3718-2021</t>
        </is>
      </c>
      <c r="B353" s="1" t="n">
        <v>44221</v>
      </c>
      <c r="C353" s="1" t="n">
        <v>45473</v>
      </c>
      <c r="D353" t="inlineStr">
        <is>
          <t>SÖDERMANLANDS LÄN</t>
        </is>
      </c>
      <c r="E353" t="inlineStr">
        <is>
          <t>ESKILSTUNA</t>
        </is>
      </c>
      <c r="G353" t="n">
        <v>4.5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3722-2021</t>
        </is>
      </c>
      <c r="B354" s="1" t="n">
        <v>44221</v>
      </c>
      <c r="C354" s="1" t="n">
        <v>45473</v>
      </c>
      <c r="D354" t="inlineStr">
        <is>
          <t>SÖDERMANLANDS LÄN</t>
        </is>
      </c>
      <c r="E354" t="inlineStr">
        <is>
          <t>ESKILSTUNA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3721-2021</t>
        </is>
      </c>
      <c r="B355" s="1" t="n">
        <v>44221</v>
      </c>
      <c r="C355" s="1" t="n">
        <v>45473</v>
      </c>
      <c r="D355" t="inlineStr">
        <is>
          <t>SÖDERMANLANDS LÄN</t>
        </is>
      </c>
      <c r="E355" t="inlineStr">
        <is>
          <t>ESKILSTUNA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4426-2021</t>
        </is>
      </c>
      <c r="B356" s="1" t="n">
        <v>44221</v>
      </c>
      <c r="C356" s="1" t="n">
        <v>45473</v>
      </c>
      <c r="D356" t="inlineStr">
        <is>
          <t>SÖDERMANLANDS LÄN</t>
        </is>
      </c>
      <c r="E356" t="inlineStr">
        <is>
          <t>ESKILSTUNA</t>
        </is>
      </c>
      <c r="G356" t="n">
        <v>16.5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4635-2021</t>
        </is>
      </c>
      <c r="B357" s="1" t="n">
        <v>44224</v>
      </c>
      <c r="C357" s="1" t="n">
        <v>45473</v>
      </c>
      <c r="D357" t="inlineStr">
        <is>
          <t>SÖDERMANLANDS LÄN</t>
        </is>
      </c>
      <c r="E357" t="inlineStr">
        <is>
          <t>ESKILSTUNA</t>
        </is>
      </c>
      <c r="G357" t="n">
        <v>11.3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5569-2021</t>
        </is>
      </c>
      <c r="B358" s="1" t="n">
        <v>44230</v>
      </c>
      <c r="C358" s="1" t="n">
        <v>45473</v>
      </c>
      <c r="D358" t="inlineStr">
        <is>
          <t>SÖDERMANLANDS LÄN</t>
        </is>
      </c>
      <c r="E358" t="inlineStr">
        <is>
          <t>ESKILSTUNA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7213-2021</t>
        </is>
      </c>
      <c r="B359" s="1" t="n">
        <v>44238</v>
      </c>
      <c r="C359" s="1" t="n">
        <v>45473</v>
      </c>
      <c r="D359" t="inlineStr">
        <is>
          <t>SÖDERMANLANDS LÄN</t>
        </is>
      </c>
      <c r="E359" t="inlineStr">
        <is>
          <t>ESKILSTUNA</t>
        </is>
      </c>
      <c r="F359" t="inlineStr">
        <is>
          <t>Kyrkan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7237-2021</t>
        </is>
      </c>
      <c r="B360" s="1" t="n">
        <v>44238</v>
      </c>
      <c r="C360" s="1" t="n">
        <v>45473</v>
      </c>
      <c r="D360" t="inlineStr">
        <is>
          <t>SÖDERMANLANDS LÄN</t>
        </is>
      </c>
      <c r="E360" t="inlineStr">
        <is>
          <t>ESKILSTUNA</t>
        </is>
      </c>
      <c r="F360" t="inlineStr">
        <is>
          <t>Kyrkan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7346-2021</t>
        </is>
      </c>
      <c r="B361" s="1" t="n">
        <v>44239</v>
      </c>
      <c r="C361" s="1" t="n">
        <v>45473</v>
      </c>
      <c r="D361" t="inlineStr">
        <is>
          <t>SÖDERMANLANDS LÄN</t>
        </is>
      </c>
      <c r="E361" t="inlineStr">
        <is>
          <t>ESKILSTUNA</t>
        </is>
      </c>
      <c r="F361" t="inlineStr">
        <is>
          <t>Holmen skog AB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7671-2021</t>
        </is>
      </c>
      <c r="B362" s="1" t="n">
        <v>44239</v>
      </c>
      <c r="C362" s="1" t="n">
        <v>45473</v>
      </c>
      <c r="D362" t="inlineStr">
        <is>
          <t>SÖDERMANLANDS LÄN</t>
        </is>
      </c>
      <c r="E362" t="inlineStr">
        <is>
          <t>ESKILSTUNA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8609-2021</t>
        </is>
      </c>
      <c r="B363" s="1" t="n">
        <v>44245</v>
      </c>
      <c r="C363" s="1" t="n">
        <v>45473</v>
      </c>
      <c r="D363" t="inlineStr">
        <is>
          <t>SÖDERMANLANDS LÄN</t>
        </is>
      </c>
      <c r="E363" t="inlineStr">
        <is>
          <t>ESKILSTUNA</t>
        </is>
      </c>
      <c r="F363" t="inlineStr">
        <is>
          <t>Allmännings- och besparingsskogar</t>
        </is>
      </c>
      <c r="G363" t="n">
        <v>8.800000000000001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8619-2021</t>
        </is>
      </c>
      <c r="B364" s="1" t="n">
        <v>44245</v>
      </c>
      <c r="C364" s="1" t="n">
        <v>45473</v>
      </c>
      <c r="D364" t="inlineStr">
        <is>
          <t>SÖDERMANLANDS LÄN</t>
        </is>
      </c>
      <c r="E364" t="inlineStr">
        <is>
          <t>ESKILSTUNA</t>
        </is>
      </c>
      <c r="F364" t="inlineStr">
        <is>
          <t>Allmännings- och besparingsskogar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8610-2021</t>
        </is>
      </c>
      <c r="B365" s="1" t="n">
        <v>44245</v>
      </c>
      <c r="C365" s="1" t="n">
        <v>45473</v>
      </c>
      <c r="D365" t="inlineStr">
        <is>
          <t>SÖDERMANLANDS LÄN</t>
        </is>
      </c>
      <c r="E365" t="inlineStr">
        <is>
          <t>ESKILSTUNA</t>
        </is>
      </c>
      <c r="F365" t="inlineStr">
        <is>
          <t>Allmännings- och besparingsskogar</t>
        </is>
      </c>
      <c r="G365" t="n">
        <v>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8616-2021</t>
        </is>
      </c>
      <c r="B366" s="1" t="n">
        <v>44245</v>
      </c>
      <c r="C366" s="1" t="n">
        <v>45473</v>
      </c>
      <c r="D366" t="inlineStr">
        <is>
          <t>SÖDERMANLANDS LÄN</t>
        </is>
      </c>
      <c r="E366" t="inlineStr">
        <is>
          <t>ESKILSTUNA</t>
        </is>
      </c>
      <c r="F366" t="inlineStr">
        <is>
          <t>Allmännings- och besparingsskogar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8614-2021</t>
        </is>
      </c>
      <c r="B367" s="1" t="n">
        <v>44245</v>
      </c>
      <c r="C367" s="1" t="n">
        <v>45473</v>
      </c>
      <c r="D367" t="inlineStr">
        <is>
          <t>SÖDERMANLANDS LÄN</t>
        </is>
      </c>
      <c r="E367" t="inlineStr">
        <is>
          <t>ESKILSTUNA</t>
        </is>
      </c>
      <c r="F367" t="inlineStr">
        <is>
          <t>Allmännings- och besparingsskogar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9374-2021</t>
        </is>
      </c>
      <c r="B368" s="1" t="n">
        <v>44250</v>
      </c>
      <c r="C368" s="1" t="n">
        <v>45473</v>
      </c>
      <c r="D368" t="inlineStr">
        <is>
          <t>SÖDERMANLANDS LÄN</t>
        </is>
      </c>
      <c r="E368" t="inlineStr">
        <is>
          <t>ESKILSTUNA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9595-2021</t>
        </is>
      </c>
      <c r="B369" s="1" t="n">
        <v>44251</v>
      </c>
      <c r="C369" s="1" t="n">
        <v>45473</v>
      </c>
      <c r="D369" t="inlineStr">
        <is>
          <t>SÖDERMANLANDS LÄN</t>
        </is>
      </c>
      <c r="E369" t="inlineStr">
        <is>
          <t>ESKILSTUNA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9606-2021</t>
        </is>
      </c>
      <c r="B370" s="1" t="n">
        <v>44251</v>
      </c>
      <c r="C370" s="1" t="n">
        <v>45473</v>
      </c>
      <c r="D370" t="inlineStr">
        <is>
          <t>SÖDERMANLANDS LÄN</t>
        </is>
      </c>
      <c r="E370" t="inlineStr">
        <is>
          <t>ESKILSTUNA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10748-2021</t>
        </is>
      </c>
      <c r="B371" s="1" t="n">
        <v>44258</v>
      </c>
      <c r="C371" s="1" t="n">
        <v>45473</v>
      </c>
      <c r="D371" t="inlineStr">
        <is>
          <t>SÖDERMANLANDS LÄN</t>
        </is>
      </c>
      <c r="E371" t="inlineStr">
        <is>
          <t>ESKILSTUNA</t>
        </is>
      </c>
      <c r="G371" t="n">
        <v>8.5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10835-2021</t>
        </is>
      </c>
      <c r="B372" s="1" t="n">
        <v>44258</v>
      </c>
      <c r="C372" s="1" t="n">
        <v>45473</v>
      </c>
      <c r="D372" t="inlineStr">
        <is>
          <t>SÖDERMANLANDS LÄN</t>
        </is>
      </c>
      <c r="E372" t="inlineStr">
        <is>
          <t>ESKILSTUNA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11169-2021</t>
        </is>
      </c>
      <c r="B373" s="1" t="n">
        <v>44262</v>
      </c>
      <c r="C373" s="1" t="n">
        <v>45473</v>
      </c>
      <c r="D373" t="inlineStr">
        <is>
          <t>SÖDERMANLANDS LÄN</t>
        </is>
      </c>
      <c r="E373" t="inlineStr">
        <is>
          <t>ESKILSTUNA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11252-2021</t>
        </is>
      </c>
      <c r="B374" s="1" t="n">
        <v>44262</v>
      </c>
      <c r="C374" s="1" t="n">
        <v>45473</v>
      </c>
      <c r="D374" t="inlineStr">
        <is>
          <t>SÖDERMANLANDS LÄN</t>
        </is>
      </c>
      <c r="E374" t="inlineStr">
        <is>
          <t>ESKILSTUNA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14641-2021</t>
        </is>
      </c>
      <c r="B375" s="1" t="n">
        <v>44280</v>
      </c>
      <c r="C375" s="1" t="n">
        <v>45473</v>
      </c>
      <c r="D375" t="inlineStr">
        <is>
          <t>SÖDERMANLANDS LÄN</t>
        </is>
      </c>
      <c r="E375" t="inlineStr">
        <is>
          <t>ESKILSTUNA</t>
        </is>
      </c>
      <c r="G375" t="n">
        <v>13.1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15397-2021</t>
        </is>
      </c>
      <c r="B376" s="1" t="n">
        <v>44284</v>
      </c>
      <c r="C376" s="1" t="n">
        <v>45473</v>
      </c>
      <c r="D376" t="inlineStr">
        <is>
          <t>SÖDERMANLANDS LÄN</t>
        </is>
      </c>
      <c r="E376" t="inlineStr">
        <is>
          <t>ESKILSTUNA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15423-2021</t>
        </is>
      </c>
      <c r="B377" s="1" t="n">
        <v>44285</v>
      </c>
      <c r="C377" s="1" t="n">
        <v>45473</v>
      </c>
      <c r="D377" t="inlineStr">
        <is>
          <t>SÖDERMANLANDS LÄN</t>
        </is>
      </c>
      <c r="E377" t="inlineStr">
        <is>
          <t>ESKILSTUNA</t>
        </is>
      </c>
      <c r="G377" t="n">
        <v>12.3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16917-2021</t>
        </is>
      </c>
      <c r="B378" s="1" t="n">
        <v>44295</v>
      </c>
      <c r="C378" s="1" t="n">
        <v>45473</v>
      </c>
      <c r="D378" t="inlineStr">
        <is>
          <t>SÖDERMANLANDS LÄN</t>
        </is>
      </c>
      <c r="E378" t="inlineStr">
        <is>
          <t>ESKILSTUNA</t>
        </is>
      </c>
      <c r="F378" t="inlineStr">
        <is>
          <t>Allmännings- och besparingsskogar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17244-2021</t>
        </is>
      </c>
      <c r="B379" s="1" t="n">
        <v>44298</v>
      </c>
      <c r="C379" s="1" t="n">
        <v>45473</v>
      </c>
      <c r="D379" t="inlineStr">
        <is>
          <t>SÖDERMANLANDS LÄN</t>
        </is>
      </c>
      <c r="E379" t="inlineStr">
        <is>
          <t>ESKILSTUNA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18524-2021</t>
        </is>
      </c>
      <c r="B380" s="1" t="n">
        <v>44306</v>
      </c>
      <c r="C380" s="1" t="n">
        <v>45473</v>
      </c>
      <c r="D380" t="inlineStr">
        <is>
          <t>SÖDERMANLANDS LÄN</t>
        </is>
      </c>
      <c r="E380" t="inlineStr">
        <is>
          <t>ESKILSTUNA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18954-2021</t>
        </is>
      </c>
      <c r="B381" s="1" t="n">
        <v>44307</v>
      </c>
      <c r="C381" s="1" t="n">
        <v>45473</v>
      </c>
      <c r="D381" t="inlineStr">
        <is>
          <t>SÖDERMANLANDS LÄN</t>
        </is>
      </c>
      <c r="E381" t="inlineStr">
        <is>
          <t>ESKILSTUNA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18942-2021</t>
        </is>
      </c>
      <c r="B382" s="1" t="n">
        <v>44308</v>
      </c>
      <c r="C382" s="1" t="n">
        <v>45473</v>
      </c>
      <c r="D382" t="inlineStr">
        <is>
          <t>SÖDERMANLANDS LÄN</t>
        </is>
      </c>
      <c r="E382" t="inlineStr">
        <is>
          <t>ESKILSTUNA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19888-2021</t>
        </is>
      </c>
      <c r="B383" s="1" t="n">
        <v>44312</v>
      </c>
      <c r="C383" s="1" t="n">
        <v>45473</v>
      </c>
      <c r="D383" t="inlineStr">
        <is>
          <t>SÖDERMANLANDS LÄN</t>
        </is>
      </c>
      <c r="E383" t="inlineStr">
        <is>
          <t>ESKILSTUNA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19849-2021</t>
        </is>
      </c>
      <c r="B384" s="1" t="n">
        <v>44313</v>
      </c>
      <c r="C384" s="1" t="n">
        <v>45473</v>
      </c>
      <c r="D384" t="inlineStr">
        <is>
          <t>SÖDERMANLANDS LÄN</t>
        </is>
      </c>
      <c r="E384" t="inlineStr">
        <is>
          <t>ESKILSTUNA</t>
        </is>
      </c>
      <c r="F384" t="inlineStr">
        <is>
          <t>Kyrkan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20030-2021</t>
        </is>
      </c>
      <c r="B385" s="1" t="n">
        <v>44313</v>
      </c>
      <c r="C385" s="1" t="n">
        <v>45473</v>
      </c>
      <c r="D385" t="inlineStr">
        <is>
          <t>SÖDERMANLANDS LÄN</t>
        </is>
      </c>
      <c r="E385" t="inlineStr">
        <is>
          <t>ESKILSTUNA</t>
        </is>
      </c>
      <c r="G385" t="n">
        <v>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22922-2021</t>
        </is>
      </c>
      <c r="B386" s="1" t="n">
        <v>44328</v>
      </c>
      <c r="C386" s="1" t="n">
        <v>45473</v>
      </c>
      <c r="D386" t="inlineStr">
        <is>
          <t>SÖDERMANLANDS LÄN</t>
        </is>
      </c>
      <c r="E386" t="inlineStr">
        <is>
          <t>ESKILSTUNA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23058-2021</t>
        </is>
      </c>
      <c r="B387" s="1" t="n">
        <v>44329</v>
      </c>
      <c r="C387" s="1" t="n">
        <v>45473</v>
      </c>
      <c r="D387" t="inlineStr">
        <is>
          <t>SÖDERMANLANDS LÄN</t>
        </is>
      </c>
      <c r="E387" t="inlineStr">
        <is>
          <t>ESKILSTUNA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23371-2021</t>
        </is>
      </c>
      <c r="B388" s="1" t="n">
        <v>44333</v>
      </c>
      <c r="C388" s="1" t="n">
        <v>45473</v>
      </c>
      <c r="D388" t="inlineStr">
        <is>
          <t>SÖDERMANLANDS LÄN</t>
        </is>
      </c>
      <c r="E388" t="inlineStr">
        <is>
          <t>ESKILSTUNA</t>
        </is>
      </c>
      <c r="F388" t="inlineStr">
        <is>
          <t>Sveaskog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24113-2021</t>
        </is>
      </c>
      <c r="B389" s="1" t="n">
        <v>44336</v>
      </c>
      <c r="C389" s="1" t="n">
        <v>45473</v>
      </c>
      <c r="D389" t="inlineStr">
        <is>
          <t>SÖDERMANLANDS LÄN</t>
        </is>
      </c>
      <c r="E389" t="inlineStr">
        <is>
          <t>ESKILSTUNA</t>
        </is>
      </c>
      <c r="G389" t="n">
        <v>18.9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26996-2021</t>
        </is>
      </c>
      <c r="B390" s="1" t="n">
        <v>44350</v>
      </c>
      <c r="C390" s="1" t="n">
        <v>45473</v>
      </c>
      <c r="D390" t="inlineStr">
        <is>
          <t>SÖDERMANLANDS LÄN</t>
        </is>
      </c>
      <c r="E390" t="inlineStr">
        <is>
          <t>ESKILSTUNA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28039-2021</t>
        </is>
      </c>
      <c r="B391" s="1" t="n">
        <v>44355</v>
      </c>
      <c r="C391" s="1" t="n">
        <v>45473</v>
      </c>
      <c r="D391" t="inlineStr">
        <is>
          <t>SÖDERMANLANDS LÄN</t>
        </is>
      </c>
      <c r="E391" t="inlineStr">
        <is>
          <t>ESKILSTUNA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28046-2021</t>
        </is>
      </c>
      <c r="B392" s="1" t="n">
        <v>44355</v>
      </c>
      <c r="C392" s="1" t="n">
        <v>45473</v>
      </c>
      <c r="D392" t="inlineStr">
        <is>
          <t>SÖDERMANLANDS LÄN</t>
        </is>
      </c>
      <c r="E392" t="inlineStr">
        <is>
          <t>ESKILSTUNA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29762-2021</t>
        </is>
      </c>
      <c r="B393" s="1" t="n">
        <v>44362</v>
      </c>
      <c r="C393" s="1" t="n">
        <v>45473</v>
      </c>
      <c r="D393" t="inlineStr">
        <is>
          <t>SÖDERMANLANDS LÄN</t>
        </is>
      </c>
      <c r="E393" t="inlineStr">
        <is>
          <t>ESKILSTUNA</t>
        </is>
      </c>
      <c r="G393" t="n">
        <v>5.3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29745-2021</t>
        </is>
      </c>
      <c r="B394" s="1" t="n">
        <v>44362</v>
      </c>
      <c r="C394" s="1" t="n">
        <v>45473</v>
      </c>
      <c r="D394" t="inlineStr">
        <is>
          <t>SÖDERMANLANDS LÄN</t>
        </is>
      </c>
      <c r="E394" t="inlineStr">
        <is>
          <t>ESKILSTUNA</t>
        </is>
      </c>
      <c r="F394" t="inlineStr">
        <is>
          <t>Kyrkan</t>
        </is>
      </c>
      <c r="G394" t="n">
        <v>11.1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31182-2021</t>
        </is>
      </c>
      <c r="B395" s="1" t="n">
        <v>44368</v>
      </c>
      <c r="C395" s="1" t="n">
        <v>45473</v>
      </c>
      <c r="D395" t="inlineStr">
        <is>
          <t>SÖDERMANLANDS LÄN</t>
        </is>
      </c>
      <c r="E395" t="inlineStr">
        <is>
          <t>ESKILSTUNA</t>
        </is>
      </c>
      <c r="F395" t="inlineStr">
        <is>
          <t>Övriga Aktiebolag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34055-2021</t>
        </is>
      </c>
      <c r="B396" s="1" t="n">
        <v>44379</v>
      </c>
      <c r="C396" s="1" t="n">
        <v>45473</v>
      </c>
      <c r="D396" t="inlineStr">
        <is>
          <t>SÖDERMANLANDS LÄN</t>
        </is>
      </c>
      <c r="E396" t="inlineStr">
        <is>
          <t>ESKILSTUNA</t>
        </is>
      </c>
      <c r="G396" t="n">
        <v>10.7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34915-2021</t>
        </is>
      </c>
      <c r="B397" s="1" t="n">
        <v>44382</v>
      </c>
      <c r="C397" s="1" t="n">
        <v>45473</v>
      </c>
      <c r="D397" t="inlineStr">
        <is>
          <t>SÖDERMANLANDS LÄN</t>
        </is>
      </c>
      <c r="E397" t="inlineStr">
        <is>
          <t>ESKILSTUNA</t>
        </is>
      </c>
      <c r="G397" t="n">
        <v>7.2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36735-2021</t>
        </is>
      </c>
      <c r="B398" s="1" t="n">
        <v>44392</v>
      </c>
      <c r="C398" s="1" t="n">
        <v>45473</v>
      </c>
      <c r="D398" t="inlineStr">
        <is>
          <t>SÖDERMANLANDS LÄN</t>
        </is>
      </c>
      <c r="E398" t="inlineStr">
        <is>
          <t>ESKILSTUNA</t>
        </is>
      </c>
      <c r="F398" t="inlineStr">
        <is>
          <t>Kommuner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37908-2021</t>
        </is>
      </c>
      <c r="B399" s="1" t="n">
        <v>44403</v>
      </c>
      <c r="C399" s="1" t="n">
        <v>45473</v>
      </c>
      <c r="D399" t="inlineStr">
        <is>
          <t>SÖDERMANLANDS LÄN</t>
        </is>
      </c>
      <c r="E399" t="inlineStr">
        <is>
          <t>ESKILSTUNA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38263-2021</t>
        </is>
      </c>
      <c r="B400" s="1" t="n">
        <v>44405</v>
      </c>
      <c r="C400" s="1" t="n">
        <v>45473</v>
      </c>
      <c r="D400" t="inlineStr">
        <is>
          <t>SÖDERMANLANDS LÄN</t>
        </is>
      </c>
      <c r="E400" t="inlineStr">
        <is>
          <t>ESKILSTUNA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38824-2021</t>
        </is>
      </c>
      <c r="B401" s="1" t="n">
        <v>44410</v>
      </c>
      <c r="C401" s="1" t="n">
        <v>45473</v>
      </c>
      <c r="D401" t="inlineStr">
        <is>
          <t>SÖDERMANLANDS LÄN</t>
        </is>
      </c>
      <c r="E401" t="inlineStr">
        <is>
          <t>ESKILSTUNA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38866-2021</t>
        </is>
      </c>
      <c r="B402" s="1" t="n">
        <v>44410</v>
      </c>
      <c r="C402" s="1" t="n">
        <v>45473</v>
      </c>
      <c r="D402" t="inlineStr">
        <is>
          <t>SÖDERMANLANDS LÄN</t>
        </is>
      </c>
      <c r="E402" t="inlineStr">
        <is>
          <t>ESKILSTUNA</t>
        </is>
      </c>
      <c r="G402" t="n">
        <v>4.4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38849-2021</t>
        </is>
      </c>
      <c r="B403" s="1" t="n">
        <v>44410</v>
      </c>
      <c r="C403" s="1" t="n">
        <v>45473</v>
      </c>
      <c r="D403" t="inlineStr">
        <is>
          <t>SÖDERMANLANDS LÄN</t>
        </is>
      </c>
      <c r="E403" t="inlineStr">
        <is>
          <t>ESKILSTUNA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41997-2021</t>
        </is>
      </c>
      <c r="B404" s="1" t="n">
        <v>44426</v>
      </c>
      <c r="C404" s="1" t="n">
        <v>45473</v>
      </c>
      <c r="D404" t="inlineStr">
        <is>
          <t>SÖDERMANLANDS LÄN</t>
        </is>
      </c>
      <c r="E404" t="inlineStr">
        <is>
          <t>ESKILSTUNA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42012-2021</t>
        </is>
      </c>
      <c r="B405" s="1" t="n">
        <v>44426</v>
      </c>
      <c r="C405" s="1" t="n">
        <v>45473</v>
      </c>
      <c r="D405" t="inlineStr">
        <is>
          <t>SÖDERMANLANDS LÄN</t>
        </is>
      </c>
      <c r="E405" t="inlineStr">
        <is>
          <t>ESKILSTUNA</t>
        </is>
      </c>
      <c r="G405" t="n">
        <v>7.9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42002-2021</t>
        </is>
      </c>
      <c r="B406" s="1" t="n">
        <v>44426</v>
      </c>
      <c r="C406" s="1" t="n">
        <v>45473</v>
      </c>
      <c r="D406" t="inlineStr">
        <is>
          <t>SÖDERMANLANDS LÄN</t>
        </is>
      </c>
      <c r="E406" t="inlineStr">
        <is>
          <t>ESKILSTUNA</t>
        </is>
      </c>
      <c r="G406" t="n">
        <v>5.5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42016-2021</t>
        </is>
      </c>
      <c r="B407" s="1" t="n">
        <v>44426</v>
      </c>
      <c r="C407" s="1" t="n">
        <v>45473</v>
      </c>
      <c r="D407" t="inlineStr">
        <is>
          <t>SÖDERMANLANDS LÄN</t>
        </is>
      </c>
      <c r="E407" t="inlineStr">
        <is>
          <t>ESKILSTUNA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43130-2021</t>
        </is>
      </c>
      <c r="B408" s="1" t="n">
        <v>44431</v>
      </c>
      <c r="C408" s="1" t="n">
        <v>45473</v>
      </c>
      <c r="D408" t="inlineStr">
        <is>
          <t>SÖDERMANLANDS LÄN</t>
        </is>
      </c>
      <c r="E408" t="inlineStr">
        <is>
          <t>ESKILSTUNA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43156-2021</t>
        </is>
      </c>
      <c r="B409" s="1" t="n">
        <v>44431</v>
      </c>
      <c r="C409" s="1" t="n">
        <v>45473</v>
      </c>
      <c r="D409" t="inlineStr">
        <is>
          <t>SÖDERMANLANDS LÄN</t>
        </is>
      </c>
      <c r="E409" t="inlineStr">
        <is>
          <t>ESKILSTUNA</t>
        </is>
      </c>
      <c r="F409" t="inlineStr">
        <is>
          <t>Kyrkan</t>
        </is>
      </c>
      <c r="G409" t="n">
        <v>14.1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43149-2021</t>
        </is>
      </c>
      <c r="B410" s="1" t="n">
        <v>44431</v>
      </c>
      <c r="C410" s="1" t="n">
        <v>45473</v>
      </c>
      <c r="D410" t="inlineStr">
        <is>
          <t>SÖDERMANLANDS LÄN</t>
        </is>
      </c>
      <c r="E410" t="inlineStr">
        <is>
          <t>ESKILSTUNA</t>
        </is>
      </c>
      <c r="G410" t="n">
        <v>6.3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43397-2021</t>
        </is>
      </c>
      <c r="B411" s="1" t="n">
        <v>44432</v>
      </c>
      <c r="C411" s="1" t="n">
        <v>45473</v>
      </c>
      <c r="D411" t="inlineStr">
        <is>
          <t>SÖDERMANLANDS LÄN</t>
        </is>
      </c>
      <c r="E411" t="inlineStr">
        <is>
          <t>ESKILSTUNA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43396-2021</t>
        </is>
      </c>
      <c r="B412" s="1" t="n">
        <v>44432</v>
      </c>
      <c r="C412" s="1" t="n">
        <v>45473</v>
      </c>
      <c r="D412" t="inlineStr">
        <is>
          <t>SÖDERMANLANDS LÄN</t>
        </is>
      </c>
      <c r="E412" t="inlineStr">
        <is>
          <t>ESKILSTUNA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43403-2021</t>
        </is>
      </c>
      <c r="B413" s="1" t="n">
        <v>44432</v>
      </c>
      <c r="C413" s="1" t="n">
        <v>45473</v>
      </c>
      <c r="D413" t="inlineStr">
        <is>
          <t>SÖDERMANLANDS LÄN</t>
        </is>
      </c>
      <c r="E413" t="inlineStr">
        <is>
          <t>ESKILSTUNA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43389-2021</t>
        </is>
      </c>
      <c r="B414" s="1" t="n">
        <v>44432</v>
      </c>
      <c r="C414" s="1" t="n">
        <v>45473</v>
      </c>
      <c r="D414" t="inlineStr">
        <is>
          <t>SÖDERMANLANDS LÄN</t>
        </is>
      </c>
      <c r="E414" t="inlineStr">
        <is>
          <t>ESKILSTUNA</t>
        </is>
      </c>
      <c r="G414" t="n">
        <v>6.4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43426-2021</t>
        </is>
      </c>
      <c r="B415" s="1" t="n">
        <v>44432</v>
      </c>
      <c r="C415" s="1" t="n">
        <v>45473</v>
      </c>
      <c r="D415" t="inlineStr">
        <is>
          <t>SÖDERMANLANDS LÄN</t>
        </is>
      </c>
      <c r="E415" t="inlineStr">
        <is>
          <t>ESKILSTUNA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43606-2021</t>
        </is>
      </c>
      <c r="B416" s="1" t="n">
        <v>44433</v>
      </c>
      <c r="C416" s="1" t="n">
        <v>45473</v>
      </c>
      <c r="D416" t="inlineStr">
        <is>
          <t>SÖDERMANLANDS LÄN</t>
        </is>
      </c>
      <c r="E416" t="inlineStr">
        <is>
          <t>ESKILSTUNA</t>
        </is>
      </c>
      <c r="G416" t="n">
        <v>11.4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44019-2021</t>
        </is>
      </c>
      <c r="B417" s="1" t="n">
        <v>44434</v>
      </c>
      <c r="C417" s="1" t="n">
        <v>45473</v>
      </c>
      <c r="D417" t="inlineStr">
        <is>
          <t>SÖDERMANLANDS LÄN</t>
        </is>
      </c>
      <c r="E417" t="inlineStr">
        <is>
          <t>ESKILSTUNA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44347-2021</t>
        </is>
      </c>
      <c r="B418" s="1" t="n">
        <v>44435</v>
      </c>
      <c r="C418" s="1" t="n">
        <v>45473</v>
      </c>
      <c r="D418" t="inlineStr">
        <is>
          <t>SÖDERMANLANDS LÄN</t>
        </is>
      </c>
      <c r="E418" t="inlineStr">
        <is>
          <t>ESKILSTUNA</t>
        </is>
      </c>
      <c r="G418" t="n">
        <v>5.7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45852-2021</t>
        </is>
      </c>
      <c r="B419" s="1" t="n">
        <v>44441</v>
      </c>
      <c r="C419" s="1" t="n">
        <v>45473</v>
      </c>
      <c r="D419" t="inlineStr">
        <is>
          <t>SÖDERMANLANDS LÄN</t>
        </is>
      </c>
      <c r="E419" t="inlineStr">
        <is>
          <t>ESKILSTUNA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45999-2021</t>
        </is>
      </c>
      <c r="B420" s="1" t="n">
        <v>44441</v>
      </c>
      <c r="C420" s="1" t="n">
        <v>45473</v>
      </c>
      <c r="D420" t="inlineStr">
        <is>
          <t>SÖDERMANLANDS LÄN</t>
        </is>
      </c>
      <c r="E420" t="inlineStr">
        <is>
          <t>ESKILSTUNA</t>
        </is>
      </c>
      <c r="F420" t="inlineStr">
        <is>
          <t>Kommuner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47988-2021</t>
        </is>
      </c>
      <c r="B421" s="1" t="n">
        <v>44449</v>
      </c>
      <c r="C421" s="1" t="n">
        <v>45473</v>
      </c>
      <c r="D421" t="inlineStr">
        <is>
          <t>SÖDERMANLANDS LÄN</t>
        </is>
      </c>
      <c r="E421" t="inlineStr">
        <is>
          <t>ESKILSTUNA</t>
        </is>
      </c>
      <c r="F421" t="inlineStr">
        <is>
          <t>Holmen skog AB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47965-2021</t>
        </is>
      </c>
      <c r="B422" s="1" t="n">
        <v>44449</v>
      </c>
      <c r="C422" s="1" t="n">
        <v>45473</v>
      </c>
      <c r="D422" t="inlineStr">
        <is>
          <t>SÖDERMANLANDS LÄN</t>
        </is>
      </c>
      <c r="E422" t="inlineStr">
        <is>
          <t>ESKILSTUNA</t>
        </is>
      </c>
      <c r="F422" t="inlineStr">
        <is>
          <t>Holmen skog AB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47981-2021</t>
        </is>
      </c>
      <c r="B423" s="1" t="n">
        <v>44449</v>
      </c>
      <c r="C423" s="1" t="n">
        <v>45473</v>
      </c>
      <c r="D423" t="inlineStr">
        <is>
          <t>SÖDERMANLANDS LÄN</t>
        </is>
      </c>
      <c r="E423" t="inlineStr">
        <is>
          <t>ESKILSTUNA</t>
        </is>
      </c>
      <c r="F423" t="inlineStr">
        <is>
          <t>Holmen skog AB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48168-2021</t>
        </is>
      </c>
      <c r="B424" s="1" t="n">
        <v>44449</v>
      </c>
      <c r="C424" s="1" t="n">
        <v>45473</v>
      </c>
      <c r="D424" t="inlineStr">
        <is>
          <t>SÖDERMANLANDS LÄN</t>
        </is>
      </c>
      <c r="E424" t="inlineStr">
        <is>
          <t>ESKILSTUNA</t>
        </is>
      </c>
      <c r="F424" t="inlineStr">
        <is>
          <t>Holmen skog AB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48671-2021</t>
        </is>
      </c>
      <c r="B425" s="1" t="n">
        <v>44452</v>
      </c>
      <c r="C425" s="1" t="n">
        <v>45473</v>
      </c>
      <c r="D425" t="inlineStr">
        <is>
          <t>SÖDERMANLANDS LÄN</t>
        </is>
      </c>
      <c r="E425" t="inlineStr">
        <is>
          <t>ESKILSTUNA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48676-2021</t>
        </is>
      </c>
      <c r="B426" s="1" t="n">
        <v>44452</v>
      </c>
      <c r="C426" s="1" t="n">
        <v>45473</v>
      </c>
      <c r="D426" t="inlineStr">
        <is>
          <t>SÖDERMANLANDS LÄN</t>
        </is>
      </c>
      <c r="E426" t="inlineStr">
        <is>
          <t>ESKILSTUNA</t>
        </is>
      </c>
      <c r="G426" t="n">
        <v>8.4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49055-2021</t>
        </is>
      </c>
      <c r="B427" s="1" t="n">
        <v>44453</v>
      </c>
      <c r="C427" s="1" t="n">
        <v>45473</v>
      </c>
      <c r="D427" t="inlineStr">
        <is>
          <t>SÖDERMANLANDS LÄN</t>
        </is>
      </c>
      <c r="E427" t="inlineStr">
        <is>
          <t>ESKILSTUNA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49439-2021</t>
        </is>
      </c>
      <c r="B428" s="1" t="n">
        <v>44454</v>
      </c>
      <c r="C428" s="1" t="n">
        <v>45473</v>
      </c>
      <c r="D428" t="inlineStr">
        <is>
          <t>SÖDERMANLANDS LÄN</t>
        </is>
      </c>
      <c r="E428" t="inlineStr">
        <is>
          <t>ESKILSTUNA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49666-2021</t>
        </is>
      </c>
      <c r="B429" s="1" t="n">
        <v>44455</v>
      </c>
      <c r="C429" s="1" t="n">
        <v>45473</v>
      </c>
      <c r="D429" t="inlineStr">
        <is>
          <t>SÖDERMANLANDS LÄN</t>
        </is>
      </c>
      <c r="E429" t="inlineStr">
        <is>
          <t>ESKILSTUNA</t>
        </is>
      </c>
      <c r="G429" t="n">
        <v>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51486-2021</t>
        </is>
      </c>
      <c r="B430" s="1" t="n">
        <v>44461</v>
      </c>
      <c r="C430" s="1" t="n">
        <v>45473</v>
      </c>
      <c r="D430" t="inlineStr">
        <is>
          <t>SÖDERMANLANDS LÄN</t>
        </is>
      </c>
      <c r="E430" t="inlineStr">
        <is>
          <t>ESKILSTUNA</t>
        </is>
      </c>
      <c r="G430" t="n">
        <v>5.7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52830-2021</t>
        </is>
      </c>
      <c r="B431" s="1" t="n">
        <v>44467</v>
      </c>
      <c r="C431" s="1" t="n">
        <v>45473</v>
      </c>
      <c r="D431" t="inlineStr">
        <is>
          <t>SÖDERMANLANDS LÄN</t>
        </is>
      </c>
      <c r="E431" t="inlineStr">
        <is>
          <t>ESKILSTUNA</t>
        </is>
      </c>
      <c r="G431" t="n">
        <v>8.6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52825-2021</t>
        </is>
      </c>
      <c r="B432" s="1" t="n">
        <v>44467</v>
      </c>
      <c r="C432" s="1" t="n">
        <v>45473</v>
      </c>
      <c r="D432" t="inlineStr">
        <is>
          <t>SÖDERMANLANDS LÄN</t>
        </is>
      </c>
      <c r="E432" t="inlineStr">
        <is>
          <t>ESKILSTUNA</t>
        </is>
      </c>
      <c r="G432" t="n">
        <v>9.300000000000001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53280-2021</t>
        </is>
      </c>
      <c r="B433" s="1" t="n">
        <v>44468</v>
      </c>
      <c r="C433" s="1" t="n">
        <v>45473</v>
      </c>
      <c r="D433" t="inlineStr">
        <is>
          <t>SÖDERMANLANDS LÄN</t>
        </is>
      </c>
      <c r="E433" t="inlineStr">
        <is>
          <t>ESKILSTUNA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53208-2021</t>
        </is>
      </c>
      <c r="B434" s="1" t="n">
        <v>44468</v>
      </c>
      <c r="C434" s="1" t="n">
        <v>45473</v>
      </c>
      <c r="D434" t="inlineStr">
        <is>
          <t>SÖDERMANLANDS LÄN</t>
        </is>
      </c>
      <c r="E434" t="inlineStr">
        <is>
          <t>ESKILSTUNA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53476-2021</t>
        </is>
      </c>
      <c r="B435" s="1" t="n">
        <v>44468</v>
      </c>
      <c r="C435" s="1" t="n">
        <v>45473</v>
      </c>
      <c r="D435" t="inlineStr">
        <is>
          <t>SÖDERMANLANDS LÄN</t>
        </is>
      </c>
      <c r="E435" t="inlineStr">
        <is>
          <t>ESKILSTUNA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53661-2021</t>
        </is>
      </c>
      <c r="B436" s="1" t="n">
        <v>44469</v>
      </c>
      <c r="C436" s="1" t="n">
        <v>45473</v>
      </c>
      <c r="D436" t="inlineStr">
        <is>
          <t>SÖDERMANLANDS LÄN</t>
        </is>
      </c>
      <c r="E436" t="inlineStr">
        <is>
          <t>ESKILSTUNA</t>
        </is>
      </c>
      <c r="F436" t="inlineStr">
        <is>
          <t>Kommuner</t>
        </is>
      </c>
      <c r="G436" t="n">
        <v>5.6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54169-2021</t>
        </is>
      </c>
      <c r="B437" s="1" t="n">
        <v>44469</v>
      </c>
      <c r="C437" s="1" t="n">
        <v>45473</v>
      </c>
      <c r="D437" t="inlineStr">
        <is>
          <t>SÖDERMANLANDS LÄN</t>
        </is>
      </c>
      <c r="E437" t="inlineStr">
        <is>
          <t>ESKILSTUNA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54047-2021</t>
        </is>
      </c>
      <c r="B438" s="1" t="n">
        <v>44470</v>
      </c>
      <c r="C438" s="1" t="n">
        <v>45473</v>
      </c>
      <c r="D438" t="inlineStr">
        <is>
          <t>SÖDERMANLANDS LÄN</t>
        </is>
      </c>
      <c r="E438" t="inlineStr">
        <is>
          <t>ESKILSTUNA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54598-2021</t>
        </is>
      </c>
      <c r="B439" s="1" t="n">
        <v>44473</v>
      </c>
      <c r="C439" s="1" t="n">
        <v>45473</v>
      </c>
      <c r="D439" t="inlineStr">
        <is>
          <t>SÖDERMANLANDS LÄN</t>
        </is>
      </c>
      <c r="E439" t="inlineStr">
        <is>
          <t>ESKILSTUNA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54633-2021</t>
        </is>
      </c>
      <c r="B440" s="1" t="n">
        <v>44473</v>
      </c>
      <c r="C440" s="1" t="n">
        <v>45473</v>
      </c>
      <c r="D440" t="inlineStr">
        <is>
          <t>SÖDERMANLANDS LÄN</t>
        </is>
      </c>
      <c r="E440" t="inlineStr">
        <is>
          <t>ESKILSTUNA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54953-2021</t>
        </is>
      </c>
      <c r="B441" s="1" t="n">
        <v>44474</v>
      </c>
      <c r="C441" s="1" t="n">
        <v>45473</v>
      </c>
      <c r="D441" t="inlineStr">
        <is>
          <t>SÖDERMANLANDS LÄN</t>
        </is>
      </c>
      <c r="E441" t="inlineStr">
        <is>
          <t>ESKILSTUNA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57052-2021</t>
        </is>
      </c>
      <c r="B442" s="1" t="n">
        <v>44482</v>
      </c>
      <c r="C442" s="1" t="n">
        <v>45473</v>
      </c>
      <c r="D442" t="inlineStr">
        <is>
          <t>SÖDERMANLANDS LÄN</t>
        </is>
      </c>
      <c r="E442" t="inlineStr">
        <is>
          <t>ESKILSTUNA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57061-2021</t>
        </is>
      </c>
      <c r="B443" s="1" t="n">
        <v>44482</v>
      </c>
      <c r="C443" s="1" t="n">
        <v>45473</v>
      </c>
      <c r="D443" t="inlineStr">
        <is>
          <t>SÖDERMANLANDS LÄN</t>
        </is>
      </c>
      <c r="E443" t="inlineStr">
        <is>
          <t>ESKILSTUNA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57349-2021</t>
        </is>
      </c>
      <c r="B444" s="1" t="n">
        <v>44483</v>
      </c>
      <c r="C444" s="1" t="n">
        <v>45473</v>
      </c>
      <c r="D444" t="inlineStr">
        <is>
          <t>SÖDERMANLANDS LÄN</t>
        </is>
      </c>
      <c r="E444" t="inlineStr">
        <is>
          <t>ESKILSTUNA</t>
        </is>
      </c>
      <c r="F444" t="inlineStr">
        <is>
          <t>Sveaskog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57661-2021</t>
        </is>
      </c>
      <c r="B445" s="1" t="n">
        <v>44484</v>
      </c>
      <c r="C445" s="1" t="n">
        <v>45473</v>
      </c>
      <c r="D445" t="inlineStr">
        <is>
          <t>SÖDERMANLANDS LÄN</t>
        </is>
      </c>
      <c r="E445" t="inlineStr">
        <is>
          <t>ESKILSTUNA</t>
        </is>
      </c>
      <c r="F445" t="inlineStr">
        <is>
          <t>Allmännings- och besparingsskogar</t>
        </is>
      </c>
      <c r="G445" t="n">
        <v>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59275-2021</t>
        </is>
      </c>
      <c r="B446" s="1" t="n">
        <v>44490</v>
      </c>
      <c r="C446" s="1" t="n">
        <v>45473</v>
      </c>
      <c r="D446" t="inlineStr">
        <is>
          <t>SÖDERMANLANDS LÄN</t>
        </is>
      </c>
      <c r="E446" t="inlineStr">
        <is>
          <t>ESKILSTUNA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59276-2021</t>
        </is>
      </c>
      <c r="B447" s="1" t="n">
        <v>44490</v>
      </c>
      <c r="C447" s="1" t="n">
        <v>45473</v>
      </c>
      <c r="D447" t="inlineStr">
        <is>
          <t>SÖDERMANLANDS LÄN</t>
        </is>
      </c>
      <c r="E447" t="inlineStr">
        <is>
          <t>ESKILSTUNA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59274-2021</t>
        </is>
      </c>
      <c r="B448" s="1" t="n">
        <v>44490</v>
      </c>
      <c r="C448" s="1" t="n">
        <v>45473</v>
      </c>
      <c r="D448" t="inlineStr">
        <is>
          <t>SÖDERMANLANDS LÄN</t>
        </is>
      </c>
      <c r="E448" t="inlineStr">
        <is>
          <t>ESKILSTUNA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59271-2021</t>
        </is>
      </c>
      <c r="B449" s="1" t="n">
        <v>44490</v>
      </c>
      <c r="C449" s="1" t="n">
        <v>45473</v>
      </c>
      <c r="D449" t="inlineStr">
        <is>
          <t>SÖDERMANLANDS LÄN</t>
        </is>
      </c>
      <c r="E449" t="inlineStr">
        <is>
          <t>ESKILSTUNA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60721-2021</t>
        </is>
      </c>
      <c r="B450" s="1" t="n">
        <v>44490</v>
      </c>
      <c r="C450" s="1" t="n">
        <v>45473</v>
      </c>
      <c r="D450" t="inlineStr">
        <is>
          <t>SÖDERMANLANDS LÄN</t>
        </is>
      </c>
      <c r="E450" t="inlineStr">
        <is>
          <t>ESKILSTUNA</t>
        </is>
      </c>
      <c r="G450" t="n">
        <v>0.1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60143-2021</t>
        </is>
      </c>
      <c r="B451" s="1" t="n">
        <v>44494</v>
      </c>
      <c r="C451" s="1" t="n">
        <v>45473</v>
      </c>
      <c r="D451" t="inlineStr">
        <is>
          <t>SÖDERMANLANDS LÄN</t>
        </is>
      </c>
      <c r="E451" t="inlineStr">
        <is>
          <t>ESKILSTUNA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60521-2021</t>
        </is>
      </c>
      <c r="B452" s="1" t="n">
        <v>44495</v>
      </c>
      <c r="C452" s="1" t="n">
        <v>45473</v>
      </c>
      <c r="D452" t="inlineStr">
        <is>
          <t>SÖDERMANLANDS LÄN</t>
        </is>
      </c>
      <c r="E452" t="inlineStr">
        <is>
          <t>ESKILSTUNA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60745-2021</t>
        </is>
      </c>
      <c r="B453" s="1" t="n">
        <v>44496</v>
      </c>
      <c r="C453" s="1" t="n">
        <v>45473</v>
      </c>
      <c r="D453" t="inlineStr">
        <is>
          <t>SÖDERMANLANDS LÄN</t>
        </is>
      </c>
      <c r="E453" t="inlineStr">
        <is>
          <t>ESKILSTUNA</t>
        </is>
      </c>
      <c r="G453" t="n">
        <v>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61170-2021</t>
        </is>
      </c>
      <c r="B454" s="1" t="n">
        <v>44497</v>
      </c>
      <c r="C454" s="1" t="n">
        <v>45473</v>
      </c>
      <c r="D454" t="inlineStr">
        <is>
          <t>SÖDERMANLANDS LÄN</t>
        </is>
      </c>
      <c r="E454" t="inlineStr">
        <is>
          <t>ESKILSTUNA</t>
        </is>
      </c>
      <c r="G454" t="n">
        <v>7.3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61321-2021</t>
        </is>
      </c>
      <c r="B455" s="1" t="n">
        <v>44497</v>
      </c>
      <c r="C455" s="1" t="n">
        <v>45473</v>
      </c>
      <c r="D455" t="inlineStr">
        <is>
          <t>SÖDERMANLANDS LÄN</t>
        </is>
      </c>
      <c r="E455" t="inlineStr">
        <is>
          <t>ESKILSTUNA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61367-2021</t>
        </is>
      </c>
      <c r="B456" s="1" t="n">
        <v>44499</v>
      </c>
      <c r="C456" s="1" t="n">
        <v>45473</v>
      </c>
      <c r="D456" t="inlineStr">
        <is>
          <t>SÖDERMANLANDS LÄN</t>
        </is>
      </c>
      <c r="E456" t="inlineStr">
        <is>
          <t>ESKILSTUNA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61368-2021</t>
        </is>
      </c>
      <c r="B457" s="1" t="n">
        <v>44499</v>
      </c>
      <c r="C457" s="1" t="n">
        <v>45473</v>
      </c>
      <c r="D457" t="inlineStr">
        <is>
          <t>SÖDERMANLANDS LÄN</t>
        </is>
      </c>
      <c r="E457" t="inlineStr">
        <is>
          <t>ESKILSTUNA</t>
        </is>
      </c>
      <c r="G457" t="n">
        <v>5.6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62308-2021</t>
        </is>
      </c>
      <c r="B458" s="1" t="n">
        <v>44503</v>
      </c>
      <c r="C458" s="1" t="n">
        <v>45473</v>
      </c>
      <c r="D458" t="inlineStr">
        <is>
          <t>SÖDERMANLANDS LÄN</t>
        </is>
      </c>
      <c r="E458" t="inlineStr">
        <is>
          <t>ESKILSTUNA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64147-2021</t>
        </is>
      </c>
      <c r="B459" s="1" t="n">
        <v>44510</v>
      </c>
      <c r="C459" s="1" t="n">
        <v>45473</v>
      </c>
      <c r="D459" t="inlineStr">
        <is>
          <t>SÖDERMANLANDS LÄN</t>
        </is>
      </c>
      <c r="E459" t="inlineStr">
        <is>
          <t>ESKILSTUNA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65349-2021</t>
        </is>
      </c>
      <c r="B460" s="1" t="n">
        <v>44515</v>
      </c>
      <c r="C460" s="1" t="n">
        <v>45473</v>
      </c>
      <c r="D460" t="inlineStr">
        <is>
          <t>SÖDERMANLANDS LÄN</t>
        </is>
      </c>
      <c r="E460" t="inlineStr">
        <is>
          <t>ESKILSTUNA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65347-2021</t>
        </is>
      </c>
      <c r="B461" s="1" t="n">
        <v>44515</v>
      </c>
      <c r="C461" s="1" t="n">
        <v>45473</v>
      </c>
      <c r="D461" t="inlineStr">
        <is>
          <t>SÖDERMANLANDS LÄN</t>
        </is>
      </c>
      <c r="E461" t="inlineStr">
        <is>
          <t>ESKILSTUNA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65406-2021</t>
        </is>
      </c>
      <c r="B462" s="1" t="n">
        <v>44515</v>
      </c>
      <c r="C462" s="1" t="n">
        <v>45473</v>
      </c>
      <c r="D462" t="inlineStr">
        <is>
          <t>SÖDERMANLANDS LÄN</t>
        </is>
      </c>
      <c r="E462" t="inlineStr">
        <is>
          <t>ESKILSTUNA</t>
        </is>
      </c>
      <c r="F462" t="inlineStr">
        <is>
          <t>Kyrkan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65516-2021</t>
        </is>
      </c>
      <c r="B463" s="1" t="n">
        <v>44516</v>
      </c>
      <c r="C463" s="1" t="n">
        <v>45473</v>
      </c>
      <c r="D463" t="inlineStr">
        <is>
          <t>SÖDERMANLANDS LÄN</t>
        </is>
      </c>
      <c r="E463" t="inlineStr">
        <is>
          <t>ESKILSTUNA</t>
        </is>
      </c>
      <c r="G463" t="n">
        <v>5.6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65595-2021</t>
        </is>
      </c>
      <c r="B464" s="1" t="n">
        <v>44516</v>
      </c>
      <c r="C464" s="1" t="n">
        <v>45473</v>
      </c>
      <c r="D464" t="inlineStr">
        <is>
          <t>SÖDERMANLANDS LÄN</t>
        </is>
      </c>
      <c r="E464" t="inlineStr">
        <is>
          <t>ESKILSTUNA</t>
        </is>
      </c>
      <c r="G464" t="n">
        <v>9.5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65614-2021</t>
        </is>
      </c>
      <c r="B465" s="1" t="n">
        <v>44516</v>
      </c>
      <c r="C465" s="1" t="n">
        <v>45473</v>
      </c>
      <c r="D465" t="inlineStr">
        <is>
          <t>SÖDERMANLANDS LÄN</t>
        </is>
      </c>
      <c r="E465" t="inlineStr">
        <is>
          <t>ESKILSTUNA</t>
        </is>
      </c>
      <c r="G465" t="n">
        <v>6.2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65694-2021</t>
        </is>
      </c>
      <c r="B466" s="1" t="n">
        <v>44516</v>
      </c>
      <c r="C466" s="1" t="n">
        <v>45473</v>
      </c>
      <c r="D466" t="inlineStr">
        <is>
          <t>SÖDERMANLANDS LÄN</t>
        </is>
      </c>
      <c r="E466" t="inlineStr">
        <is>
          <t>ESKILSTUNA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66132-2021</t>
        </is>
      </c>
      <c r="B467" s="1" t="n">
        <v>44517</v>
      </c>
      <c r="C467" s="1" t="n">
        <v>45473</v>
      </c>
      <c r="D467" t="inlineStr">
        <is>
          <t>SÖDERMANLANDS LÄN</t>
        </is>
      </c>
      <c r="E467" t="inlineStr">
        <is>
          <t>ESKILSTUNA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66131-2021</t>
        </is>
      </c>
      <c r="B468" s="1" t="n">
        <v>44517</v>
      </c>
      <c r="C468" s="1" t="n">
        <v>45473</v>
      </c>
      <c r="D468" t="inlineStr">
        <is>
          <t>SÖDERMANLANDS LÄN</t>
        </is>
      </c>
      <c r="E468" t="inlineStr">
        <is>
          <t>ESKILSTUNA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67047-2021</t>
        </is>
      </c>
      <c r="B469" s="1" t="n">
        <v>44522</v>
      </c>
      <c r="C469" s="1" t="n">
        <v>45473</v>
      </c>
      <c r="D469" t="inlineStr">
        <is>
          <t>SÖDERMANLANDS LÄN</t>
        </is>
      </c>
      <c r="E469" t="inlineStr">
        <is>
          <t>ESKILSTUNA</t>
        </is>
      </c>
      <c r="F469" t="inlineStr">
        <is>
          <t>Kyrkan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67516-2021</t>
        </is>
      </c>
      <c r="B470" s="1" t="n">
        <v>44524</v>
      </c>
      <c r="C470" s="1" t="n">
        <v>45473</v>
      </c>
      <c r="D470" t="inlineStr">
        <is>
          <t>SÖDERMANLANDS LÄN</t>
        </is>
      </c>
      <c r="E470" t="inlineStr">
        <is>
          <t>ESKILSTUNA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67529-2021</t>
        </is>
      </c>
      <c r="B471" s="1" t="n">
        <v>44524</v>
      </c>
      <c r="C471" s="1" t="n">
        <v>45473</v>
      </c>
      <c r="D471" t="inlineStr">
        <is>
          <t>SÖDERMANLANDS LÄN</t>
        </is>
      </c>
      <c r="E471" t="inlineStr">
        <is>
          <t>ESKILSTUNA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68015-2021</t>
        </is>
      </c>
      <c r="B472" s="1" t="n">
        <v>44525</v>
      </c>
      <c r="C472" s="1" t="n">
        <v>45473</v>
      </c>
      <c r="D472" t="inlineStr">
        <is>
          <t>SÖDERMANLANDS LÄN</t>
        </is>
      </c>
      <c r="E472" t="inlineStr">
        <is>
          <t>ESKILSTUNA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68023-2021</t>
        </is>
      </c>
      <c r="B473" s="1" t="n">
        <v>44525</v>
      </c>
      <c r="C473" s="1" t="n">
        <v>45473</v>
      </c>
      <c r="D473" t="inlineStr">
        <is>
          <t>SÖDERMANLANDS LÄN</t>
        </is>
      </c>
      <c r="E473" t="inlineStr">
        <is>
          <t>ESKILSTUNA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68020-2021</t>
        </is>
      </c>
      <c r="B474" s="1" t="n">
        <v>44525</v>
      </c>
      <c r="C474" s="1" t="n">
        <v>45473</v>
      </c>
      <c r="D474" t="inlineStr">
        <is>
          <t>SÖDERMANLANDS LÄN</t>
        </is>
      </c>
      <c r="E474" t="inlineStr">
        <is>
          <t>ESKILSTUNA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68018-2021</t>
        </is>
      </c>
      <c r="B475" s="1" t="n">
        <v>44525</v>
      </c>
      <c r="C475" s="1" t="n">
        <v>45473</v>
      </c>
      <c r="D475" t="inlineStr">
        <is>
          <t>SÖDERMANLANDS LÄN</t>
        </is>
      </c>
      <c r="E475" t="inlineStr">
        <is>
          <t>ESKILSTUNA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68022-2021</t>
        </is>
      </c>
      <c r="B476" s="1" t="n">
        <v>44525</v>
      </c>
      <c r="C476" s="1" t="n">
        <v>45473</v>
      </c>
      <c r="D476" t="inlineStr">
        <is>
          <t>SÖDERMANLANDS LÄN</t>
        </is>
      </c>
      <c r="E476" t="inlineStr">
        <is>
          <t>ESKILSTUNA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70082-2021</t>
        </is>
      </c>
      <c r="B477" s="1" t="n">
        <v>44533</v>
      </c>
      <c r="C477" s="1" t="n">
        <v>45473</v>
      </c>
      <c r="D477" t="inlineStr">
        <is>
          <t>SÖDERMANLANDS LÄN</t>
        </is>
      </c>
      <c r="E477" t="inlineStr">
        <is>
          <t>ESKILSTUNA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70064-2021</t>
        </is>
      </c>
      <c r="B478" s="1" t="n">
        <v>44533</v>
      </c>
      <c r="C478" s="1" t="n">
        <v>45473</v>
      </c>
      <c r="D478" t="inlineStr">
        <is>
          <t>SÖDERMANLANDS LÄN</t>
        </is>
      </c>
      <c r="E478" t="inlineStr">
        <is>
          <t>ESKILSTUNA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70056-2021</t>
        </is>
      </c>
      <c r="B479" s="1" t="n">
        <v>44533</v>
      </c>
      <c r="C479" s="1" t="n">
        <v>45473</v>
      </c>
      <c r="D479" t="inlineStr">
        <is>
          <t>SÖDERMANLANDS LÄN</t>
        </is>
      </c>
      <c r="E479" t="inlineStr">
        <is>
          <t>ESKILSTUNA</t>
        </is>
      </c>
      <c r="G479" t="n">
        <v>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70191-2021</t>
        </is>
      </c>
      <c r="B480" s="1" t="n">
        <v>44533</v>
      </c>
      <c r="C480" s="1" t="n">
        <v>45473</v>
      </c>
      <c r="D480" t="inlineStr">
        <is>
          <t>SÖDERMANLANDS LÄN</t>
        </is>
      </c>
      <c r="E480" t="inlineStr">
        <is>
          <t>ESKILSTUNA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70038-2021</t>
        </is>
      </c>
      <c r="B481" s="1" t="n">
        <v>44533</v>
      </c>
      <c r="C481" s="1" t="n">
        <v>45473</v>
      </c>
      <c r="D481" t="inlineStr">
        <is>
          <t>SÖDERMANLANDS LÄN</t>
        </is>
      </c>
      <c r="E481" t="inlineStr">
        <is>
          <t>ESKILSTUNA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70051-2021</t>
        </is>
      </c>
      <c r="B482" s="1" t="n">
        <v>44533</v>
      </c>
      <c r="C482" s="1" t="n">
        <v>45473</v>
      </c>
      <c r="D482" t="inlineStr">
        <is>
          <t>SÖDERMANLANDS LÄN</t>
        </is>
      </c>
      <c r="E482" t="inlineStr">
        <is>
          <t>ESKILSTUNA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70192-2021</t>
        </is>
      </c>
      <c r="B483" s="1" t="n">
        <v>44534</v>
      </c>
      <c r="C483" s="1" t="n">
        <v>45473</v>
      </c>
      <c r="D483" t="inlineStr">
        <is>
          <t>SÖDERMANLANDS LÄN</t>
        </is>
      </c>
      <c r="E483" t="inlineStr">
        <is>
          <t>ESKILSTUNA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70265-2021</t>
        </is>
      </c>
      <c r="B484" s="1" t="n">
        <v>44536</v>
      </c>
      <c r="C484" s="1" t="n">
        <v>45473</v>
      </c>
      <c r="D484" t="inlineStr">
        <is>
          <t>SÖDERMANLANDS LÄN</t>
        </is>
      </c>
      <c r="E484" t="inlineStr">
        <is>
          <t>ESKILSTUNA</t>
        </is>
      </c>
      <c r="F484" t="inlineStr">
        <is>
          <t>Sveaskog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70560-2021</t>
        </is>
      </c>
      <c r="B485" s="1" t="n">
        <v>44536</v>
      </c>
      <c r="C485" s="1" t="n">
        <v>45473</v>
      </c>
      <c r="D485" t="inlineStr">
        <is>
          <t>SÖDERMANLANDS LÄN</t>
        </is>
      </c>
      <c r="E485" t="inlineStr">
        <is>
          <t>ESKILSTUNA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70666-2021</t>
        </is>
      </c>
      <c r="B486" s="1" t="n">
        <v>44536</v>
      </c>
      <c r="C486" s="1" t="n">
        <v>45473</v>
      </c>
      <c r="D486" t="inlineStr">
        <is>
          <t>SÖDERMANLANDS LÄN</t>
        </is>
      </c>
      <c r="E486" t="inlineStr">
        <is>
          <t>ESKILSTUNA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70490-2021</t>
        </is>
      </c>
      <c r="B487" s="1" t="n">
        <v>44536</v>
      </c>
      <c r="C487" s="1" t="n">
        <v>45473</v>
      </c>
      <c r="D487" t="inlineStr">
        <is>
          <t>SÖDERMANLANDS LÄN</t>
        </is>
      </c>
      <c r="E487" t="inlineStr">
        <is>
          <t>ESKILSTUNA</t>
        </is>
      </c>
      <c r="G487" t="n">
        <v>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70620-2021</t>
        </is>
      </c>
      <c r="B488" s="1" t="n">
        <v>44536</v>
      </c>
      <c r="C488" s="1" t="n">
        <v>45473</v>
      </c>
      <c r="D488" t="inlineStr">
        <is>
          <t>SÖDERMANLANDS LÄN</t>
        </is>
      </c>
      <c r="E488" t="inlineStr">
        <is>
          <t>ESKILSTUNA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70667-2021</t>
        </is>
      </c>
      <c r="B489" s="1" t="n">
        <v>44536</v>
      </c>
      <c r="C489" s="1" t="n">
        <v>45473</v>
      </c>
      <c r="D489" t="inlineStr">
        <is>
          <t>SÖDERMANLANDS LÄN</t>
        </is>
      </c>
      <c r="E489" t="inlineStr">
        <is>
          <t>ESKILSTUNA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70557-2021</t>
        </is>
      </c>
      <c r="B490" s="1" t="n">
        <v>44536</v>
      </c>
      <c r="C490" s="1" t="n">
        <v>45473</v>
      </c>
      <c r="D490" t="inlineStr">
        <is>
          <t>SÖDERMANLANDS LÄN</t>
        </is>
      </c>
      <c r="E490" t="inlineStr">
        <is>
          <t>ESKILSTUNA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70660-2021</t>
        </is>
      </c>
      <c r="B491" s="1" t="n">
        <v>44536</v>
      </c>
      <c r="C491" s="1" t="n">
        <v>45473</v>
      </c>
      <c r="D491" t="inlineStr">
        <is>
          <t>SÖDERMANLANDS LÄN</t>
        </is>
      </c>
      <c r="E491" t="inlineStr">
        <is>
          <t>ESKILSTUNA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70613-2021</t>
        </is>
      </c>
      <c r="B492" s="1" t="n">
        <v>44537</v>
      </c>
      <c r="C492" s="1" t="n">
        <v>45473</v>
      </c>
      <c r="D492" t="inlineStr">
        <is>
          <t>SÖDERMANLANDS LÄN</t>
        </is>
      </c>
      <c r="E492" t="inlineStr">
        <is>
          <t>ESKILSTUNA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71980-2021</t>
        </is>
      </c>
      <c r="B493" s="1" t="n">
        <v>44544</v>
      </c>
      <c r="C493" s="1" t="n">
        <v>45473</v>
      </c>
      <c r="D493" t="inlineStr">
        <is>
          <t>SÖDERMANLANDS LÄN</t>
        </is>
      </c>
      <c r="E493" t="inlineStr">
        <is>
          <t>ESKILSTUNA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71976-2021</t>
        </is>
      </c>
      <c r="B494" s="1" t="n">
        <v>44544</v>
      </c>
      <c r="C494" s="1" t="n">
        <v>45473</v>
      </c>
      <c r="D494" t="inlineStr">
        <is>
          <t>SÖDERMANLANDS LÄN</t>
        </is>
      </c>
      <c r="E494" t="inlineStr">
        <is>
          <t>ESKILSTUNA</t>
        </is>
      </c>
      <c r="G494" t="n">
        <v>19.6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73480-2021</t>
        </is>
      </c>
      <c r="B495" s="1" t="n">
        <v>44550</v>
      </c>
      <c r="C495" s="1" t="n">
        <v>45473</v>
      </c>
      <c r="D495" t="inlineStr">
        <is>
          <t>SÖDERMANLANDS LÄN</t>
        </is>
      </c>
      <c r="E495" t="inlineStr">
        <is>
          <t>ESKILSTUNA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979-2022</t>
        </is>
      </c>
      <c r="B496" s="1" t="n">
        <v>44571</v>
      </c>
      <c r="C496" s="1" t="n">
        <v>45473</v>
      </c>
      <c r="D496" t="inlineStr">
        <is>
          <t>SÖDERMANLANDS LÄN</t>
        </is>
      </c>
      <c r="E496" t="inlineStr">
        <is>
          <t>ESKILSTUNA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1174-2022</t>
        </is>
      </c>
      <c r="B497" s="1" t="n">
        <v>44572</v>
      </c>
      <c r="C497" s="1" t="n">
        <v>45473</v>
      </c>
      <c r="D497" t="inlineStr">
        <is>
          <t>SÖDERMANLANDS LÄN</t>
        </is>
      </c>
      <c r="E497" t="inlineStr">
        <is>
          <t>ESKILSTUNA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1565-2022</t>
        </is>
      </c>
      <c r="B498" s="1" t="n">
        <v>44573</v>
      </c>
      <c r="C498" s="1" t="n">
        <v>45473</v>
      </c>
      <c r="D498" t="inlineStr">
        <is>
          <t>SÖDERMANLANDS LÄN</t>
        </is>
      </c>
      <c r="E498" t="inlineStr">
        <is>
          <t>ESKILSTUNA</t>
        </is>
      </c>
      <c r="G498" t="n">
        <v>5.8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2215-2022</t>
        </is>
      </c>
      <c r="B499" s="1" t="n">
        <v>44578</v>
      </c>
      <c r="C499" s="1" t="n">
        <v>45473</v>
      </c>
      <c r="D499" t="inlineStr">
        <is>
          <t>SÖDERMANLANDS LÄN</t>
        </is>
      </c>
      <c r="E499" t="inlineStr">
        <is>
          <t>ESKILSTUNA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2218-2022</t>
        </is>
      </c>
      <c r="B500" s="1" t="n">
        <v>44578</v>
      </c>
      <c r="C500" s="1" t="n">
        <v>45473</v>
      </c>
      <c r="D500" t="inlineStr">
        <is>
          <t>SÖDERMANLANDS LÄN</t>
        </is>
      </c>
      <c r="E500" t="inlineStr">
        <is>
          <t>ESKILSTUNA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2938-2022</t>
        </is>
      </c>
      <c r="B501" s="1" t="n">
        <v>44581</v>
      </c>
      <c r="C501" s="1" t="n">
        <v>45473</v>
      </c>
      <c r="D501" t="inlineStr">
        <is>
          <t>SÖDERMANLANDS LÄN</t>
        </is>
      </c>
      <c r="E501" t="inlineStr">
        <is>
          <t>ESKILSTUNA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3341-2022</t>
        </is>
      </c>
      <c r="B502" s="1" t="n">
        <v>44582</v>
      </c>
      <c r="C502" s="1" t="n">
        <v>45473</v>
      </c>
      <c r="D502" t="inlineStr">
        <is>
          <t>SÖDERMANLANDS LÄN</t>
        </is>
      </c>
      <c r="E502" t="inlineStr">
        <is>
          <t>ESKILSTUNA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3521-2022</t>
        </is>
      </c>
      <c r="B503" s="1" t="n">
        <v>44585</v>
      </c>
      <c r="C503" s="1" t="n">
        <v>45473</v>
      </c>
      <c r="D503" t="inlineStr">
        <is>
          <t>SÖDERMANLANDS LÄN</t>
        </is>
      </c>
      <c r="E503" t="inlineStr">
        <is>
          <t>ESKILSTUNA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4189-2022</t>
        </is>
      </c>
      <c r="B504" s="1" t="n">
        <v>44588</v>
      </c>
      <c r="C504" s="1" t="n">
        <v>45473</v>
      </c>
      <c r="D504" t="inlineStr">
        <is>
          <t>SÖDERMANLANDS LÄN</t>
        </is>
      </c>
      <c r="E504" t="inlineStr">
        <is>
          <t>ESKILSTUNA</t>
        </is>
      </c>
      <c r="G504" t="n">
        <v>6.3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4202-2022</t>
        </is>
      </c>
      <c r="B505" s="1" t="n">
        <v>44588</v>
      </c>
      <c r="C505" s="1" t="n">
        <v>45473</v>
      </c>
      <c r="D505" t="inlineStr">
        <is>
          <t>SÖDERMANLANDS LÄN</t>
        </is>
      </c>
      <c r="E505" t="inlineStr">
        <is>
          <t>ESKILSTUNA</t>
        </is>
      </c>
      <c r="G505" t="n">
        <v>4.6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4211-2022</t>
        </is>
      </c>
      <c r="B506" s="1" t="n">
        <v>44588</v>
      </c>
      <c r="C506" s="1" t="n">
        <v>45473</v>
      </c>
      <c r="D506" t="inlineStr">
        <is>
          <t>SÖDERMANLANDS LÄN</t>
        </is>
      </c>
      <c r="E506" t="inlineStr">
        <is>
          <t>ESKILSTUNA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4220-2022</t>
        </is>
      </c>
      <c r="B507" s="1" t="n">
        <v>44588</v>
      </c>
      <c r="C507" s="1" t="n">
        <v>45473</v>
      </c>
      <c r="D507" t="inlineStr">
        <is>
          <t>SÖDERMANLANDS LÄN</t>
        </is>
      </c>
      <c r="E507" t="inlineStr">
        <is>
          <t>ESKILSTUNA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4192-2022</t>
        </is>
      </c>
      <c r="B508" s="1" t="n">
        <v>44588</v>
      </c>
      <c r="C508" s="1" t="n">
        <v>45473</v>
      </c>
      <c r="D508" t="inlineStr">
        <is>
          <t>SÖDERMANLANDS LÄN</t>
        </is>
      </c>
      <c r="E508" t="inlineStr">
        <is>
          <t>ESKILSTUNA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4320-2022</t>
        </is>
      </c>
      <c r="B509" s="1" t="n">
        <v>44588</v>
      </c>
      <c r="C509" s="1" t="n">
        <v>45473</v>
      </c>
      <c r="D509" t="inlineStr">
        <is>
          <t>SÖDERMANLANDS LÄN</t>
        </is>
      </c>
      <c r="E509" t="inlineStr">
        <is>
          <t>ESKILSTUNA</t>
        </is>
      </c>
      <c r="F509" t="inlineStr">
        <is>
          <t>Allmännings- och besparingsskogar</t>
        </is>
      </c>
      <c r="G509" t="n">
        <v>12.2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4331-2022</t>
        </is>
      </c>
      <c r="B510" s="1" t="n">
        <v>44588</v>
      </c>
      <c r="C510" s="1" t="n">
        <v>45473</v>
      </c>
      <c r="D510" t="inlineStr">
        <is>
          <t>SÖDERMANLANDS LÄN</t>
        </is>
      </c>
      <c r="E510" t="inlineStr">
        <is>
          <t>ESKILSTUNA</t>
        </is>
      </c>
      <c r="F510" t="inlineStr">
        <is>
          <t>Allmännings- och besparingsskogar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4621-2022</t>
        </is>
      </c>
      <c r="B511" s="1" t="n">
        <v>44592</v>
      </c>
      <c r="C511" s="1" t="n">
        <v>45473</v>
      </c>
      <c r="D511" t="inlineStr">
        <is>
          <t>SÖDERMANLANDS LÄN</t>
        </is>
      </c>
      <c r="E511" t="inlineStr">
        <is>
          <t>ESKILSTUNA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4954-2022</t>
        </is>
      </c>
      <c r="B512" s="1" t="n">
        <v>44593</v>
      </c>
      <c r="C512" s="1" t="n">
        <v>45473</v>
      </c>
      <c r="D512" t="inlineStr">
        <is>
          <t>SÖDERMANLANDS LÄN</t>
        </is>
      </c>
      <c r="E512" t="inlineStr">
        <is>
          <t>ESKILSTUNA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5337-2022</t>
        </is>
      </c>
      <c r="B513" s="1" t="n">
        <v>44594</v>
      </c>
      <c r="C513" s="1" t="n">
        <v>45473</v>
      </c>
      <c r="D513" t="inlineStr">
        <is>
          <t>SÖDERMANLANDS LÄN</t>
        </is>
      </c>
      <c r="E513" t="inlineStr">
        <is>
          <t>ESKILSTUNA</t>
        </is>
      </c>
      <c r="F513" t="inlineStr">
        <is>
          <t>Allmännings- och besparingsskogar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7406-2022</t>
        </is>
      </c>
      <c r="B514" s="1" t="n">
        <v>44606</v>
      </c>
      <c r="C514" s="1" t="n">
        <v>45473</v>
      </c>
      <c r="D514" t="inlineStr">
        <is>
          <t>SÖDERMANLANDS LÄN</t>
        </is>
      </c>
      <c r="E514" t="inlineStr">
        <is>
          <t>ESKILSTUNA</t>
        </is>
      </c>
      <c r="F514" t="inlineStr">
        <is>
          <t>Kyrkan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7423-2022</t>
        </is>
      </c>
      <c r="B515" s="1" t="n">
        <v>44606</v>
      </c>
      <c r="C515" s="1" t="n">
        <v>45473</v>
      </c>
      <c r="D515" t="inlineStr">
        <is>
          <t>SÖDERMANLANDS LÄN</t>
        </is>
      </c>
      <c r="E515" t="inlineStr">
        <is>
          <t>ESKILSTUNA</t>
        </is>
      </c>
      <c r="F515" t="inlineStr">
        <is>
          <t>Kyrkan</t>
        </is>
      </c>
      <c r="G515" t="n">
        <v>6.3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7420-2022</t>
        </is>
      </c>
      <c r="B516" s="1" t="n">
        <v>44606</v>
      </c>
      <c r="C516" s="1" t="n">
        <v>45473</v>
      </c>
      <c r="D516" t="inlineStr">
        <is>
          <t>SÖDERMANLANDS LÄN</t>
        </is>
      </c>
      <c r="E516" t="inlineStr">
        <is>
          <t>ESKILSTUNA</t>
        </is>
      </c>
      <c r="F516" t="inlineStr">
        <is>
          <t>Kyrkan</t>
        </is>
      </c>
      <c r="G516" t="n">
        <v>5.7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7818-2022</t>
        </is>
      </c>
      <c r="B517" s="1" t="n">
        <v>44608</v>
      </c>
      <c r="C517" s="1" t="n">
        <v>45473</v>
      </c>
      <c r="D517" t="inlineStr">
        <is>
          <t>SÖDERMANLANDS LÄN</t>
        </is>
      </c>
      <c r="E517" t="inlineStr">
        <is>
          <t>ESKILSTUNA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7833-2022</t>
        </is>
      </c>
      <c r="B518" s="1" t="n">
        <v>44608</v>
      </c>
      <c r="C518" s="1" t="n">
        <v>45473</v>
      </c>
      <c r="D518" t="inlineStr">
        <is>
          <t>SÖDERMANLANDS LÄN</t>
        </is>
      </c>
      <c r="E518" t="inlineStr">
        <is>
          <t>ESKILSTUNA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8277-2022</t>
        </is>
      </c>
      <c r="B519" s="1" t="n">
        <v>44610</v>
      </c>
      <c r="C519" s="1" t="n">
        <v>45473</v>
      </c>
      <c r="D519" t="inlineStr">
        <is>
          <t>SÖDERMANLANDS LÄN</t>
        </is>
      </c>
      <c r="E519" t="inlineStr">
        <is>
          <t>ESKILSTUNA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8478-2022</t>
        </is>
      </c>
      <c r="B520" s="1" t="n">
        <v>44613</v>
      </c>
      <c r="C520" s="1" t="n">
        <v>45473</v>
      </c>
      <c r="D520" t="inlineStr">
        <is>
          <t>SÖDERMANLANDS LÄN</t>
        </is>
      </c>
      <c r="E520" t="inlineStr">
        <is>
          <t>ESKILSTUNA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9455-2022</t>
        </is>
      </c>
      <c r="B521" s="1" t="n">
        <v>44616</v>
      </c>
      <c r="C521" s="1" t="n">
        <v>45473</v>
      </c>
      <c r="D521" t="inlineStr">
        <is>
          <t>SÖDERMANLANDS LÄN</t>
        </is>
      </c>
      <c r="E521" t="inlineStr">
        <is>
          <t>ESKILSTUNA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9521-2022</t>
        </is>
      </c>
      <c r="B522" s="1" t="n">
        <v>44616</v>
      </c>
      <c r="C522" s="1" t="n">
        <v>45473</v>
      </c>
      <c r="D522" t="inlineStr">
        <is>
          <t>SÖDERMANLANDS LÄN</t>
        </is>
      </c>
      <c r="E522" t="inlineStr">
        <is>
          <t>ESKILSTUNA</t>
        </is>
      </c>
      <c r="G522" t="n">
        <v>5.7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9536-2022</t>
        </is>
      </c>
      <c r="B523" s="1" t="n">
        <v>44617</v>
      </c>
      <c r="C523" s="1" t="n">
        <v>45473</v>
      </c>
      <c r="D523" t="inlineStr">
        <is>
          <t>SÖDERMANLANDS LÄN</t>
        </is>
      </c>
      <c r="E523" t="inlineStr">
        <is>
          <t>ESKILSTUNA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9575-2022</t>
        </is>
      </c>
      <c r="B524" s="1" t="n">
        <v>44617</v>
      </c>
      <c r="C524" s="1" t="n">
        <v>45473</v>
      </c>
      <c r="D524" t="inlineStr">
        <is>
          <t>SÖDERMANLANDS LÄN</t>
        </is>
      </c>
      <c r="E524" t="inlineStr">
        <is>
          <t>ESKILSTUNA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9646-2022</t>
        </is>
      </c>
      <c r="B525" s="1" t="n">
        <v>44617</v>
      </c>
      <c r="C525" s="1" t="n">
        <v>45473</v>
      </c>
      <c r="D525" t="inlineStr">
        <is>
          <t>SÖDERMANLANDS LÄN</t>
        </is>
      </c>
      <c r="E525" t="inlineStr">
        <is>
          <t>ESKILSTUNA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9753-2022</t>
        </is>
      </c>
      <c r="B526" s="1" t="n">
        <v>44618</v>
      </c>
      <c r="C526" s="1" t="n">
        <v>45473</v>
      </c>
      <c r="D526" t="inlineStr">
        <is>
          <t>SÖDERMANLANDS LÄN</t>
        </is>
      </c>
      <c r="E526" t="inlineStr">
        <is>
          <t>ESKILSTUNA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10715-2022</t>
        </is>
      </c>
      <c r="B527" s="1" t="n">
        <v>44626</v>
      </c>
      <c r="C527" s="1" t="n">
        <v>45473</v>
      </c>
      <c r="D527" t="inlineStr">
        <is>
          <t>SÖDERMANLANDS LÄN</t>
        </is>
      </c>
      <c r="E527" t="inlineStr">
        <is>
          <t>ESKILSTUNA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11108-2022</t>
        </is>
      </c>
      <c r="B528" s="1" t="n">
        <v>44628</v>
      </c>
      <c r="C528" s="1" t="n">
        <v>45473</v>
      </c>
      <c r="D528" t="inlineStr">
        <is>
          <t>SÖDERMANLANDS LÄN</t>
        </is>
      </c>
      <c r="E528" t="inlineStr">
        <is>
          <t>ESKILSTUNA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11137-2022</t>
        </is>
      </c>
      <c r="B529" s="1" t="n">
        <v>44628</v>
      </c>
      <c r="C529" s="1" t="n">
        <v>45473</v>
      </c>
      <c r="D529" t="inlineStr">
        <is>
          <t>SÖDERMANLANDS LÄN</t>
        </is>
      </c>
      <c r="E529" t="inlineStr">
        <is>
          <t>ESKILSTUNA</t>
        </is>
      </c>
      <c r="G529" t="n">
        <v>5.2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11705-2022</t>
        </is>
      </c>
      <c r="B530" s="1" t="n">
        <v>44634</v>
      </c>
      <c r="C530" s="1" t="n">
        <v>45473</v>
      </c>
      <c r="D530" t="inlineStr">
        <is>
          <t>SÖDERMANLANDS LÄN</t>
        </is>
      </c>
      <c r="E530" t="inlineStr">
        <is>
          <t>ESKILSTUNA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11796-2022</t>
        </is>
      </c>
      <c r="B531" s="1" t="n">
        <v>44634</v>
      </c>
      <c r="C531" s="1" t="n">
        <v>45473</v>
      </c>
      <c r="D531" t="inlineStr">
        <is>
          <t>SÖDERMANLANDS LÄN</t>
        </is>
      </c>
      <c r="E531" t="inlineStr">
        <is>
          <t>ESKILSTUNA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12072-2022</t>
        </is>
      </c>
      <c r="B532" s="1" t="n">
        <v>44636</v>
      </c>
      <c r="C532" s="1" t="n">
        <v>45473</v>
      </c>
      <c r="D532" t="inlineStr">
        <is>
          <t>SÖDERMANLANDS LÄN</t>
        </is>
      </c>
      <c r="E532" t="inlineStr">
        <is>
          <t>ESKILSTUNA</t>
        </is>
      </c>
      <c r="G532" t="n">
        <v>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12547-2022</t>
        </is>
      </c>
      <c r="B533" s="1" t="n">
        <v>44638</v>
      </c>
      <c r="C533" s="1" t="n">
        <v>45473</v>
      </c>
      <c r="D533" t="inlineStr">
        <is>
          <t>SÖDERMANLANDS LÄN</t>
        </is>
      </c>
      <c r="E533" t="inlineStr">
        <is>
          <t>ESKILSTUNA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12872-2022</t>
        </is>
      </c>
      <c r="B534" s="1" t="n">
        <v>44642</v>
      </c>
      <c r="C534" s="1" t="n">
        <v>45473</v>
      </c>
      <c r="D534" t="inlineStr">
        <is>
          <t>SÖDERMANLANDS LÄN</t>
        </is>
      </c>
      <c r="E534" t="inlineStr">
        <is>
          <t>ESKILSTUNA</t>
        </is>
      </c>
      <c r="F534" t="inlineStr">
        <is>
          <t>Allmännings- och besparingsskogar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13613-2022</t>
        </is>
      </c>
      <c r="B535" s="1" t="n">
        <v>44643</v>
      </c>
      <c r="C535" s="1" t="n">
        <v>45473</v>
      </c>
      <c r="D535" t="inlineStr">
        <is>
          <t>SÖDERMANLANDS LÄN</t>
        </is>
      </c>
      <c r="E535" t="inlineStr">
        <is>
          <t>ESKILSTUNA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13176-2022</t>
        </is>
      </c>
      <c r="B536" s="1" t="n">
        <v>44644</v>
      </c>
      <c r="C536" s="1" t="n">
        <v>45473</v>
      </c>
      <c r="D536" t="inlineStr">
        <is>
          <t>SÖDERMANLANDS LÄN</t>
        </is>
      </c>
      <c r="E536" t="inlineStr">
        <is>
          <t>ESKILSTUNA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13621-2022</t>
        </is>
      </c>
      <c r="B537" s="1" t="n">
        <v>44648</v>
      </c>
      <c r="C537" s="1" t="n">
        <v>45473</v>
      </c>
      <c r="D537" t="inlineStr">
        <is>
          <t>SÖDERMANLANDS LÄN</t>
        </is>
      </c>
      <c r="E537" t="inlineStr">
        <is>
          <t>ESKILSTUNA</t>
        </is>
      </c>
      <c r="G537" t="n">
        <v>0.2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14470-2022</t>
        </is>
      </c>
      <c r="B538" s="1" t="n">
        <v>44654</v>
      </c>
      <c r="C538" s="1" t="n">
        <v>45473</v>
      </c>
      <c r="D538" t="inlineStr">
        <is>
          <t>SÖDERMANLANDS LÄN</t>
        </is>
      </c>
      <c r="E538" t="inlineStr">
        <is>
          <t>ESKILSTUNA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14633-2022</t>
        </is>
      </c>
      <c r="B539" s="1" t="n">
        <v>44655</v>
      </c>
      <c r="C539" s="1" t="n">
        <v>45473</v>
      </c>
      <c r="D539" t="inlineStr">
        <is>
          <t>SÖDERMANLANDS LÄN</t>
        </is>
      </c>
      <c r="E539" t="inlineStr">
        <is>
          <t>ESKILSTUNA</t>
        </is>
      </c>
      <c r="F539" t="inlineStr">
        <is>
          <t>Kyrkan</t>
        </is>
      </c>
      <c r="G539" t="n">
        <v>20.8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15247-2022</t>
        </is>
      </c>
      <c r="B540" s="1" t="n">
        <v>44658</v>
      </c>
      <c r="C540" s="1" t="n">
        <v>45473</v>
      </c>
      <c r="D540" t="inlineStr">
        <is>
          <t>SÖDERMANLANDS LÄN</t>
        </is>
      </c>
      <c r="E540" t="inlineStr">
        <is>
          <t>ESKILSTUNA</t>
        </is>
      </c>
      <c r="F540" t="inlineStr">
        <is>
          <t>Allmännings- och besparingsskogar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15520-2022</t>
        </is>
      </c>
      <c r="B541" s="1" t="n">
        <v>44662</v>
      </c>
      <c r="C541" s="1" t="n">
        <v>45473</v>
      </c>
      <c r="D541" t="inlineStr">
        <is>
          <t>SÖDERMANLANDS LÄN</t>
        </is>
      </c>
      <c r="E541" t="inlineStr">
        <is>
          <t>ESKILSTUNA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15564-2022</t>
        </is>
      </c>
      <c r="B542" s="1" t="n">
        <v>44662</v>
      </c>
      <c r="C542" s="1" t="n">
        <v>45473</v>
      </c>
      <c r="D542" t="inlineStr">
        <is>
          <t>SÖDERMANLANDS LÄN</t>
        </is>
      </c>
      <c r="E542" t="inlineStr">
        <is>
          <t>ESKILSTUNA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15578-2022</t>
        </is>
      </c>
      <c r="B543" s="1" t="n">
        <v>44662</v>
      </c>
      <c r="C543" s="1" t="n">
        <v>45473</v>
      </c>
      <c r="D543" t="inlineStr">
        <is>
          <t>SÖDERMANLANDS LÄN</t>
        </is>
      </c>
      <c r="E543" t="inlineStr">
        <is>
          <t>ESKILSTUNA</t>
        </is>
      </c>
      <c r="G543" t="n">
        <v>20.3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15897-2022</t>
        </is>
      </c>
      <c r="B544" s="1" t="n">
        <v>44664</v>
      </c>
      <c r="C544" s="1" t="n">
        <v>45473</v>
      </c>
      <c r="D544" t="inlineStr">
        <is>
          <t>SÖDERMANLANDS LÄN</t>
        </is>
      </c>
      <c r="E544" t="inlineStr">
        <is>
          <t>ESKILSTUNA</t>
        </is>
      </c>
      <c r="F544" t="inlineStr">
        <is>
          <t>Allmännings- och besparingsskogar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15917-2022</t>
        </is>
      </c>
      <c r="B545" s="1" t="n">
        <v>44664</v>
      </c>
      <c r="C545" s="1" t="n">
        <v>45473</v>
      </c>
      <c r="D545" t="inlineStr">
        <is>
          <t>SÖDERMANLANDS LÄN</t>
        </is>
      </c>
      <c r="E545" t="inlineStr">
        <is>
          <t>ESKILSTUNA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15892-2022</t>
        </is>
      </c>
      <c r="B546" s="1" t="n">
        <v>44664</v>
      </c>
      <c r="C546" s="1" t="n">
        <v>45473</v>
      </c>
      <c r="D546" t="inlineStr">
        <is>
          <t>SÖDERMANLANDS LÄN</t>
        </is>
      </c>
      <c r="E546" t="inlineStr">
        <is>
          <t>ESKILSTUNA</t>
        </is>
      </c>
      <c r="F546" t="inlineStr">
        <is>
          <t>Allmännings- och besparingsskogar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15963-2022</t>
        </is>
      </c>
      <c r="B547" s="1" t="n">
        <v>44664</v>
      </c>
      <c r="C547" s="1" t="n">
        <v>45473</v>
      </c>
      <c r="D547" t="inlineStr">
        <is>
          <t>SÖDERMANLANDS LÄN</t>
        </is>
      </c>
      <c r="E547" t="inlineStr">
        <is>
          <t>ESKILSTUNA</t>
        </is>
      </c>
      <c r="F547" t="inlineStr">
        <is>
          <t>Allmännings- och besparingsskogar</t>
        </is>
      </c>
      <c r="G547" t="n">
        <v>6.7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16395-2022</t>
        </is>
      </c>
      <c r="B548" s="1" t="n">
        <v>44671</v>
      </c>
      <c r="C548" s="1" t="n">
        <v>45473</v>
      </c>
      <c r="D548" t="inlineStr">
        <is>
          <t>SÖDERMANLANDS LÄN</t>
        </is>
      </c>
      <c r="E548" t="inlineStr">
        <is>
          <t>ESKILSTUNA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16391-2022</t>
        </is>
      </c>
      <c r="B549" s="1" t="n">
        <v>44671</v>
      </c>
      <c r="C549" s="1" t="n">
        <v>45473</v>
      </c>
      <c r="D549" t="inlineStr">
        <is>
          <t>SÖDERMANLANDS LÄN</t>
        </is>
      </c>
      <c r="E549" t="inlineStr">
        <is>
          <t>ESKILSTUNA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16730-2022</t>
        </is>
      </c>
      <c r="B550" s="1" t="n">
        <v>44673</v>
      </c>
      <c r="C550" s="1" t="n">
        <v>45473</v>
      </c>
      <c r="D550" t="inlineStr">
        <is>
          <t>SÖDERMANLANDS LÄN</t>
        </is>
      </c>
      <c r="E550" t="inlineStr">
        <is>
          <t>ESKILSTUNA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16731-2022</t>
        </is>
      </c>
      <c r="B551" s="1" t="n">
        <v>44673</v>
      </c>
      <c r="C551" s="1" t="n">
        <v>45473</v>
      </c>
      <c r="D551" t="inlineStr">
        <is>
          <t>SÖDERMANLANDS LÄN</t>
        </is>
      </c>
      <c r="E551" t="inlineStr">
        <is>
          <t>ESKILSTUNA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17816-2022</t>
        </is>
      </c>
      <c r="B552" s="1" t="n">
        <v>44683</v>
      </c>
      <c r="C552" s="1" t="n">
        <v>45473</v>
      </c>
      <c r="D552" t="inlineStr">
        <is>
          <t>SÖDERMANLANDS LÄN</t>
        </is>
      </c>
      <c r="E552" t="inlineStr">
        <is>
          <t>ESKILSTUNA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17841-2022</t>
        </is>
      </c>
      <c r="B553" s="1" t="n">
        <v>44683</v>
      </c>
      <c r="C553" s="1" t="n">
        <v>45473</v>
      </c>
      <c r="D553" t="inlineStr">
        <is>
          <t>SÖDERMANLANDS LÄN</t>
        </is>
      </c>
      <c r="E553" t="inlineStr">
        <is>
          <t>ESKILSTUNA</t>
        </is>
      </c>
      <c r="F553" t="inlineStr">
        <is>
          <t>Allmännings- och besparingsskogar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18780-2022</t>
        </is>
      </c>
      <c r="B554" s="1" t="n">
        <v>44689</v>
      </c>
      <c r="C554" s="1" t="n">
        <v>45473</v>
      </c>
      <c r="D554" t="inlineStr">
        <is>
          <t>SÖDERMANLANDS LÄN</t>
        </is>
      </c>
      <c r="E554" t="inlineStr">
        <is>
          <t>ESKILSTUNA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19550-2022</t>
        </is>
      </c>
      <c r="B555" s="1" t="n">
        <v>44693</v>
      </c>
      <c r="C555" s="1" t="n">
        <v>45473</v>
      </c>
      <c r="D555" t="inlineStr">
        <is>
          <t>SÖDERMANLANDS LÄN</t>
        </is>
      </c>
      <c r="E555" t="inlineStr">
        <is>
          <t>ESKILSTUNA</t>
        </is>
      </c>
      <c r="F555" t="inlineStr">
        <is>
          <t>Allmännings- och besparingsskogar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20180-2022</t>
        </is>
      </c>
      <c r="B556" s="1" t="n">
        <v>44698</v>
      </c>
      <c r="C556" s="1" t="n">
        <v>45473</v>
      </c>
      <c r="D556" t="inlineStr">
        <is>
          <t>SÖDERMANLANDS LÄN</t>
        </is>
      </c>
      <c r="E556" t="inlineStr">
        <is>
          <t>ESKILSTUNA</t>
        </is>
      </c>
      <c r="F556" t="inlineStr">
        <is>
          <t>Kyrkan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20376-2022</t>
        </is>
      </c>
      <c r="B557" s="1" t="n">
        <v>44699</v>
      </c>
      <c r="C557" s="1" t="n">
        <v>45473</v>
      </c>
      <c r="D557" t="inlineStr">
        <is>
          <t>SÖDERMANLANDS LÄN</t>
        </is>
      </c>
      <c r="E557" t="inlineStr">
        <is>
          <t>ESKILSTUNA</t>
        </is>
      </c>
      <c r="F557" t="inlineStr">
        <is>
          <t>Naturvårdsverket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20823-2022</t>
        </is>
      </c>
      <c r="B558" s="1" t="n">
        <v>44701</v>
      </c>
      <c r="C558" s="1" t="n">
        <v>45473</v>
      </c>
      <c r="D558" t="inlineStr">
        <is>
          <t>SÖDERMANLANDS LÄN</t>
        </is>
      </c>
      <c r="E558" t="inlineStr">
        <is>
          <t>ESKILSTUNA</t>
        </is>
      </c>
      <c r="G558" t="n">
        <v>5.3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22185-2022</t>
        </is>
      </c>
      <c r="B559" s="1" t="n">
        <v>44712</v>
      </c>
      <c r="C559" s="1" t="n">
        <v>45473</v>
      </c>
      <c r="D559" t="inlineStr">
        <is>
          <t>SÖDERMANLANDS LÄN</t>
        </is>
      </c>
      <c r="E559" t="inlineStr">
        <is>
          <t>ESKILSTUNA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22255-2022</t>
        </is>
      </c>
      <c r="B560" s="1" t="n">
        <v>44712</v>
      </c>
      <c r="C560" s="1" t="n">
        <v>45473</v>
      </c>
      <c r="D560" t="inlineStr">
        <is>
          <t>SÖDERMANLANDS LÄN</t>
        </is>
      </c>
      <c r="E560" t="inlineStr">
        <is>
          <t>ESKILSTUNA</t>
        </is>
      </c>
      <c r="F560" t="inlineStr">
        <is>
          <t>Sveaskog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22191-2022</t>
        </is>
      </c>
      <c r="B561" s="1" t="n">
        <v>44712</v>
      </c>
      <c r="C561" s="1" t="n">
        <v>45473</v>
      </c>
      <c r="D561" t="inlineStr">
        <is>
          <t>SÖDERMANLANDS LÄN</t>
        </is>
      </c>
      <c r="E561" t="inlineStr">
        <is>
          <t>ESKILSTUNA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22266-2022</t>
        </is>
      </c>
      <c r="B562" s="1" t="n">
        <v>44712</v>
      </c>
      <c r="C562" s="1" t="n">
        <v>45473</v>
      </c>
      <c r="D562" t="inlineStr">
        <is>
          <t>SÖDERMANLANDS LÄN</t>
        </is>
      </c>
      <c r="E562" t="inlineStr">
        <is>
          <t>ESKILSTUNA</t>
        </is>
      </c>
      <c r="F562" t="inlineStr">
        <is>
          <t>Sveaskog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23262-2022</t>
        </is>
      </c>
      <c r="B563" s="1" t="n">
        <v>44720</v>
      </c>
      <c r="C563" s="1" t="n">
        <v>45473</v>
      </c>
      <c r="D563" t="inlineStr">
        <is>
          <t>SÖDERMANLANDS LÄN</t>
        </is>
      </c>
      <c r="E563" t="inlineStr">
        <is>
          <t>ESKILSTUNA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23870-2022</t>
        </is>
      </c>
      <c r="B564" s="1" t="n">
        <v>44722</v>
      </c>
      <c r="C564" s="1" t="n">
        <v>45473</v>
      </c>
      <c r="D564" t="inlineStr">
        <is>
          <t>SÖDERMANLANDS LÄN</t>
        </is>
      </c>
      <c r="E564" t="inlineStr">
        <is>
          <t>ESKILSTUNA</t>
        </is>
      </c>
      <c r="F564" t="inlineStr">
        <is>
          <t>Sveaskog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23868-2022</t>
        </is>
      </c>
      <c r="B565" s="1" t="n">
        <v>44722</v>
      </c>
      <c r="C565" s="1" t="n">
        <v>45473</v>
      </c>
      <c r="D565" t="inlineStr">
        <is>
          <t>SÖDERMANLANDS LÄN</t>
        </is>
      </c>
      <c r="E565" t="inlineStr">
        <is>
          <t>ESKILSTUNA</t>
        </is>
      </c>
      <c r="F565" t="inlineStr">
        <is>
          <t>Sveaskog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23951-2022</t>
        </is>
      </c>
      <c r="B566" s="1" t="n">
        <v>44722</v>
      </c>
      <c r="C566" s="1" t="n">
        <v>45473</v>
      </c>
      <c r="D566" t="inlineStr">
        <is>
          <t>SÖDERMANLANDS LÄN</t>
        </is>
      </c>
      <c r="E566" t="inlineStr">
        <is>
          <t>ESKILSTUNA</t>
        </is>
      </c>
      <c r="F566" t="inlineStr">
        <is>
          <t>Kyrkan</t>
        </is>
      </c>
      <c r="G566" t="n">
        <v>3.8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23873-2022</t>
        </is>
      </c>
      <c r="B567" s="1" t="n">
        <v>44722</v>
      </c>
      <c r="C567" s="1" t="n">
        <v>45473</v>
      </c>
      <c r="D567" t="inlineStr">
        <is>
          <t>SÖDERMANLANDS LÄN</t>
        </is>
      </c>
      <c r="E567" t="inlineStr">
        <is>
          <t>ESKILSTUNA</t>
        </is>
      </c>
      <c r="F567" t="inlineStr">
        <is>
          <t>Sveaskog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25233-2022</t>
        </is>
      </c>
      <c r="B568" s="1" t="n">
        <v>44729</v>
      </c>
      <c r="C568" s="1" t="n">
        <v>45473</v>
      </c>
      <c r="D568" t="inlineStr">
        <is>
          <t>SÖDERMANLANDS LÄN</t>
        </is>
      </c>
      <c r="E568" t="inlineStr">
        <is>
          <t>ESKILSTUNA</t>
        </is>
      </c>
      <c r="F568" t="inlineStr">
        <is>
          <t>Allmännings- och besparingsskogar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25229-2022</t>
        </is>
      </c>
      <c r="B569" s="1" t="n">
        <v>44729</v>
      </c>
      <c r="C569" s="1" t="n">
        <v>45473</v>
      </c>
      <c r="D569" t="inlineStr">
        <is>
          <t>SÖDERMANLANDS LÄN</t>
        </is>
      </c>
      <c r="E569" t="inlineStr">
        <is>
          <t>ESKILSTUNA</t>
        </is>
      </c>
      <c r="F569" t="inlineStr">
        <is>
          <t>Allmännings- och besparingsskogar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25071-2022</t>
        </is>
      </c>
      <c r="B570" s="1" t="n">
        <v>44729</v>
      </c>
      <c r="C570" s="1" t="n">
        <v>45473</v>
      </c>
      <c r="D570" t="inlineStr">
        <is>
          <t>SÖDERMANLANDS LÄN</t>
        </is>
      </c>
      <c r="E570" t="inlineStr">
        <is>
          <t>ESKILSTUNA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25227-2022</t>
        </is>
      </c>
      <c r="B571" s="1" t="n">
        <v>44729</v>
      </c>
      <c r="C571" s="1" t="n">
        <v>45473</v>
      </c>
      <c r="D571" t="inlineStr">
        <is>
          <t>SÖDERMANLANDS LÄN</t>
        </is>
      </c>
      <c r="E571" t="inlineStr">
        <is>
          <t>ESKILSTUNA</t>
        </is>
      </c>
      <c r="F571" t="inlineStr">
        <is>
          <t>Kyrkan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25231-2022</t>
        </is>
      </c>
      <c r="B572" s="1" t="n">
        <v>44729</v>
      </c>
      <c r="C572" s="1" t="n">
        <v>45473</v>
      </c>
      <c r="D572" t="inlineStr">
        <is>
          <t>SÖDERMANLANDS LÄN</t>
        </is>
      </c>
      <c r="E572" t="inlineStr">
        <is>
          <t>ESKILSTUNA</t>
        </is>
      </c>
      <c r="F572" t="inlineStr">
        <is>
          <t>Allmännings- och besparingsskogar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25607-2022</t>
        </is>
      </c>
      <c r="B573" s="1" t="n">
        <v>44732</v>
      </c>
      <c r="C573" s="1" t="n">
        <v>45473</v>
      </c>
      <c r="D573" t="inlineStr">
        <is>
          <t>SÖDERMANLANDS LÄN</t>
        </is>
      </c>
      <c r="E573" t="inlineStr">
        <is>
          <t>ESKILSTUNA</t>
        </is>
      </c>
      <c r="F573" t="inlineStr">
        <is>
          <t>Allmännings- och besparingsskogar</t>
        </is>
      </c>
      <c r="G573" t="n">
        <v>11.3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25668-2022</t>
        </is>
      </c>
      <c r="B574" s="1" t="n">
        <v>44732</v>
      </c>
      <c r="C574" s="1" t="n">
        <v>45473</v>
      </c>
      <c r="D574" t="inlineStr">
        <is>
          <t>SÖDERMANLANDS LÄN</t>
        </is>
      </c>
      <c r="E574" t="inlineStr">
        <is>
          <t>ESKILSTUNA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25609-2022</t>
        </is>
      </c>
      <c r="B575" s="1" t="n">
        <v>44732</v>
      </c>
      <c r="C575" s="1" t="n">
        <v>45473</v>
      </c>
      <c r="D575" t="inlineStr">
        <is>
          <t>SÖDERMANLANDS LÄN</t>
        </is>
      </c>
      <c r="E575" t="inlineStr">
        <is>
          <t>ESKILSTUNA</t>
        </is>
      </c>
      <c r="F575" t="inlineStr">
        <is>
          <t>Allmännings- och besparingsskogar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25669-2022</t>
        </is>
      </c>
      <c r="B576" s="1" t="n">
        <v>44733</v>
      </c>
      <c r="C576" s="1" t="n">
        <v>45473</v>
      </c>
      <c r="D576" t="inlineStr">
        <is>
          <t>SÖDERMANLANDS LÄN</t>
        </is>
      </c>
      <c r="E576" t="inlineStr">
        <is>
          <t>ESKILSTUNA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25961-2022</t>
        </is>
      </c>
      <c r="B577" s="1" t="n">
        <v>44734</v>
      </c>
      <c r="C577" s="1" t="n">
        <v>45473</v>
      </c>
      <c r="D577" t="inlineStr">
        <is>
          <t>SÖDERMANLANDS LÄN</t>
        </is>
      </c>
      <c r="E577" t="inlineStr">
        <is>
          <t>ESKILSTUNA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26148-2022</t>
        </is>
      </c>
      <c r="B578" s="1" t="n">
        <v>44735</v>
      </c>
      <c r="C578" s="1" t="n">
        <v>45473</v>
      </c>
      <c r="D578" t="inlineStr">
        <is>
          <t>SÖDERMANLANDS LÄN</t>
        </is>
      </c>
      <c r="E578" t="inlineStr">
        <is>
          <t>ESKILSTUNA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26532-2022</t>
        </is>
      </c>
      <c r="B579" s="1" t="n">
        <v>44739</v>
      </c>
      <c r="C579" s="1" t="n">
        <v>45473</v>
      </c>
      <c r="D579" t="inlineStr">
        <is>
          <t>SÖDERMANLANDS LÄN</t>
        </is>
      </c>
      <c r="E579" t="inlineStr">
        <is>
          <t>ESKILSTUNA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26535-2022</t>
        </is>
      </c>
      <c r="B580" s="1" t="n">
        <v>44739</v>
      </c>
      <c r="C580" s="1" t="n">
        <v>45473</v>
      </c>
      <c r="D580" t="inlineStr">
        <is>
          <t>SÖDERMANLANDS LÄN</t>
        </is>
      </c>
      <c r="E580" t="inlineStr">
        <is>
          <t>ESKILSTUNA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27255-2022</t>
        </is>
      </c>
      <c r="B581" s="1" t="n">
        <v>44741</v>
      </c>
      <c r="C581" s="1" t="n">
        <v>45473</v>
      </c>
      <c r="D581" t="inlineStr">
        <is>
          <t>SÖDERMANLANDS LÄN</t>
        </is>
      </c>
      <c r="E581" t="inlineStr">
        <is>
          <t>ESKILSTUNA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28066-2022</t>
        </is>
      </c>
      <c r="B582" s="1" t="n">
        <v>44746</v>
      </c>
      <c r="C582" s="1" t="n">
        <v>45473</v>
      </c>
      <c r="D582" t="inlineStr">
        <is>
          <t>SÖDERMANLANDS LÄN</t>
        </is>
      </c>
      <c r="E582" t="inlineStr">
        <is>
          <t>ESKILSTUNA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28011-2022</t>
        </is>
      </c>
      <c r="B583" s="1" t="n">
        <v>44746</v>
      </c>
      <c r="C583" s="1" t="n">
        <v>45473</v>
      </c>
      <c r="D583" t="inlineStr">
        <is>
          <t>SÖDERMANLANDS LÄN</t>
        </is>
      </c>
      <c r="E583" t="inlineStr">
        <is>
          <t>ESKILSTUNA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28033-2022</t>
        </is>
      </c>
      <c r="B584" s="1" t="n">
        <v>44746</v>
      </c>
      <c r="C584" s="1" t="n">
        <v>45473</v>
      </c>
      <c r="D584" t="inlineStr">
        <is>
          <t>SÖDERMANLANDS LÄN</t>
        </is>
      </c>
      <c r="E584" t="inlineStr">
        <is>
          <t>ESKILSTUNA</t>
        </is>
      </c>
      <c r="G584" t="n">
        <v>5.2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28071-2022</t>
        </is>
      </c>
      <c r="B585" s="1" t="n">
        <v>44746</v>
      </c>
      <c r="C585" s="1" t="n">
        <v>45473</v>
      </c>
      <c r="D585" t="inlineStr">
        <is>
          <t>SÖDERMANLANDS LÄN</t>
        </is>
      </c>
      <c r="E585" t="inlineStr">
        <is>
          <t>ESKILSTUNA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28060-2022</t>
        </is>
      </c>
      <c r="B586" s="1" t="n">
        <v>44746</v>
      </c>
      <c r="C586" s="1" t="n">
        <v>45473</v>
      </c>
      <c r="D586" t="inlineStr">
        <is>
          <t>SÖDERMANLANDS LÄN</t>
        </is>
      </c>
      <c r="E586" t="inlineStr">
        <is>
          <t>ESKILSTUNA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28189-2022</t>
        </is>
      </c>
      <c r="B587" s="1" t="n">
        <v>44746</v>
      </c>
      <c r="C587" s="1" t="n">
        <v>45473</v>
      </c>
      <c r="D587" t="inlineStr">
        <is>
          <t>SÖDERMANLANDS LÄN</t>
        </is>
      </c>
      <c r="E587" t="inlineStr">
        <is>
          <t>ESKILSTUNA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  <c r="U587">
        <f>HYPERLINK("https://klasma.github.io/Logging_0484/knärot/A 28189-2022 karta knärot.png", "A 28189-2022")</f>
        <v/>
      </c>
      <c r="V587">
        <f>HYPERLINK("https://klasma.github.io/Logging_0484/klagomål/A 28189-2022 FSC-klagomål.docx", "A 28189-2022")</f>
        <v/>
      </c>
      <c r="W587">
        <f>HYPERLINK("https://klasma.github.io/Logging_0484/klagomålsmail/A 28189-2022 FSC-klagomål mail.docx", "A 28189-2022")</f>
        <v/>
      </c>
      <c r="X587">
        <f>HYPERLINK("https://klasma.github.io/Logging_0484/tillsyn/A 28189-2022 tillsynsbegäran.docx", "A 28189-2022")</f>
        <v/>
      </c>
      <c r="Y587">
        <f>HYPERLINK("https://klasma.github.io/Logging_0484/tillsynsmail/A 28189-2022 tillsynsbegäran mail.docx", "A 28189-2022")</f>
        <v/>
      </c>
    </row>
    <row r="588" ht="15" customHeight="1">
      <c r="A588" t="inlineStr">
        <is>
          <t>A 28222-2022</t>
        </is>
      </c>
      <c r="B588" s="1" t="n">
        <v>44746</v>
      </c>
      <c r="C588" s="1" t="n">
        <v>45473</v>
      </c>
      <c r="D588" t="inlineStr">
        <is>
          <t>SÖDERMANLANDS LÄN</t>
        </is>
      </c>
      <c r="E588" t="inlineStr">
        <is>
          <t>ESKILSTUNA</t>
        </is>
      </c>
      <c r="G588" t="n">
        <v>5.1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28269-2022</t>
        </is>
      </c>
      <c r="B589" s="1" t="n">
        <v>44746</v>
      </c>
      <c r="C589" s="1" t="n">
        <v>45473</v>
      </c>
      <c r="D589" t="inlineStr">
        <is>
          <t>SÖDERMANLANDS LÄN</t>
        </is>
      </c>
      <c r="E589" t="inlineStr">
        <is>
          <t>ESKILSTUNA</t>
        </is>
      </c>
      <c r="F589" t="inlineStr">
        <is>
          <t>Kommuner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28577-2022</t>
        </is>
      </c>
      <c r="B590" s="1" t="n">
        <v>44748</v>
      </c>
      <c r="C590" s="1" t="n">
        <v>45473</v>
      </c>
      <c r="D590" t="inlineStr">
        <is>
          <t>SÖDERMANLANDS LÄN</t>
        </is>
      </c>
      <c r="E590" t="inlineStr">
        <is>
          <t>ESKILSTUNA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29068-2022</t>
        </is>
      </c>
      <c r="B591" s="1" t="n">
        <v>44749</v>
      </c>
      <c r="C591" s="1" t="n">
        <v>45473</v>
      </c>
      <c r="D591" t="inlineStr">
        <is>
          <t>SÖDERMANLANDS LÄN</t>
        </is>
      </c>
      <c r="E591" t="inlineStr">
        <is>
          <t>ESKILSTUNA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29626-2022</t>
        </is>
      </c>
      <c r="B592" s="1" t="n">
        <v>44754</v>
      </c>
      <c r="C592" s="1" t="n">
        <v>45473</v>
      </c>
      <c r="D592" t="inlineStr">
        <is>
          <t>SÖDERMANLANDS LÄN</t>
        </is>
      </c>
      <c r="E592" t="inlineStr">
        <is>
          <t>ESKILSTUNA</t>
        </is>
      </c>
      <c r="F592" t="inlineStr">
        <is>
          <t>Kommuner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29750-2022</t>
        </is>
      </c>
      <c r="B593" s="1" t="n">
        <v>44755</v>
      </c>
      <c r="C593" s="1" t="n">
        <v>45473</v>
      </c>
      <c r="D593" t="inlineStr">
        <is>
          <t>SÖDERMANLANDS LÄN</t>
        </is>
      </c>
      <c r="E593" t="inlineStr">
        <is>
          <t>ESKILSTUNA</t>
        </is>
      </c>
      <c r="G593" t="n">
        <v>20.1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29760-2022</t>
        </is>
      </c>
      <c r="B594" s="1" t="n">
        <v>44755</v>
      </c>
      <c r="C594" s="1" t="n">
        <v>45473</v>
      </c>
      <c r="D594" t="inlineStr">
        <is>
          <t>SÖDERMANLANDS LÄN</t>
        </is>
      </c>
      <c r="E594" t="inlineStr">
        <is>
          <t>ESKILSTUNA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29886-2022</t>
        </is>
      </c>
      <c r="B595" s="1" t="n">
        <v>44756</v>
      </c>
      <c r="C595" s="1" t="n">
        <v>45473</v>
      </c>
      <c r="D595" t="inlineStr">
        <is>
          <t>SÖDERMANLANDS LÄN</t>
        </is>
      </c>
      <c r="E595" t="inlineStr">
        <is>
          <t>ESKILSTUNA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30698-2022</t>
        </is>
      </c>
      <c r="B596" s="1" t="n">
        <v>44763</v>
      </c>
      <c r="C596" s="1" t="n">
        <v>45473</v>
      </c>
      <c r="D596" t="inlineStr">
        <is>
          <t>SÖDERMANLANDS LÄN</t>
        </is>
      </c>
      <c r="E596" t="inlineStr">
        <is>
          <t>ESKILSTUNA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30968-2022</t>
        </is>
      </c>
      <c r="B597" s="1" t="n">
        <v>44768</v>
      </c>
      <c r="C597" s="1" t="n">
        <v>45473</v>
      </c>
      <c r="D597" t="inlineStr">
        <is>
          <t>SÖDERMANLANDS LÄN</t>
        </is>
      </c>
      <c r="E597" t="inlineStr">
        <is>
          <t>ESKILSTUNA</t>
        </is>
      </c>
      <c r="F597" t="inlineStr">
        <is>
          <t>Sveaskog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32401-2022</t>
        </is>
      </c>
      <c r="B598" s="1" t="n">
        <v>44781</v>
      </c>
      <c r="C598" s="1" t="n">
        <v>45473</v>
      </c>
      <c r="D598" t="inlineStr">
        <is>
          <t>SÖDERMANLANDS LÄN</t>
        </is>
      </c>
      <c r="E598" t="inlineStr">
        <is>
          <t>ESKILSTUNA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32390-2022</t>
        </is>
      </c>
      <c r="B599" s="1" t="n">
        <v>44781</v>
      </c>
      <c r="C599" s="1" t="n">
        <v>45473</v>
      </c>
      <c r="D599" t="inlineStr">
        <is>
          <t>SÖDERMANLANDS LÄN</t>
        </is>
      </c>
      <c r="E599" t="inlineStr">
        <is>
          <t>ESKILSTUNA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32406-2022</t>
        </is>
      </c>
      <c r="B600" s="1" t="n">
        <v>44781</v>
      </c>
      <c r="C600" s="1" t="n">
        <v>45473</v>
      </c>
      <c r="D600" t="inlineStr">
        <is>
          <t>SÖDERMANLANDS LÄN</t>
        </is>
      </c>
      <c r="E600" t="inlineStr">
        <is>
          <t>ESKILSTUNA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32484-2022</t>
        </is>
      </c>
      <c r="B601" s="1" t="n">
        <v>44782</v>
      </c>
      <c r="C601" s="1" t="n">
        <v>45473</v>
      </c>
      <c r="D601" t="inlineStr">
        <is>
          <t>SÖDERMANLANDS LÄN</t>
        </is>
      </c>
      <c r="E601" t="inlineStr">
        <is>
          <t>ESKILSTUNA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32588-2022</t>
        </is>
      </c>
      <c r="B602" s="1" t="n">
        <v>44783</v>
      </c>
      <c r="C602" s="1" t="n">
        <v>45473</v>
      </c>
      <c r="D602" t="inlineStr">
        <is>
          <t>SÖDERMANLANDS LÄN</t>
        </is>
      </c>
      <c r="E602" t="inlineStr">
        <is>
          <t>ESKILSTUNA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32925-2022</t>
        </is>
      </c>
      <c r="B603" s="1" t="n">
        <v>44784</v>
      </c>
      <c r="C603" s="1" t="n">
        <v>45473</v>
      </c>
      <c r="D603" t="inlineStr">
        <is>
          <t>SÖDERMANLANDS LÄN</t>
        </is>
      </c>
      <c r="E603" t="inlineStr">
        <is>
          <t>ESKILSTUNA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33052-2022</t>
        </is>
      </c>
      <c r="B604" s="1" t="n">
        <v>44785</v>
      </c>
      <c r="C604" s="1" t="n">
        <v>45473</v>
      </c>
      <c r="D604" t="inlineStr">
        <is>
          <t>SÖDERMANLANDS LÄN</t>
        </is>
      </c>
      <c r="E604" t="inlineStr">
        <is>
          <t>ESKILSTUNA</t>
        </is>
      </c>
      <c r="F604" t="inlineStr">
        <is>
          <t>Kyrkan</t>
        </is>
      </c>
      <c r="G604" t="n">
        <v>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33585-2022</t>
        </is>
      </c>
      <c r="B605" s="1" t="n">
        <v>44789</v>
      </c>
      <c r="C605" s="1" t="n">
        <v>45473</v>
      </c>
      <c r="D605" t="inlineStr">
        <is>
          <t>SÖDERMANLANDS LÄN</t>
        </is>
      </c>
      <c r="E605" t="inlineStr">
        <is>
          <t>ESKILSTUNA</t>
        </is>
      </c>
      <c r="G605" t="n">
        <v>5.5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33703-2022</t>
        </is>
      </c>
      <c r="B606" s="1" t="n">
        <v>44789</v>
      </c>
      <c r="C606" s="1" t="n">
        <v>45473</v>
      </c>
      <c r="D606" t="inlineStr">
        <is>
          <t>SÖDERMANLANDS LÄN</t>
        </is>
      </c>
      <c r="E606" t="inlineStr">
        <is>
          <t>ESKILSTUNA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34488-2022</t>
        </is>
      </c>
      <c r="B607" s="1" t="n">
        <v>44792</v>
      </c>
      <c r="C607" s="1" t="n">
        <v>45473</v>
      </c>
      <c r="D607" t="inlineStr">
        <is>
          <t>SÖDERMANLANDS LÄN</t>
        </is>
      </c>
      <c r="E607" t="inlineStr">
        <is>
          <t>ESKILSTUNA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35076-2022</t>
        </is>
      </c>
      <c r="B608" s="1" t="n">
        <v>44797</v>
      </c>
      <c r="C608" s="1" t="n">
        <v>45473</v>
      </c>
      <c r="D608" t="inlineStr">
        <is>
          <t>SÖDERMANLANDS LÄN</t>
        </is>
      </c>
      <c r="E608" t="inlineStr">
        <is>
          <t>ESKILSTUNA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35096-2022</t>
        </is>
      </c>
      <c r="B609" s="1" t="n">
        <v>44797</v>
      </c>
      <c r="C609" s="1" t="n">
        <v>45473</v>
      </c>
      <c r="D609" t="inlineStr">
        <is>
          <t>SÖDERMANLANDS LÄN</t>
        </is>
      </c>
      <c r="E609" t="inlineStr">
        <is>
          <t>ESKILSTUNA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35693-2022</t>
        </is>
      </c>
      <c r="B610" s="1" t="n">
        <v>44799</v>
      </c>
      <c r="C610" s="1" t="n">
        <v>45473</v>
      </c>
      <c r="D610" t="inlineStr">
        <is>
          <t>SÖDERMANLANDS LÄN</t>
        </is>
      </c>
      <c r="E610" t="inlineStr">
        <is>
          <t>ESKILSTUNA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35698-2022</t>
        </is>
      </c>
      <c r="B611" s="1" t="n">
        <v>44799</v>
      </c>
      <c r="C611" s="1" t="n">
        <v>45473</v>
      </c>
      <c r="D611" t="inlineStr">
        <is>
          <t>SÖDERMANLANDS LÄN</t>
        </is>
      </c>
      <c r="E611" t="inlineStr">
        <is>
          <t>ESKILSTUNA</t>
        </is>
      </c>
      <c r="G611" t="n">
        <v>9.199999999999999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36153-2022</t>
        </is>
      </c>
      <c r="B612" s="1" t="n">
        <v>44803</v>
      </c>
      <c r="C612" s="1" t="n">
        <v>45473</v>
      </c>
      <c r="D612" t="inlineStr">
        <is>
          <t>SÖDERMANLANDS LÄN</t>
        </is>
      </c>
      <c r="E612" t="inlineStr">
        <is>
          <t>ESKILSTUNA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36142-2022</t>
        </is>
      </c>
      <c r="B613" s="1" t="n">
        <v>44803</v>
      </c>
      <c r="C613" s="1" t="n">
        <v>45473</v>
      </c>
      <c r="D613" t="inlineStr">
        <is>
          <t>SÖDERMANLANDS LÄN</t>
        </is>
      </c>
      <c r="E613" t="inlineStr">
        <is>
          <t>ESKILSTUNA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36553-2022</t>
        </is>
      </c>
      <c r="B614" s="1" t="n">
        <v>44804</v>
      </c>
      <c r="C614" s="1" t="n">
        <v>45473</v>
      </c>
      <c r="D614" t="inlineStr">
        <is>
          <t>SÖDERMANLANDS LÄN</t>
        </is>
      </c>
      <c r="E614" t="inlineStr">
        <is>
          <t>ESKILSTUNA</t>
        </is>
      </c>
      <c r="G614" t="n">
        <v>9.9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36565-2022</t>
        </is>
      </c>
      <c r="B615" s="1" t="n">
        <v>44804</v>
      </c>
      <c r="C615" s="1" t="n">
        <v>45473</v>
      </c>
      <c r="D615" t="inlineStr">
        <is>
          <t>SÖDERMANLANDS LÄN</t>
        </is>
      </c>
      <c r="E615" t="inlineStr">
        <is>
          <t>ESKILSTUNA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36648-2022</t>
        </is>
      </c>
      <c r="B616" s="1" t="n">
        <v>44804</v>
      </c>
      <c r="C616" s="1" t="n">
        <v>45473</v>
      </c>
      <c r="D616" t="inlineStr">
        <is>
          <t>SÖDERMANLANDS LÄN</t>
        </is>
      </c>
      <c r="E616" t="inlineStr">
        <is>
          <t>ESKILSTUNA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36558-2022</t>
        </is>
      </c>
      <c r="B617" s="1" t="n">
        <v>44804</v>
      </c>
      <c r="C617" s="1" t="n">
        <v>45473</v>
      </c>
      <c r="D617" t="inlineStr">
        <is>
          <t>SÖDERMANLANDS LÄN</t>
        </is>
      </c>
      <c r="E617" t="inlineStr">
        <is>
          <t>ESKILSTUNA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36643-2022</t>
        </is>
      </c>
      <c r="B618" s="1" t="n">
        <v>44804</v>
      </c>
      <c r="C618" s="1" t="n">
        <v>45473</v>
      </c>
      <c r="D618" t="inlineStr">
        <is>
          <t>SÖDERMANLANDS LÄN</t>
        </is>
      </c>
      <c r="E618" t="inlineStr">
        <is>
          <t>ESKILSTUNA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36748-2022</t>
        </is>
      </c>
      <c r="B619" s="1" t="n">
        <v>44805</v>
      </c>
      <c r="C619" s="1" t="n">
        <v>45473</v>
      </c>
      <c r="D619" t="inlineStr">
        <is>
          <t>SÖDERMANLANDS LÄN</t>
        </is>
      </c>
      <c r="E619" t="inlineStr">
        <is>
          <t>ESKILSTUNA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36906-2022</t>
        </is>
      </c>
      <c r="B620" s="1" t="n">
        <v>44805</v>
      </c>
      <c r="C620" s="1" t="n">
        <v>45473</v>
      </c>
      <c r="D620" t="inlineStr">
        <is>
          <t>SÖDERMANLANDS LÄN</t>
        </is>
      </c>
      <c r="E620" t="inlineStr">
        <is>
          <t>ESKILSTUNA</t>
        </is>
      </c>
      <c r="F620" t="inlineStr">
        <is>
          <t>Allmännings- och besparingsskogar</t>
        </is>
      </c>
      <c r="G620" t="n">
        <v>6.4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40386-2022</t>
        </is>
      </c>
      <c r="B621" s="1" t="n">
        <v>44819</v>
      </c>
      <c r="C621" s="1" t="n">
        <v>45473</v>
      </c>
      <c r="D621" t="inlineStr">
        <is>
          <t>SÖDERMANLANDS LÄN</t>
        </is>
      </c>
      <c r="E621" t="inlineStr">
        <is>
          <t>ESKILSTUNA</t>
        </is>
      </c>
      <c r="G621" t="n">
        <v>11.6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40377-2022</t>
        </is>
      </c>
      <c r="B622" s="1" t="n">
        <v>44819</v>
      </c>
      <c r="C622" s="1" t="n">
        <v>45473</v>
      </c>
      <c r="D622" t="inlineStr">
        <is>
          <t>SÖDERMANLANDS LÄN</t>
        </is>
      </c>
      <c r="E622" t="inlineStr">
        <is>
          <t>ESKILSTUNA</t>
        </is>
      </c>
      <c r="G622" t="n">
        <v>9.1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41072-2022</t>
        </is>
      </c>
      <c r="B623" s="1" t="n">
        <v>44825</v>
      </c>
      <c r="C623" s="1" t="n">
        <v>45473</v>
      </c>
      <c r="D623" t="inlineStr">
        <is>
          <t>SÖDERMANLANDS LÄN</t>
        </is>
      </c>
      <c r="E623" t="inlineStr">
        <is>
          <t>ESKILSTUNA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40912-2022</t>
        </is>
      </c>
      <c r="B624" s="1" t="n">
        <v>44825</v>
      </c>
      <c r="C624" s="1" t="n">
        <v>45473</v>
      </c>
      <c r="D624" t="inlineStr">
        <is>
          <t>SÖDERMANLANDS LÄN</t>
        </is>
      </c>
      <c r="E624" t="inlineStr">
        <is>
          <t>ESKILSTUNA</t>
        </is>
      </c>
      <c r="F624" t="inlineStr">
        <is>
          <t>Allmännings- och besparingsskogar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41708-2022</t>
        </is>
      </c>
      <c r="B625" s="1" t="n">
        <v>44827</v>
      </c>
      <c r="C625" s="1" t="n">
        <v>45473</v>
      </c>
      <c r="D625" t="inlineStr">
        <is>
          <t>SÖDERMANLANDS LÄN</t>
        </is>
      </c>
      <c r="E625" t="inlineStr">
        <is>
          <t>ESKILSTUNA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42801-2022</t>
        </is>
      </c>
      <c r="B626" s="1" t="n">
        <v>44832</v>
      </c>
      <c r="C626" s="1" t="n">
        <v>45473</v>
      </c>
      <c r="D626" t="inlineStr">
        <is>
          <t>SÖDERMANLANDS LÄN</t>
        </is>
      </c>
      <c r="E626" t="inlineStr">
        <is>
          <t>ESKILSTUNA</t>
        </is>
      </c>
      <c r="G626" t="n">
        <v>19.9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43039-2022</t>
        </is>
      </c>
      <c r="B627" s="1" t="n">
        <v>44833</v>
      </c>
      <c r="C627" s="1" t="n">
        <v>45473</v>
      </c>
      <c r="D627" t="inlineStr">
        <is>
          <t>SÖDERMANLANDS LÄN</t>
        </is>
      </c>
      <c r="E627" t="inlineStr">
        <is>
          <t>ESKILSTUNA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43543-2022</t>
        </is>
      </c>
      <c r="B628" s="1" t="n">
        <v>44834</v>
      </c>
      <c r="C628" s="1" t="n">
        <v>45473</v>
      </c>
      <c r="D628" t="inlineStr">
        <is>
          <t>SÖDERMANLANDS LÄN</t>
        </is>
      </c>
      <c r="E628" t="inlineStr">
        <is>
          <t>ESKILSTUNA</t>
        </is>
      </c>
      <c r="G628" t="n">
        <v>6.1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43529-2022</t>
        </is>
      </c>
      <c r="B629" s="1" t="n">
        <v>44834</v>
      </c>
      <c r="C629" s="1" t="n">
        <v>45473</v>
      </c>
      <c r="D629" t="inlineStr">
        <is>
          <t>SÖDERMANLANDS LÄN</t>
        </is>
      </c>
      <c r="E629" t="inlineStr">
        <is>
          <t>ESKILSTUNA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43501-2022</t>
        </is>
      </c>
      <c r="B630" s="1" t="n">
        <v>44837</v>
      </c>
      <c r="C630" s="1" t="n">
        <v>45473</v>
      </c>
      <c r="D630" t="inlineStr">
        <is>
          <t>SÖDERMANLANDS LÄN</t>
        </is>
      </c>
      <c r="E630" t="inlineStr">
        <is>
          <t>ESKILSTUNA</t>
        </is>
      </c>
      <c r="F630" t="inlineStr">
        <is>
          <t>Sveaskog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44615-2022</t>
        </is>
      </c>
      <c r="B631" s="1" t="n">
        <v>44839</v>
      </c>
      <c r="C631" s="1" t="n">
        <v>45473</v>
      </c>
      <c r="D631" t="inlineStr">
        <is>
          <t>SÖDERMANLANDS LÄN</t>
        </is>
      </c>
      <c r="E631" t="inlineStr">
        <is>
          <t>ESKILSTUNA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45097-2022</t>
        </is>
      </c>
      <c r="B632" s="1" t="n">
        <v>44842</v>
      </c>
      <c r="C632" s="1" t="n">
        <v>45473</v>
      </c>
      <c r="D632" t="inlineStr">
        <is>
          <t>SÖDERMANLANDS LÄN</t>
        </is>
      </c>
      <c r="E632" t="inlineStr">
        <is>
          <t>ESKILSTUNA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45882-2022</t>
        </is>
      </c>
      <c r="B633" s="1" t="n">
        <v>44844</v>
      </c>
      <c r="C633" s="1" t="n">
        <v>45473</v>
      </c>
      <c r="D633" t="inlineStr">
        <is>
          <t>SÖDERMANLANDS LÄN</t>
        </is>
      </c>
      <c r="E633" t="inlineStr">
        <is>
          <t>ESKILSTUNA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45879-2022</t>
        </is>
      </c>
      <c r="B634" s="1" t="n">
        <v>44844</v>
      </c>
      <c r="C634" s="1" t="n">
        <v>45473</v>
      </c>
      <c r="D634" t="inlineStr">
        <is>
          <t>SÖDERMANLANDS LÄN</t>
        </is>
      </c>
      <c r="E634" t="inlineStr">
        <is>
          <t>ESKILSTUNA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45884-2022</t>
        </is>
      </c>
      <c r="B635" s="1" t="n">
        <v>44844</v>
      </c>
      <c r="C635" s="1" t="n">
        <v>45473</v>
      </c>
      <c r="D635" t="inlineStr">
        <is>
          <t>SÖDERMANLANDS LÄN</t>
        </is>
      </c>
      <c r="E635" t="inlineStr">
        <is>
          <t>ESKILSTUNA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45986-2022</t>
        </is>
      </c>
      <c r="B636" s="1" t="n">
        <v>44846</v>
      </c>
      <c r="C636" s="1" t="n">
        <v>45473</v>
      </c>
      <c r="D636" t="inlineStr">
        <is>
          <t>SÖDERMANLANDS LÄN</t>
        </is>
      </c>
      <c r="E636" t="inlineStr">
        <is>
          <t>ESKILSTUNA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46420-2022</t>
        </is>
      </c>
      <c r="B637" s="1" t="n">
        <v>44848</v>
      </c>
      <c r="C637" s="1" t="n">
        <v>45473</v>
      </c>
      <c r="D637" t="inlineStr">
        <is>
          <t>SÖDERMANLANDS LÄN</t>
        </is>
      </c>
      <c r="E637" t="inlineStr">
        <is>
          <t>ESKILSTUNA</t>
        </is>
      </c>
      <c r="F637" t="inlineStr">
        <is>
          <t>Kyrkan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46872-2022</t>
        </is>
      </c>
      <c r="B638" s="1" t="n">
        <v>44851</v>
      </c>
      <c r="C638" s="1" t="n">
        <v>45473</v>
      </c>
      <c r="D638" t="inlineStr">
        <is>
          <t>SÖDERMANLANDS LÄN</t>
        </is>
      </c>
      <c r="E638" t="inlineStr">
        <is>
          <t>ESKILSTUNA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46881-2022</t>
        </is>
      </c>
      <c r="B639" s="1" t="n">
        <v>44851</v>
      </c>
      <c r="C639" s="1" t="n">
        <v>45473</v>
      </c>
      <c r="D639" t="inlineStr">
        <is>
          <t>SÖDERMANLANDS LÄN</t>
        </is>
      </c>
      <c r="E639" t="inlineStr">
        <is>
          <t>ESKILSTUNA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47038-2022</t>
        </is>
      </c>
      <c r="B640" s="1" t="n">
        <v>44851</v>
      </c>
      <c r="C640" s="1" t="n">
        <v>45473</v>
      </c>
      <c r="D640" t="inlineStr">
        <is>
          <t>SÖDERMANLANDS LÄN</t>
        </is>
      </c>
      <c r="E640" t="inlineStr">
        <is>
          <t>ESKILSTUNA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47000-2022</t>
        </is>
      </c>
      <c r="B641" s="1" t="n">
        <v>44852</v>
      </c>
      <c r="C641" s="1" t="n">
        <v>45473</v>
      </c>
      <c r="D641" t="inlineStr">
        <is>
          <t>SÖDERMANLANDS LÄN</t>
        </is>
      </c>
      <c r="E641" t="inlineStr">
        <is>
          <t>ESKILSTUNA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48362-2022</t>
        </is>
      </c>
      <c r="B642" s="1" t="n">
        <v>44858</v>
      </c>
      <c r="C642" s="1" t="n">
        <v>45473</v>
      </c>
      <c r="D642" t="inlineStr">
        <is>
          <t>SÖDERMANLANDS LÄN</t>
        </is>
      </c>
      <c r="E642" t="inlineStr">
        <is>
          <t>ESKILSTUNA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49469-2022</t>
        </is>
      </c>
      <c r="B643" s="1" t="n">
        <v>44861</v>
      </c>
      <c r="C643" s="1" t="n">
        <v>45473</v>
      </c>
      <c r="D643" t="inlineStr">
        <is>
          <t>SÖDERMANLANDS LÄN</t>
        </is>
      </c>
      <c r="E643" t="inlineStr">
        <is>
          <t>ESKILSTUNA</t>
        </is>
      </c>
      <c r="F643" t="inlineStr">
        <is>
          <t>Allmännings- och besparingsskogar</t>
        </is>
      </c>
      <c r="G643" t="n">
        <v>5.8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49884-2022</t>
        </is>
      </c>
      <c r="B644" s="1" t="n">
        <v>44864</v>
      </c>
      <c r="C644" s="1" t="n">
        <v>45473</v>
      </c>
      <c r="D644" t="inlineStr">
        <is>
          <t>SÖDERMANLANDS LÄN</t>
        </is>
      </c>
      <c r="E644" t="inlineStr">
        <is>
          <t>ESKILSTUNA</t>
        </is>
      </c>
      <c r="F644" t="inlineStr">
        <is>
          <t>Allmännings- och besparingsskogar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50292-2022</t>
        </is>
      </c>
      <c r="B645" s="1" t="n">
        <v>44865</v>
      </c>
      <c r="C645" s="1" t="n">
        <v>45473</v>
      </c>
      <c r="D645" t="inlineStr">
        <is>
          <t>SÖDERMANLANDS LÄN</t>
        </is>
      </c>
      <c r="E645" t="inlineStr">
        <is>
          <t>ESKILSTUNA</t>
        </is>
      </c>
      <c r="F645" t="inlineStr">
        <is>
          <t>Kyrkan</t>
        </is>
      </c>
      <c r="G645" t="n">
        <v>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50298-2022</t>
        </is>
      </c>
      <c r="B646" s="1" t="n">
        <v>44865</v>
      </c>
      <c r="C646" s="1" t="n">
        <v>45473</v>
      </c>
      <c r="D646" t="inlineStr">
        <is>
          <t>SÖDERMANLANDS LÄN</t>
        </is>
      </c>
      <c r="E646" t="inlineStr">
        <is>
          <t>ESKILSTUNA</t>
        </is>
      </c>
      <c r="F646" t="inlineStr">
        <is>
          <t>Kyrkan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50310-2022</t>
        </is>
      </c>
      <c r="B647" s="1" t="n">
        <v>44865</v>
      </c>
      <c r="C647" s="1" t="n">
        <v>45473</v>
      </c>
      <c r="D647" t="inlineStr">
        <is>
          <t>SÖDERMANLANDS LÄN</t>
        </is>
      </c>
      <c r="E647" t="inlineStr">
        <is>
          <t>ESKILSTUNA</t>
        </is>
      </c>
      <c r="F647" t="inlineStr">
        <is>
          <t>Kyrkan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50261-2022</t>
        </is>
      </c>
      <c r="B648" s="1" t="n">
        <v>44865</v>
      </c>
      <c r="C648" s="1" t="n">
        <v>45473</v>
      </c>
      <c r="D648" t="inlineStr">
        <is>
          <t>SÖDERMANLANDS LÄN</t>
        </is>
      </c>
      <c r="E648" t="inlineStr">
        <is>
          <t>ESKILSTUNA</t>
        </is>
      </c>
      <c r="F648" t="inlineStr">
        <is>
          <t>Allmännings- och besparingsskogar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50269-2022</t>
        </is>
      </c>
      <c r="B649" s="1" t="n">
        <v>44865</v>
      </c>
      <c r="C649" s="1" t="n">
        <v>45473</v>
      </c>
      <c r="D649" t="inlineStr">
        <is>
          <t>SÖDERMANLANDS LÄN</t>
        </is>
      </c>
      <c r="E649" t="inlineStr">
        <is>
          <t>ESKILSTUNA</t>
        </is>
      </c>
      <c r="F649" t="inlineStr">
        <is>
          <t>Allmännings- och besparingsskogar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51593-2022</t>
        </is>
      </c>
      <c r="B650" s="1" t="n">
        <v>44871</v>
      </c>
      <c r="C650" s="1" t="n">
        <v>45473</v>
      </c>
      <c r="D650" t="inlineStr">
        <is>
          <t>SÖDERMANLANDS LÄN</t>
        </is>
      </c>
      <c r="E650" t="inlineStr">
        <is>
          <t>ESKILSTUNA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53098-2022</t>
        </is>
      </c>
      <c r="B651" s="1" t="n">
        <v>44873</v>
      </c>
      <c r="C651" s="1" t="n">
        <v>45473</v>
      </c>
      <c r="D651" t="inlineStr">
        <is>
          <t>SÖDERMANLANDS LÄN</t>
        </is>
      </c>
      <c r="E651" t="inlineStr">
        <is>
          <t>ESKILSTUNA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52563-2022</t>
        </is>
      </c>
      <c r="B652" s="1" t="n">
        <v>44874</v>
      </c>
      <c r="C652" s="1" t="n">
        <v>45473</v>
      </c>
      <c r="D652" t="inlineStr">
        <is>
          <t>SÖDERMANLANDS LÄN</t>
        </is>
      </c>
      <c r="E652" t="inlineStr">
        <is>
          <t>ESKILSTUNA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53374-2022</t>
        </is>
      </c>
      <c r="B653" s="1" t="n">
        <v>44874</v>
      </c>
      <c r="C653" s="1" t="n">
        <v>45473</v>
      </c>
      <c r="D653" t="inlineStr">
        <is>
          <t>SÖDERMANLANDS LÄN</t>
        </is>
      </c>
      <c r="E653" t="inlineStr">
        <is>
          <t>ESKILSTUNA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52798-2022</t>
        </is>
      </c>
      <c r="B654" s="1" t="n">
        <v>44875</v>
      </c>
      <c r="C654" s="1" t="n">
        <v>45473</v>
      </c>
      <c r="D654" t="inlineStr">
        <is>
          <t>SÖDERMANLANDS LÄN</t>
        </is>
      </c>
      <c r="E654" t="inlineStr">
        <is>
          <t>ESKILSTUNA</t>
        </is>
      </c>
      <c r="F654" t="inlineStr">
        <is>
          <t>Sveaskog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52800-2022</t>
        </is>
      </c>
      <c r="B655" s="1" t="n">
        <v>44875</v>
      </c>
      <c r="C655" s="1" t="n">
        <v>45473</v>
      </c>
      <c r="D655" t="inlineStr">
        <is>
          <t>SÖDERMANLANDS LÄN</t>
        </is>
      </c>
      <c r="E655" t="inlineStr">
        <is>
          <t>ESKILSTUNA</t>
        </is>
      </c>
      <c r="F655" t="inlineStr">
        <is>
          <t>Sveaskog</t>
        </is>
      </c>
      <c r="G655" t="n">
        <v>4.1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52793-2022</t>
        </is>
      </c>
      <c r="B656" s="1" t="n">
        <v>44875</v>
      </c>
      <c r="C656" s="1" t="n">
        <v>45473</v>
      </c>
      <c r="D656" t="inlineStr">
        <is>
          <t>SÖDERMANLANDS LÄN</t>
        </is>
      </c>
      <c r="E656" t="inlineStr">
        <is>
          <t>ESKILSTUNA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54216-2022</t>
        </is>
      </c>
      <c r="B657" s="1" t="n">
        <v>44881</v>
      </c>
      <c r="C657" s="1" t="n">
        <v>45473</v>
      </c>
      <c r="D657" t="inlineStr">
        <is>
          <t>SÖDERMANLANDS LÄN</t>
        </is>
      </c>
      <c r="E657" t="inlineStr">
        <is>
          <t>ESKILSTUNA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54622-2022</t>
        </is>
      </c>
      <c r="B658" s="1" t="n">
        <v>44883</v>
      </c>
      <c r="C658" s="1" t="n">
        <v>45473</v>
      </c>
      <c r="D658" t="inlineStr">
        <is>
          <t>SÖDERMANLANDS LÄN</t>
        </is>
      </c>
      <c r="E658" t="inlineStr">
        <is>
          <t>ESKILSTUNA</t>
        </is>
      </c>
      <c r="F658" t="inlineStr">
        <is>
          <t>Sveaskog</t>
        </is>
      </c>
      <c r="G658" t="n">
        <v>11.6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55756-2022</t>
        </is>
      </c>
      <c r="B659" s="1" t="n">
        <v>44883</v>
      </c>
      <c r="C659" s="1" t="n">
        <v>45473</v>
      </c>
      <c r="D659" t="inlineStr">
        <is>
          <t>SÖDERMANLANDS LÄN</t>
        </is>
      </c>
      <c r="E659" t="inlineStr">
        <is>
          <t>ESKILSTUNA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55741-2022</t>
        </is>
      </c>
      <c r="B660" s="1" t="n">
        <v>44883</v>
      </c>
      <c r="C660" s="1" t="n">
        <v>45473</v>
      </c>
      <c r="D660" t="inlineStr">
        <is>
          <t>SÖDERMANLANDS LÄN</t>
        </is>
      </c>
      <c r="E660" t="inlineStr">
        <is>
          <t>ESKILSTUNA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55087-2022</t>
        </is>
      </c>
      <c r="B661" s="1" t="n">
        <v>44886</v>
      </c>
      <c r="C661" s="1" t="n">
        <v>45473</v>
      </c>
      <c r="D661" t="inlineStr">
        <is>
          <t>SÖDERMANLANDS LÄN</t>
        </is>
      </c>
      <c r="E661" t="inlineStr">
        <is>
          <t>ESKILSTUNA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55785-2022</t>
        </is>
      </c>
      <c r="B662" s="1" t="n">
        <v>44886</v>
      </c>
      <c r="C662" s="1" t="n">
        <v>45473</v>
      </c>
      <c r="D662" t="inlineStr">
        <is>
          <t>SÖDERMANLANDS LÄN</t>
        </is>
      </c>
      <c r="E662" t="inlineStr">
        <is>
          <t>ESKILSTUNA</t>
        </is>
      </c>
      <c r="G662" t="n">
        <v>5.6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55763-2022</t>
        </is>
      </c>
      <c r="B663" s="1" t="n">
        <v>44886</v>
      </c>
      <c r="C663" s="1" t="n">
        <v>45473</v>
      </c>
      <c r="D663" t="inlineStr">
        <is>
          <t>SÖDERMANLANDS LÄN</t>
        </is>
      </c>
      <c r="E663" t="inlineStr">
        <is>
          <t>ESKILSTUNA</t>
        </is>
      </c>
      <c r="G663" t="n">
        <v>15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55779-2022</t>
        </is>
      </c>
      <c r="B664" s="1" t="n">
        <v>44886</v>
      </c>
      <c r="C664" s="1" t="n">
        <v>45473</v>
      </c>
      <c r="D664" t="inlineStr">
        <is>
          <t>SÖDERMANLANDS LÄN</t>
        </is>
      </c>
      <c r="E664" t="inlineStr">
        <is>
          <t>ESKILSTUNA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55812-2022</t>
        </is>
      </c>
      <c r="B665" s="1" t="n">
        <v>44886</v>
      </c>
      <c r="C665" s="1" t="n">
        <v>45473</v>
      </c>
      <c r="D665" t="inlineStr">
        <is>
          <t>SÖDERMANLANDS LÄN</t>
        </is>
      </c>
      <c r="E665" t="inlineStr">
        <is>
          <t>ESKILSTUNA</t>
        </is>
      </c>
      <c r="G665" t="n">
        <v>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55800-2022</t>
        </is>
      </c>
      <c r="B666" s="1" t="n">
        <v>44888</v>
      </c>
      <c r="C666" s="1" t="n">
        <v>45473</v>
      </c>
      <c r="D666" t="inlineStr">
        <is>
          <t>SÖDERMANLANDS LÄN</t>
        </is>
      </c>
      <c r="E666" t="inlineStr">
        <is>
          <t>ESKILSTUNA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55850-2022</t>
        </is>
      </c>
      <c r="B667" s="1" t="n">
        <v>44888</v>
      </c>
      <c r="C667" s="1" t="n">
        <v>45473</v>
      </c>
      <c r="D667" t="inlineStr">
        <is>
          <t>SÖDERMANLANDS LÄN</t>
        </is>
      </c>
      <c r="E667" t="inlineStr">
        <is>
          <t>ESKILSTUNA</t>
        </is>
      </c>
      <c r="G667" t="n">
        <v>7.2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57524-2022</t>
        </is>
      </c>
      <c r="B668" s="1" t="n">
        <v>44889</v>
      </c>
      <c r="C668" s="1" t="n">
        <v>45473</v>
      </c>
      <c r="D668" t="inlineStr">
        <is>
          <t>SÖDERMANLANDS LÄN</t>
        </is>
      </c>
      <c r="E668" t="inlineStr">
        <is>
          <t>ESKILSTUNA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57546-2022</t>
        </is>
      </c>
      <c r="B669" s="1" t="n">
        <v>44889</v>
      </c>
      <c r="C669" s="1" t="n">
        <v>45473</v>
      </c>
      <c r="D669" t="inlineStr">
        <is>
          <t>SÖDERMANLANDS LÄN</t>
        </is>
      </c>
      <c r="E669" t="inlineStr">
        <is>
          <t>ESKILSTUNA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57538-2022</t>
        </is>
      </c>
      <c r="B670" s="1" t="n">
        <v>44889</v>
      </c>
      <c r="C670" s="1" t="n">
        <v>45473</v>
      </c>
      <c r="D670" t="inlineStr">
        <is>
          <t>SÖDERMANLANDS LÄN</t>
        </is>
      </c>
      <c r="E670" t="inlineStr">
        <is>
          <t>ESKILSTUNA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57541-2022</t>
        </is>
      </c>
      <c r="B671" s="1" t="n">
        <v>44889</v>
      </c>
      <c r="C671" s="1" t="n">
        <v>45473</v>
      </c>
      <c r="D671" t="inlineStr">
        <is>
          <t>SÖDERMANLANDS LÄN</t>
        </is>
      </c>
      <c r="E671" t="inlineStr">
        <is>
          <t>ESKILSTUNA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57530-2022</t>
        </is>
      </c>
      <c r="B672" s="1" t="n">
        <v>44889</v>
      </c>
      <c r="C672" s="1" t="n">
        <v>45473</v>
      </c>
      <c r="D672" t="inlineStr">
        <is>
          <t>SÖDERMANLANDS LÄN</t>
        </is>
      </c>
      <c r="E672" t="inlineStr">
        <is>
          <t>ESKILSTUNA</t>
        </is>
      </c>
      <c r="G672" t="n">
        <v>5.7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57982-2022</t>
        </is>
      </c>
      <c r="B673" s="1" t="n">
        <v>44900</v>
      </c>
      <c r="C673" s="1" t="n">
        <v>45473</v>
      </c>
      <c r="D673" t="inlineStr">
        <is>
          <t>SÖDERMANLANDS LÄN</t>
        </is>
      </c>
      <c r="E673" t="inlineStr">
        <is>
          <t>ESKILSTUNA</t>
        </is>
      </c>
      <c r="G673" t="n">
        <v>5.3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58994-2022</t>
        </is>
      </c>
      <c r="B674" s="1" t="n">
        <v>44903</v>
      </c>
      <c r="C674" s="1" t="n">
        <v>45473</v>
      </c>
      <c r="D674" t="inlineStr">
        <is>
          <t>SÖDERMANLANDS LÄN</t>
        </is>
      </c>
      <c r="E674" t="inlineStr">
        <is>
          <t>ESKILSTUNA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58999-2022</t>
        </is>
      </c>
      <c r="B675" s="1" t="n">
        <v>44903</v>
      </c>
      <c r="C675" s="1" t="n">
        <v>45473</v>
      </c>
      <c r="D675" t="inlineStr">
        <is>
          <t>SÖDERMANLANDS LÄN</t>
        </is>
      </c>
      <c r="E675" t="inlineStr">
        <is>
          <t>ESKILSTUNA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58991-2022</t>
        </is>
      </c>
      <c r="B676" s="1" t="n">
        <v>44903</v>
      </c>
      <c r="C676" s="1" t="n">
        <v>45473</v>
      </c>
      <c r="D676" t="inlineStr">
        <is>
          <t>SÖDERMANLANDS LÄN</t>
        </is>
      </c>
      <c r="E676" t="inlineStr">
        <is>
          <t>ESKILSTUNA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59000-2022</t>
        </is>
      </c>
      <c r="B677" s="1" t="n">
        <v>44903</v>
      </c>
      <c r="C677" s="1" t="n">
        <v>45473</v>
      </c>
      <c r="D677" t="inlineStr">
        <is>
          <t>SÖDERMANLANDS LÄN</t>
        </is>
      </c>
      <c r="E677" t="inlineStr">
        <is>
          <t>ESKILSTUNA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59070-2022</t>
        </is>
      </c>
      <c r="B678" s="1" t="n">
        <v>44904</v>
      </c>
      <c r="C678" s="1" t="n">
        <v>45473</v>
      </c>
      <c r="D678" t="inlineStr">
        <is>
          <t>SÖDERMANLANDS LÄN</t>
        </is>
      </c>
      <c r="E678" t="inlineStr">
        <is>
          <t>ESKILSTUNA</t>
        </is>
      </c>
      <c r="G678" t="n">
        <v>6.6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59151-2022</t>
        </is>
      </c>
      <c r="B679" s="1" t="n">
        <v>44904</v>
      </c>
      <c r="C679" s="1" t="n">
        <v>45473</v>
      </c>
      <c r="D679" t="inlineStr">
        <is>
          <t>SÖDERMANLANDS LÄN</t>
        </is>
      </c>
      <c r="E679" t="inlineStr">
        <is>
          <t>ESKILSTUNA</t>
        </is>
      </c>
      <c r="F679" t="inlineStr">
        <is>
          <t>Allmännings- och besparingsskogar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61311-2022</t>
        </is>
      </c>
      <c r="B680" s="1" t="n">
        <v>44909</v>
      </c>
      <c r="C680" s="1" t="n">
        <v>45473</v>
      </c>
      <c r="D680" t="inlineStr">
        <is>
          <t>SÖDERMANLANDS LÄN</t>
        </is>
      </c>
      <c r="E680" t="inlineStr">
        <is>
          <t>ESKILSTUNA</t>
        </is>
      </c>
      <c r="G680" t="n">
        <v>7.3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60980-2022</t>
        </is>
      </c>
      <c r="B681" s="1" t="n">
        <v>44914</v>
      </c>
      <c r="C681" s="1" t="n">
        <v>45473</v>
      </c>
      <c r="D681" t="inlineStr">
        <is>
          <t>SÖDERMANLANDS LÄN</t>
        </is>
      </c>
      <c r="E681" t="inlineStr">
        <is>
          <t>ESKILSTUNA</t>
        </is>
      </c>
      <c r="G681" t="n">
        <v>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61298-2022</t>
        </is>
      </c>
      <c r="B682" s="1" t="n">
        <v>44915</v>
      </c>
      <c r="C682" s="1" t="n">
        <v>45473</v>
      </c>
      <c r="D682" t="inlineStr">
        <is>
          <t>SÖDERMANLANDS LÄN</t>
        </is>
      </c>
      <c r="E682" t="inlineStr">
        <is>
          <t>ESKILSTUNA</t>
        </is>
      </c>
      <c r="G682" t="n">
        <v>6.3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61303-2022</t>
        </is>
      </c>
      <c r="B683" s="1" t="n">
        <v>44915</v>
      </c>
      <c r="C683" s="1" t="n">
        <v>45473</v>
      </c>
      <c r="D683" t="inlineStr">
        <is>
          <t>SÖDERMANLANDS LÄN</t>
        </is>
      </c>
      <c r="E683" t="inlineStr">
        <is>
          <t>ESKILSTUNA</t>
        </is>
      </c>
      <c r="G683" t="n">
        <v>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61314-2022</t>
        </is>
      </c>
      <c r="B684" s="1" t="n">
        <v>44915</v>
      </c>
      <c r="C684" s="1" t="n">
        <v>45473</v>
      </c>
      <c r="D684" t="inlineStr">
        <is>
          <t>SÖDERMANLANDS LÄN</t>
        </is>
      </c>
      <c r="E684" t="inlineStr">
        <is>
          <t>ESKILSTUNA</t>
        </is>
      </c>
      <c r="G684" t="n">
        <v>8.300000000000001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61416-2022</t>
        </is>
      </c>
      <c r="B685" s="1" t="n">
        <v>44916</v>
      </c>
      <c r="C685" s="1" t="n">
        <v>45473</v>
      </c>
      <c r="D685" t="inlineStr">
        <is>
          <t>SÖDERMANLANDS LÄN</t>
        </is>
      </c>
      <c r="E685" t="inlineStr">
        <is>
          <t>ESKILSTUNA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61866-2022</t>
        </is>
      </c>
      <c r="B686" s="1" t="n">
        <v>44917</v>
      </c>
      <c r="C686" s="1" t="n">
        <v>45473</v>
      </c>
      <c r="D686" t="inlineStr">
        <is>
          <t>SÖDERMANLANDS LÄN</t>
        </is>
      </c>
      <c r="E686" t="inlineStr">
        <is>
          <t>ESKILSTUNA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61861-2022</t>
        </is>
      </c>
      <c r="B687" s="1" t="n">
        <v>44917</v>
      </c>
      <c r="C687" s="1" t="n">
        <v>45473</v>
      </c>
      <c r="D687" t="inlineStr">
        <is>
          <t>SÖDERMANLANDS LÄN</t>
        </is>
      </c>
      <c r="E687" t="inlineStr">
        <is>
          <t>ESKILSTUNA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61988-2022</t>
        </is>
      </c>
      <c r="B688" s="1" t="n">
        <v>44918</v>
      </c>
      <c r="C688" s="1" t="n">
        <v>45473</v>
      </c>
      <c r="D688" t="inlineStr">
        <is>
          <t>SÖDERMANLANDS LÄN</t>
        </is>
      </c>
      <c r="E688" t="inlineStr">
        <is>
          <t>ESKILSTUNA</t>
        </is>
      </c>
      <c r="G688" t="n">
        <v>7.1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61999-2022</t>
        </is>
      </c>
      <c r="B689" s="1" t="n">
        <v>44918</v>
      </c>
      <c r="C689" s="1" t="n">
        <v>45473</v>
      </c>
      <c r="D689" t="inlineStr">
        <is>
          <t>SÖDERMANLANDS LÄN</t>
        </is>
      </c>
      <c r="E689" t="inlineStr">
        <is>
          <t>ESKILSTUNA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62734-2022</t>
        </is>
      </c>
      <c r="B690" s="1" t="n">
        <v>44925</v>
      </c>
      <c r="C690" s="1" t="n">
        <v>45473</v>
      </c>
      <c r="D690" t="inlineStr">
        <is>
          <t>SÖDERMANLANDS LÄN</t>
        </is>
      </c>
      <c r="E690" t="inlineStr">
        <is>
          <t>ESKILSTUNA</t>
        </is>
      </c>
      <c r="G690" t="n">
        <v>6.5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23-2023</t>
        </is>
      </c>
      <c r="B691" s="1" t="n">
        <v>44928</v>
      </c>
      <c r="C691" s="1" t="n">
        <v>45473</v>
      </c>
      <c r="D691" t="inlineStr">
        <is>
          <t>SÖDERMANLANDS LÄN</t>
        </is>
      </c>
      <c r="E691" t="inlineStr">
        <is>
          <t>ESKILSTUNA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1129-2023</t>
        </is>
      </c>
      <c r="B692" s="1" t="n">
        <v>44930</v>
      </c>
      <c r="C692" s="1" t="n">
        <v>45473</v>
      </c>
      <c r="D692" t="inlineStr">
        <is>
          <t>SÖDERMANLANDS LÄN</t>
        </is>
      </c>
      <c r="E692" t="inlineStr">
        <is>
          <t>ESKILSTUNA</t>
        </is>
      </c>
      <c r="G692" t="n">
        <v>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1112-2023</t>
        </is>
      </c>
      <c r="B693" s="1" t="n">
        <v>44930</v>
      </c>
      <c r="C693" s="1" t="n">
        <v>45473</v>
      </c>
      <c r="D693" t="inlineStr">
        <is>
          <t>SÖDERMANLANDS LÄN</t>
        </is>
      </c>
      <c r="E693" t="inlineStr">
        <is>
          <t>ESKILSTUNA</t>
        </is>
      </c>
      <c r="G693" t="n">
        <v>4.3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1131-2023</t>
        </is>
      </c>
      <c r="B694" s="1" t="n">
        <v>44930</v>
      </c>
      <c r="C694" s="1" t="n">
        <v>45473</v>
      </c>
      <c r="D694" t="inlineStr">
        <is>
          <t>SÖDERMANLANDS LÄN</t>
        </is>
      </c>
      <c r="E694" t="inlineStr">
        <is>
          <t>ESKILSTUNA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1307-2023</t>
        </is>
      </c>
      <c r="B695" s="1" t="n">
        <v>44936</v>
      </c>
      <c r="C695" s="1" t="n">
        <v>45473</v>
      </c>
      <c r="D695" t="inlineStr">
        <is>
          <t>SÖDERMANLANDS LÄN</t>
        </is>
      </c>
      <c r="E695" t="inlineStr">
        <is>
          <t>ESKILSTUNA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1463-2023</t>
        </is>
      </c>
      <c r="B696" s="1" t="n">
        <v>44937</v>
      </c>
      <c r="C696" s="1" t="n">
        <v>45473</v>
      </c>
      <c r="D696" t="inlineStr">
        <is>
          <t>SÖDERMANLANDS LÄN</t>
        </is>
      </c>
      <c r="E696" t="inlineStr">
        <is>
          <t>ESKILSTUNA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1468-2023</t>
        </is>
      </c>
      <c r="B697" s="1" t="n">
        <v>44937</v>
      </c>
      <c r="C697" s="1" t="n">
        <v>45473</v>
      </c>
      <c r="D697" t="inlineStr">
        <is>
          <t>SÖDERMANLANDS LÄN</t>
        </is>
      </c>
      <c r="E697" t="inlineStr">
        <is>
          <t>ESKILSTUNA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1715-2023</t>
        </is>
      </c>
      <c r="B698" s="1" t="n">
        <v>44938</v>
      </c>
      <c r="C698" s="1" t="n">
        <v>45473</v>
      </c>
      <c r="D698" t="inlineStr">
        <is>
          <t>SÖDERMANLANDS LÄN</t>
        </is>
      </c>
      <c r="E698" t="inlineStr">
        <is>
          <t>ESKILSTUNA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2341-2023</t>
        </is>
      </c>
      <c r="B699" s="1" t="n">
        <v>44942</v>
      </c>
      <c r="C699" s="1" t="n">
        <v>45473</v>
      </c>
      <c r="D699" t="inlineStr">
        <is>
          <t>SÖDERMANLANDS LÄN</t>
        </is>
      </c>
      <c r="E699" t="inlineStr">
        <is>
          <t>ESKILSTUNA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2343-2023</t>
        </is>
      </c>
      <c r="B700" s="1" t="n">
        <v>44942</v>
      </c>
      <c r="C700" s="1" t="n">
        <v>45473</v>
      </c>
      <c r="D700" t="inlineStr">
        <is>
          <t>SÖDERMANLANDS LÄN</t>
        </is>
      </c>
      <c r="E700" t="inlineStr">
        <is>
          <t>ESKILSTUNA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3112-2023</t>
        </is>
      </c>
      <c r="B701" s="1" t="n">
        <v>44946</v>
      </c>
      <c r="C701" s="1" t="n">
        <v>45473</v>
      </c>
      <c r="D701" t="inlineStr">
        <is>
          <t>SÖDERMANLANDS LÄN</t>
        </is>
      </c>
      <c r="E701" t="inlineStr">
        <is>
          <t>ESKILSTUNA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3101-2023</t>
        </is>
      </c>
      <c r="B702" s="1" t="n">
        <v>44946</v>
      </c>
      <c r="C702" s="1" t="n">
        <v>45473</v>
      </c>
      <c r="D702" t="inlineStr">
        <is>
          <t>SÖDERMANLANDS LÄN</t>
        </is>
      </c>
      <c r="E702" t="inlineStr">
        <is>
          <t>ESKILSTUNA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3138-2023</t>
        </is>
      </c>
      <c r="B703" s="1" t="n">
        <v>44946</v>
      </c>
      <c r="C703" s="1" t="n">
        <v>45473</v>
      </c>
      <c r="D703" t="inlineStr">
        <is>
          <t>SÖDERMANLANDS LÄN</t>
        </is>
      </c>
      <c r="E703" t="inlineStr">
        <is>
          <t>ESKILSTUNA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3136-2023</t>
        </is>
      </c>
      <c r="B704" s="1" t="n">
        <v>44946</v>
      </c>
      <c r="C704" s="1" t="n">
        <v>45473</v>
      </c>
      <c r="D704" t="inlineStr">
        <is>
          <t>SÖDERMANLANDS LÄN</t>
        </is>
      </c>
      <c r="E704" t="inlineStr">
        <is>
          <t>ESKILSTUNA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3145-2023</t>
        </is>
      </c>
      <c r="B705" s="1" t="n">
        <v>44946</v>
      </c>
      <c r="C705" s="1" t="n">
        <v>45473</v>
      </c>
      <c r="D705" t="inlineStr">
        <is>
          <t>SÖDERMANLANDS LÄN</t>
        </is>
      </c>
      <c r="E705" t="inlineStr">
        <is>
          <t>ESKILSTUNA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4256-2023</t>
        </is>
      </c>
      <c r="B706" s="1" t="n">
        <v>44953</v>
      </c>
      <c r="C706" s="1" t="n">
        <v>45473</v>
      </c>
      <c r="D706" t="inlineStr">
        <is>
          <t>SÖDERMANLANDS LÄN</t>
        </is>
      </c>
      <c r="E706" t="inlineStr">
        <is>
          <t>ESKILSTUNA</t>
        </is>
      </c>
      <c r="F706" t="inlineStr">
        <is>
          <t>Allmännings- och besparingsskogar</t>
        </is>
      </c>
      <c r="G706" t="n">
        <v>7.3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4334-2023</t>
        </is>
      </c>
      <c r="B707" s="1" t="n">
        <v>44953</v>
      </c>
      <c r="C707" s="1" t="n">
        <v>45473</v>
      </c>
      <c r="D707" t="inlineStr">
        <is>
          <t>SÖDERMANLANDS LÄN</t>
        </is>
      </c>
      <c r="E707" t="inlineStr">
        <is>
          <t>ESKILSTUNA</t>
        </is>
      </c>
      <c r="F707" t="inlineStr">
        <is>
          <t>Allmännings- och besparingsskogar</t>
        </is>
      </c>
      <c r="G707" t="n">
        <v>9.6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4249-2023</t>
        </is>
      </c>
      <c r="B708" s="1" t="n">
        <v>44953</v>
      </c>
      <c r="C708" s="1" t="n">
        <v>45473</v>
      </c>
      <c r="D708" t="inlineStr">
        <is>
          <t>SÖDERMANLANDS LÄN</t>
        </is>
      </c>
      <c r="E708" t="inlineStr">
        <is>
          <t>ESKILSTUNA</t>
        </is>
      </c>
      <c r="F708" t="inlineStr">
        <is>
          <t>Allmännings- och besparingsskogar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4392-2023</t>
        </is>
      </c>
      <c r="B709" s="1" t="n">
        <v>44955</v>
      </c>
      <c r="C709" s="1" t="n">
        <v>45473</v>
      </c>
      <c r="D709" t="inlineStr">
        <is>
          <t>SÖDERMANLANDS LÄN</t>
        </is>
      </c>
      <c r="E709" t="inlineStr">
        <is>
          <t>ESKILSTUNA</t>
        </is>
      </c>
      <c r="G709" t="n">
        <v>11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4549-2023</t>
        </is>
      </c>
      <c r="B710" s="1" t="n">
        <v>44956</v>
      </c>
      <c r="C710" s="1" t="n">
        <v>45473</v>
      </c>
      <c r="D710" t="inlineStr">
        <is>
          <t>SÖDERMANLANDS LÄN</t>
        </is>
      </c>
      <c r="E710" t="inlineStr">
        <is>
          <t>ESKILSTUNA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4562-2023</t>
        </is>
      </c>
      <c r="B711" s="1" t="n">
        <v>44956</v>
      </c>
      <c r="C711" s="1" t="n">
        <v>45473</v>
      </c>
      <c r="D711" t="inlineStr">
        <is>
          <t>SÖDERMANLANDS LÄN</t>
        </is>
      </c>
      <c r="E711" t="inlineStr">
        <is>
          <t>ESKILSTUNA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4558-2023</t>
        </is>
      </c>
      <c r="B712" s="1" t="n">
        <v>44956</v>
      </c>
      <c r="C712" s="1" t="n">
        <v>45473</v>
      </c>
      <c r="D712" t="inlineStr">
        <is>
          <t>SÖDERMANLANDS LÄN</t>
        </is>
      </c>
      <c r="E712" t="inlineStr">
        <is>
          <t>ESKILSTUNA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4641-2023</t>
        </is>
      </c>
      <c r="B713" s="1" t="n">
        <v>44957</v>
      </c>
      <c r="C713" s="1" t="n">
        <v>45473</v>
      </c>
      <c r="D713" t="inlineStr">
        <is>
          <t>SÖDERMANLANDS LÄN</t>
        </is>
      </c>
      <c r="E713" t="inlineStr">
        <is>
          <t>ESKILSTUNA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6000-2023</t>
        </is>
      </c>
      <c r="B714" s="1" t="n">
        <v>44959</v>
      </c>
      <c r="C714" s="1" t="n">
        <v>45473</v>
      </c>
      <c r="D714" t="inlineStr">
        <is>
          <t>SÖDERMANLANDS LÄN</t>
        </is>
      </c>
      <c r="E714" t="inlineStr">
        <is>
          <t>ESKILSTUNA</t>
        </is>
      </c>
      <c r="G714" t="n">
        <v>11.7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6026-2023</t>
        </is>
      </c>
      <c r="B715" s="1" t="n">
        <v>44959</v>
      </c>
      <c r="C715" s="1" t="n">
        <v>45473</v>
      </c>
      <c r="D715" t="inlineStr">
        <is>
          <t>SÖDERMANLANDS LÄN</t>
        </is>
      </c>
      <c r="E715" t="inlineStr">
        <is>
          <t>ESKILSTUNA</t>
        </is>
      </c>
      <c r="G715" t="n">
        <v>7.9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6177-2023</t>
        </is>
      </c>
      <c r="B716" s="1" t="n">
        <v>44964</v>
      </c>
      <c r="C716" s="1" t="n">
        <v>45473</v>
      </c>
      <c r="D716" t="inlineStr">
        <is>
          <t>SÖDERMANLANDS LÄN</t>
        </is>
      </c>
      <c r="E716" t="inlineStr">
        <is>
          <t>ESKILSTUNA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6956-2023</t>
        </is>
      </c>
      <c r="B717" s="1" t="n">
        <v>44964</v>
      </c>
      <c r="C717" s="1" t="n">
        <v>45473</v>
      </c>
      <c r="D717" t="inlineStr">
        <is>
          <t>SÖDERMANLANDS LÄN</t>
        </is>
      </c>
      <c r="E717" t="inlineStr">
        <is>
          <t>ESKILSTUNA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6325-2023</t>
        </is>
      </c>
      <c r="B718" s="1" t="n">
        <v>44965</v>
      </c>
      <c r="C718" s="1" t="n">
        <v>45473</v>
      </c>
      <c r="D718" t="inlineStr">
        <is>
          <t>SÖDERMANLANDS LÄN</t>
        </is>
      </c>
      <c r="E718" t="inlineStr">
        <is>
          <t>ESKILSTUNA</t>
        </is>
      </c>
      <c r="F718" t="inlineStr">
        <is>
          <t>Allmännings- och besparingsskogar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6413-2023</t>
        </is>
      </c>
      <c r="B719" s="1" t="n">
        <v>44965</v>
      </c>
      <c r="C719" s="1" t="n">
        <v>45473</v>
      </c>
      <c r="D719" t="inlineStr">
        <is>
          <t>SÖDERMANLANDS LÄN</t>
        </is>
      </c>
      <c r="E719" t="inlineStr">
        <is>
          <t>ESKILSTUNA</t>
        </is>
      </c>
      <c r="G719" t="n">
        <v>3.4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6405-2023</t>
        </is>
      </c>
      <c r="B720" s="1" t="n">
        <v>44965</v>
      </c>
      <c r="C720" s="1" t="n">
        <v>45473</v>
      </c>
      <c r="D720" t="inlineStr">
        <is>
          <t>SÖDERMANLANDS LÄN</t>
        </is>
      </c>
      <c r="E720" t="inlineStr">
        <is>
          <t>ESKILSTUNA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6730-2023</t>
        </is>
      </c>
      <c r="B721" s="1" t="n">
        <v>44966</v>
      </c>
      <c r="C721" s="1" t="n">
        <v>45473</v>
      </c>
      <c r="D721" t="inlineStr">
        <is>
          <t>SÖDERMANLANDS LÄN</t>
        </is>
      </c>
      <c r="E721" t="inlineStr">
        <is>
          <t>ESKILSTUNA</t>
        </is>
      </c>
      <c r="G721" t="n">
        <v>4.6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6734-2023</t>
        </is>
      </c>
      <c r="B722" s="1" t="n">
        <v>44966</v>
      </c>
      <c r="C722" s="1" t="n">
        <v>45473</v>
      </c>
      <c r="D722" t="inlineStr">
        <is>
          <t>SÖDERMANLANDS LÄN</t>
        </is>
      </c>
      <c r="E722" t="inlineStr">
        <is>
          <t>ESKILSTUNA</t>
        </is>
      </c>
      <c r="G722" t="n">
        <v>3.7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6725-2023</t>
        </is>
      </c>
      <c r="B723" s="1" t="n">
        <v>44966</v>
      </c>
      <c r="C723" s="1" t="n">
        <v>45473</v>
      </c>
      <c r="D723" t="inlineStr">
        <is>
          <t>SÖDERMANLANDS LÄN</t>
        </is>
      </c>
      <c r="E723" t="inlineStr">
        <is>
          <t>ESKILSTUNA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6739-2023</t>
        </is>
      </c>
      <c r="B724" s="1" t="n">
        <v>44966</v>
      </c>
      <c r="C724" s="1" t="n">
        <v>45473</v>
      </c>
      <c r="D724" t="inlineStr">
        <is>
          <t>SÖDERMANLANDS LÄN</t>
        </is>
      </c>
      <c r="E724" t="inlineStr">
        <is>
          <t>ESKILSTUNA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6732-2023</t>
        </is>
      </c>
      <c r="B725" s="1" t="n">
        <v>44966</v>
      </c>
      <c r="C725" s="1" t="n">
        <v>45473</v>
      </c>
      <c r="D725" t="inlineStr">
        <is>
          <t>SÖDERMANLANDS LÄN</t>
        </is>
      </c>
      <c r="E725" t="inlineStr">
        <is>
          <t>ESKILSTUNA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7660-2023</t>
        </is>
      </c>
      <c r="B726" s="1" t="n">
        <v>44972</v>
      </c>
      <c r="C726" s="1" t="n">
        <v>45473</v>
      </c>
      <c r="D726" t="inlineStr">
        <is>
          <t>SÖDERMANLANDS LÄN</t>
        </is>
      </c>
      <c r="E726" t="inlineStr">
        <is>
          <t>ESKILSTUNA</t>
        </is>
      </c>
      <c r="F726" t="inlineStr">
        <is>
          <t>Allmännings- och besparingsskogar</t>
        </is>
      </c>
      <c r="G726" t="n">
        <v>3.3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8740-2023</t>
        </is>
      </c>
      <c r="B727" s="1" t="n">
        <v>44978</v>
      </c>
      <c r="C727" s="1" t="n">
        <v>45473</v>
      </c>
      <c r="D727" t="inlineStr">
        <is>
          <t>SÖDERMANLANDS LÄN</t>
        </is>
      </c>
      <c r="E727" t="inlineStr">
        <is>
          <t>ESKILSTUNA</t>
        </is>
      </c>
      <c r="F727" t="inlineStr">
        <is>
          <t>Övriga Aktiebolag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8996-2023</t>
        </is>
      </c>
      <c r="B728" s="1" t="n">
        <v>44979</v>
      </c>
      <c r="C728" s="1" t="n">
        <v>45473</v>
      </c>
      <c r="D728" t="inlineStr">
        <is>
          <t>SÖDERMANLANDS LÄN</t>
        </is>
      </c>
      <c r="E728" t="inlineStr">
        <is>
          <t>ESKILSTUNA</t>
        </is>
      </c>
      <c r="G728" t="n">
        <v>4.1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9598-2023</t>
        </is>
      </c>
      <c r="B729" s="1" t="n">
        <v>44983</v>
      </c>
      <c r="C729" s="1" t="n">
        <v>45473</v>
      </c>
      <c r="D729" t="inlineStr">
        <is>
          <t>SÖDERMANLANDS LÄN</t>
        </is>
      </c>
      <c r="E729" t="inlineStr">
        <is>
          <t>ESKILSTUNA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10754-2023</t>
        </is>
      </c>
      <c r="B730" s="1" t="n">
        <v>44985</v>
      </c>
      <c r="C730" s="1" t="n">
        <v>45473</v>
      </c>
      <c r="D730" t="inlineStr">
        <is>
          <t>SÖDERMANLANDS LÄN</t>
        </is>
      </c>
      <c r="E730" t="inlineStr">
        <is>
          <t>ESKILSTUNA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10908-2023</t>
        </is>
      </c>
      <c r="B731" s="1" t="n">
        <v>44985</v>
      </c>
      <c r="C731" s="1" t="n">
        <v>45473</v>
      </c>
      <c r="D731" t="inlineStr">
        <is>
          <t>SÖDERMANLANDS LÄN</t>
        </is>
      </c>
      <c r="E731" t="inlineStr">
        <is>
          <t>ESKILSTUNA</t>
        </is>
      </c>
      <c r="G731" t="n">
        <v>5.3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11483-2023</t>
        </is>
      </c>
      <c r="B732" s="1" t="n">
        <v>44993</v>
      </c>
      <c r="C732" s="1" t="n">
        <v>45473</v>
      </c>
      <c r="D732" t="inlineStr">
        <is>
          <t>SÖDERMANLANDS LÄN</t>
        </is>
      </c>
      <c r="E732" t="inlineStr">
        <is>
          <t>ESKILSTUNA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12296-2023</t>
        </is>
      </c>
      <c r="B733" s="1" t="n">
        <v>44998</v>
      </c>
      <c r="C733" s="1" t="n">
        <v>45473</v>
      </c>
      <c r="D733" t="inlineStr">
        <is>
          <t>SÖDERMANLANDS LÄN</t>
        </is>
      </c>
      <c r="E733" t="inlineStr">
        <is>
          <t>ESKILSTUNA</t>
        </is>
      </c>
      <c r="F733" t="inlineStr">
        <is>
          <t>Kommuner</t>
        </is>
      </c>
      <c r="G733" t="n">
        <v>16.7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12300-2023</t>
        </is>
      </c>
      <c r="B734" s="1" t="n">
        <v>44998</v>
      </c>
      <c r="C734" s="1" t="n">
        <v>45473</v>
      </c>
      <c r="D734" t="inlineStr">
        <is>
          <t>SÖDERMANLANDS LÄN</t>
        </is>
      </c>
      <c r="E734" t="inlineStr">
        <is>
          <t>ESKILSTUNA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12297-2023</t>
        </is>
      </c>
      <c r="B735" s="1" t="n">
        <v>44998</v>
      </c>
      <c r="C735" s="1" t="n">
        <v>45473</v>
      </c>
      <c r="D735" t="inlineStr">
        <is>
          <t>SÖDERMANLANDS LÄN</t>
        </is>
      </c>
      <c r="E735" t="inlineStr">
        <is>
          <t>ESKILSTUNA</t>
        </is>
      </c>
      <c r="F735" t="inlineStr">
        <is>
          <t>Kommuner</t>
        </is>
      </c>
      <c r="G735" t="n">
        <v>4.1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12438-2023</t>
        </is>
      </c>
      <c r="B736" s="1" t="n">
        <v>44998</v>
      </c>
      <c r="C736" s="1" t="n">
        <v>45473</v>
      </c>
      <c r="D736" t="inlineStr">
        <is>
          <t>SÖDERMANLANDS LÄN</t>
        </is>
      </c>
      <c r="E736" t="inlineStr">
        <is>
          <t>ESKILSTUNA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13089-2023</t>
        </is>
      </c>
      <c r="B737" s="1" t="n">
        <v>45002</v>
      </c>
      <c r="C737" s="1" t="n">
        <v>45473</v>
      </c>
      <c r="D737" t="inlineStr">
        <is>
          <t>SÖDERMANLANDS LÄN</t>
        </is>
      </c>
      <c r="E737" t="inlineStr">
        <is>
          <t>ESKILSTUNA</t>
        </is>
      </c>
      <c r="F737" t="inlineStr">
        <is>
          <t>Kyrkan</t>
        </is>
      </c>
      <c r="G737" t="n">
        <v>10.2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13280-2023</t>
        </is>
      </c>
      <c r="B738" s="1" t="n">
        <v>45004</v>
      </c>
      <c r="C738" s="1" t="n">
        <v>45473</v>
      </c>
      <c r="D738" t="inlineStr">
        <is>
          <t>SÖDERMANLANDS LÄN</t>
        </is>
      </c>
      <c r="E738" t="inlineStr">
        <is>
          <t>ESKILSTUNA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13295-2023</t>
        </is>
      </c>
      <c r="B739" s="1" t="n">
        <v>45005</v>
      </c>
      <c r="C739" s="1" t="n">
        <v>45473</v>
      </c>
      <c r="D739" t="inlineStr">
        <is>
          <t>SÖDERMANLANDS LÄN</t>
        </is>
      </c>
      <c r="E739" t="inlineStr">
        <is>
          <t>ESKILSTUNA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13385-2023</t>
        </is>
      </c>
      <c r="B740" s="1" t="n">
        <v>45005</v>
      </c>
      <c r="C740" s="1" t="n">
        <v>45473</v>
      </c>
      <c r="D740" t="inlineStr">
        <is>
          <t>SÖDERMANLANDS LÄN</t>
        </is>
      </c>
      <c r="E740" t="inlineStr">
        <is>
          <t>ESKILSTUNA</t>
        </is>
      </c>
      <c r="G740" t="n">
        <v>7.1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13626-2023</t>
        </is>
      </c>
      <c r="B741" s="1" t="n">
        <v>45006</v>
      </c>
      <c r="C741" s="1" t="n">
        <v>45473</v>
      </c>
      <c r="D741" t="inlineStr">
        <is>
          <t>SÖDERMANLANDS LÄN</t>
        </is>
      </c>
      <c r="E741" t="inlineStr">
        <is>
          <t>ESKILSTUNA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13632-2023</t>
        </is>
      </c>
      <c r="B742" s="1" t="n">
        <v>45006</v>
      </c>
      <c r="C742" s="1" t="n">
        <v>45473</v>
      </c>
      <c r="D742" t="inlineStr">
        <is>
          <t>SÖDERMANLANDS LÄN</t>
        </is>
      </c>
      <c r="E742" t="inlineStr">
        <is>
          <t>ESKILSTUNA</t>
        </is>
      </c>
      <c r="G742" t="n">
        <v>16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13849-2023</t>
        </is>
      </c>
      <c r="B743" s="1" t="n">
        <v>45007</v>
      </c>
      <c r="C743" s="1" t="n">
        <v>45473</v>
      </c>
      <c r="D743" t="inlineStr">
        <is>
          <t>SÖDERMANLANDS LÄN</t>
        </is>
      </c>
      <c r="E743" t="inlineStr">
        <is>
          <t>ESKILSTUNA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14053-2023</t>
        </is>
      </c>
      <c r="B744" s="1" t="n">
        <v>45008</v>
      </c>
      <c r="C744" s="1" t="n">
        <v>45473</v>
      </c>
      <c r="D744" t="inlineStr">
        <is>
          <t>SÖDERMANLANDS LÄN</t>
        </is>
      </c>
      <c r="E744" t="inlineStr">
        <is>
          <t>ESKILSTUNA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14325-2023</t>
        </is>
      </c>
      <c r="B745" s="1" t="n">
        <v>45012</v>
      </c>
      <c r="C745" s="1" t="n">
        <v>45473</v>
      </c>
      <c r="D745" t="inlineStr">
        <is>
          <t>SÖDERMANLANDS LÄN</t>
        </is>
      </c>
      <c r="E745" t="inlineStr">
        <is>
          <t>ESKILSTUNA</t>
        </is>
      </c>
      <c r="F745" t="inlineStr">
        <is>
          <t>Kommuner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14326-2023</t>
        </is>
      </c>
      <c r="B746" s="1" t="n">
        <v>45012</v>
      </c>
      <c r="C746" s="1" t="n">
        <v>45473</v>
      </c>
      <c r="D746" t="inlineStr">
        <is>
          <t>SÖDERMANLANDS LÄN</t>
        </is>
      </c>
      <c r="E746" t="inlineStr">
        <is>
          <t>ESKILSTUNA</t>
        </is>
      </c>
      <c r="F746" t="inlineStr">
        <is>
          <t>Kommuner</t>
        </is>
      </c>
      <c r="G746" t="n">
        <v>3.7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14846-2023</t>
        </is>
      </c>
      <c r="B747" s="1" t="n">
        <v>45014</v>
      </c>
      <c r="C747" s="1" t="n">
        <v>45473</v>
      </c>
      <c r="D747" t="inlineStr">
        <is>
          <t>SÖDERMANLANDS LÄN</t>
        </is>
      </c>
      <c r="E747" t="inlineStr">
        <is>
          <t>ESKILSTUNA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15592-2023</t>
        </is>
      </c>
      <c r="B748" s="1" t="n">
        <v>45020</v>
      </c>
      <c r="C748" s="1" t="n">
        <v>45473</v>
      </c>
      <c r="D748" t="inlineStr">
        <is>
          <t>SÖDERMANLANDS LÄN</t>
        </is>
      </c>
      <c r="E748" t="inlineStr">
        <is>
          <t>ESKILSTUNA</t>
        </is>
      </c>
      <c r="G748" t="n">
        <v>7.9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15779-2023</t>
        </is>
      </c>
      <c r="B749" s="1" t="n">
        <v>45021</v>
      </c>
      <c r="C749" s="1" t="n">
        <v>45473</v>
      </c>
      <c r="D749" t="inlineStr">
        <is>
          <t>SÖDERMANLANDS LÄN</t>
        </is>
      </c>
      <c r="E749" t="inlineStr">
        <is>
          <t>ESKILSTUNA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16718-2023</t>
        </is>
      </c>
      <c r="B750" s="1" t="n">
        <v>45028</v>
      </c>
      <c r="C750" s="1" t="n">
        <v>45473</v>
      </c>
      <c r="D750" t="inlineStr">
        <is>
          <t>SÖDERMANLANDS LÄN</t>
        </is>
      </c>
      <c r="E750" t="inlineStr">
        <is>
          <t>ESKILSTUNA</t>
        </is>
      </c>
      <c r="G750" t="n">
        <v>14.9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16408-2023</t>
        </is>
      </c>
      <c r="B751" s="1" t="n">
        <v>45029</v>
      </c>
      <c r="C751" s="1" t="n">
        <v>45473</v>
      </c>
      <c r="D751" t="inlineStr">
        <is>
          <t>SÖDERMANLANDS LÄN</t>
        </is>
      </c>
      <c r="E751" t="inlineStr">
        <is>
          <t>ESKILSTUNA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17457-2023</t>
        </is>
      </c>
      <c r="B752" s="1" t="n">
        <v>45036</v>
      </c>
      <c r="C752" s="1" t="n">
        <v>45473</v>
      </c>
      <c r="D752" t="inlineStr">
        <is>
          <t>SÖDERMANLANDS LÄN</t>
        </is>
      </c>
      <c r="E752" t="inlineStr">
        <is>
          <t>ESKILSTUNA</t>
        </is>
      </c>
      <c r="G752" t="n">
        <v>4.1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17459-2023</t>
        </is>
      </c>
      <c r="B753" s="1" t="n">
        <v>45036</v>
      </c>
      <c r="C753" s="1" t="n">
        <v>45473</v>
      </c>
      <c r="D753" t="inlineStr">
        <is>
          <t>SÖDERMANLANDS LÄN</t>
        </is>
      </c>
      <c r="E753" t="inlineStr">
        <is>
          <t>ESKILSTUNA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17727-2023</t>
        </is>
      </c>
      <c r="B754" s="1" t="n">
        <v>45036</v>
      </c>
      <c r="C754" s="1" t="n">
        <v>45473</v>
      </c>
      <c r="D754" t="inlineStr">
        <is>
          <t>SÖDERMANLANDS LÄN</t>
        </is>
      </c>
      <c r="E754" t="inlineStr">
        <is>
          <t>ESKILSTUNA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18185-2023</t>
        </is>
      </c>
      <c r="B755" s="1" t="n">
        <v>45041</v>
      </c>
      <c r="C755" s="1" t="n">
        <v>45473</v>
      </c>
      <c r="D755" t="inlineStr">
        <is>
          <t>SÖDERMANLANDS LÄN</t>
        </is>
      </c>
      <c r="E755" t="inlineStr">
        <is>
          <t>ESKILSTUNA</t>
        </is>
      </c>
      <c r="G755" t="n">
        <v>12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18192-2023</t>
        </is>
      </c>
      <c r="B756" s="1" t="n">
        <v>45041</v>
      </c>
      <c r="C756" s="1" t="n">
        <v>45473</v>
      </c>
      <c r="D756" t="inlineStr">
        <is>
          <t>SÖDERMANLANDS LÄN</t>
        </is>
      </c>
      <c r="E756" t="inlineStr">
        <is>
          <t>ESKILSTUNA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18673-2023</t>
        </is>
      </c>
      <c r="B757" s="1" t="n">
        <v>45043</v>
      </c>
      <c r="C757" s="1" t="n">
        <v>45473</v>
      </c>
      <c r="D757" t="inlineStr">
        <is>
          <t>SÖDERMANLANDS LÄN</t>
        </is>
      </c>
      <c r="E757" t="inlineStr">
        <is>
          <t>ESKILSTUNA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18670-2023</t>
        </is>
      </c>
      <c r="B758" s="1" t="n">
        <v>45043</v>
      </c>
      <c r="C758" s="1" t="n">
        <v>45473</v>
      </c>
      <c r="D758" t="inlineStr">
        <is>
          <t>SÖDERMANLANDS LÄN</t>
        </is>
      </c>
      <c r="E758" t="inlineStr">
        <is>
          <t>ESKILSTUNA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18728-2023</t>
        </is>
      </c>
      <c r="B759" s="1" t="n">
        <v>45043</v>
      </c>
      <c r="C759" s="1" t="n">
        <v>45473</v>
      </c>
      <c r="D759" t="inlineStr">
        <is>
          <t>SÖDERMANLANDS LÄN</t>
        </is>
      </c>
      <c r="E759" t="inlineStr">
        <is>
          <t>ESKILSTUNA</t>
        </is>
      </c>
      <c r="G759" t="n">
        <v>8.199999999999999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18897-2023</t>
        </is>
      </c>
      <c r="B760" s="1" t="n">
        <v>45044</v>
      </c>
      <c r="C760" s="1" t="n">
        <v>45473</v>
      </c>
      <c r="D760" t="inlineStr">
        <is>
          <t>SÖDERMANLANDS LÄN</t>
        </is>
      </c>
      <c r="E760" t="inlineStr">
        <is>
          <t>ESKILSTUNA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18965-2023</t>
        </is>
      </c>
      <c r="B761" s="1" t="n">
        <v>45044</v>
      </c>
      <c r="C761" s="1" t="n">
        <v>45473</v>
      </c>
      <c r="D761" t="inlineStr">
        <is>
          <t>SÖDERMANLANDS LÄN</t>
        </is>
      </c>
      <c r="E761" t="inlineStr">
        <is>
          <t>ESKILSTUNA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19136-2023</t>
        </is>
      </c>
      <c r="B762" s="1" t="n">
        <v>45048</v>
      </c>
      <c r="C762" s="1" t="n">
        <v>45473</v>
      </c>
      <c r="D762" t="inlineStr">
        <is>
          <t>SÖDERMANLANDS LÄN</t>
        </is>
      </c>
      <c r="E762" t="inlineStr">
        <is>
          <t>ESKILSTUNA</t>
        </is>
      </c>
      <c r="G762" t="n">
        <v>11.6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19271-2023</t>
        </is>
      </c>
      <c r="B763" s="1" t="n">
        <v>45049</v>
      </c>
      <c r="C763" s="1" t="n">
        <v>45473</v>
      </c>
      <c r="D763" t="inlineStr">
        <is>
          <t>SÖDERMANLANDS LÄN</t>
        </is>
      </c>
      <c r="E763" t="inlineStr">
        <is>
          <t>ESKILSTUNA</t>
        </is>
      </c>
      <c r="G763" t="n">
        <v>4.8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19285-2023</t>
        </is>
      </c>
      <c r="B764" s="1" t="n">
        <v>45049</v>
      </c>
      <c r="C764" s="1" t="n">
        <v>45473</v>
      </c>
      <c r="D764" t="inlineStr">
        <is>
          <t>SÖDERMANLANDS LÄN</t>
        </is>
      </c>
      <c r="E764" t="inlineStr">
        <is>
          <t>ESKILSTUNA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19626-2023</t>
        </is>
      </c>
      <c r="B765" s="1" t="n">
        <v>45050</v>
      </c>
      <c r="C765" s="1" t="n">
        <v>45473</v>
      </c>
      <c r="D765" t="inlineStr">
        <is>
          <t>SÖDERMANLANDS LÄN</t>
        </is>
      </c>
      <c r="E765" t="inlineStr">
        <is>
          <t>ESKILSTUNA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19734-2023</t>
        </is>
      </c>
      <c r="B766" s="1" t="n">
        <v>45050</v>
      </c>
      <c r="C766" s="1" t="n">
        <v>45473</v>
      </c>
      <c r="D766" t="inlineStr">
        <is>
          <t>SÖDERMANLANDS LÄN</t>
        </is>
      </c>
      <c r="E766" t="inlineStr">
        <is>
          <t>ESKILSTUNA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19879-2023</t>
        </is>
      </c>
      <c r="B767" s="1" t="n">
        <v>45054</v>
      </c>
      <c r="C767" s="1" t="n">
        <v>45473</v>
      </c>
      <c r="D767" t="inlineStr">
        <is>
          <t>SÖDERMANLANDS LÄN</t>
        </is>
      </c>
      <c r="E767" t="inlineStr">
        <is>
          <t>ESKILSTUNA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20348-2023</t>
        </is>
      </c>
      <c r="B768" s="1" t="n">
        <v>45056</v>
      </c>
      <c r="C768" s="1" t="n">
        <v>45473</v>
      </c>
      <c r="D768" t="inlineStr">
        <is>
          <t>SÖDERMANLANDS LÄN</t>
        </is>
      </c>
      <c r="E768" t="inlineStr">
        <is>
          <t>ESKILSTUNA</t>
        </is>
      </c>
      <c r="F768" t="inlineStr">
        <is>
          <t>Allmännings- och besparingsskogar</t>
        </is>
      </c>
      <c r="G768" t="n">
        <v>5.6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20295-2023</t>
        </is>
      </c>
      <c r="B769" s="1" t="n">
        <v>45056</v>
      </c>
      <c r="C769" s="1" t="n">
        <v>45473</v>
      </c>
      <c r="D769" t="inlineStr">
        <is>
          <t>SÖDERMANLANDS LÄN</t>
        </is>
      </c>
      <c r="E769" t="inlineStr">
        <is>
          <t>ESKILSTUNA</t>
        </is>
      </c>
      <c r="F769" t="inlineStr">
        <is>
          <t>Allmännings- och besparingsskogar</t>
        </is>
      </c>
      <c r="G769" t="n">
        <v>8.199999999999999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20525-2023</t>
        </is>
      </c>
      <c r="B770" s="1" t="n">
        <v>45057</v>
      </c>
      <c r="C770" s="1" t="n">
        <v>45473</v>
      </c>
      <c r="D770" t="inlineStr">
        <is>
          <t>SÖDERMANLANDS LÄN</t>
        </is>
      </c>
      <c r="E770" t="inlineStr">
        <is>
          <t>ESKILSTUNA</t>
        </is>
      </c>
      <c r="F770" t="inlineStr">
        <is>
          <t>Allmännings- och besparingsskogar</t>
        </is>
      </c>
      <c r="G770" t="n">
        <v>4.3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20838-2023</t>
        </is>
      </c>
      <c r="B771" s="1" t="n">
        <v>45058</v>
      </c>
      <c r="C771" s="1" t="n">
        <v>45473</v>
      </c>
      <c r="D771" t="inlineStr">
        <is>
          <t>SÖDERMANLANDS LÄN</t>
        </is>
      </c>
      <c r="E771" t="inlineStr">
        <is>
          <t>ESKILSTUNA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  <c r="U771">
        <f>HYPERLINK("https://klasma.github.io/Logging_0484/knärot/A 20838-2023 karta knärot.png", "A 20838-2023")</f>
        <v/>
      </c>
      <c r="V771">
        <f>HYPERLINK("https://klasma.github.io/Logging_0484/klagomål/A 20838-2023 FSC-klagomål.docx", "A 20838-2023")</f>
        <v/>
      </c>
      <c r="W771">
        <f>HYPERLINK("https://klasma.github.io/Logging_0484/klagomålsmail/A 20838-2023 FSC-klagomål mail.docx", "A 20838-2023")</f>
        <v/>
      </c>
      <c r="X771">
        <f>HYPERLINK("https://klasma.github.io/Logging_0484/tillsyn/A 20838-2023 tillsynsbegäran.docx", "A 20838-2023")</f>
        <v/>
      </c>
      <c r="Y771">
        <f>HYPERLINK("https://klasma.github.io/Logging_0484/tillsynsmail/A 20838-2023 tillsynsbegäran mail.docx", "A 20838-2023")</f>
        <v/>
      </c>
    </row>
    <row r="772" ht="15" customHeight="1">
      <c r="A772" t="inlineStr">
        <is>
          <t>A 20842-2023</t>
        </is>
      </c>
      <c r="B772" s="1" t="n">
        <v>45058</v>
      </c>
      <c r="C772" s="1" t="n">
        <v>45473</v>
      </c>
      <c r="D772" t="inlineStr">
        <is>
          <t>SÖDERMANLANDS LÄN</t>
        </is>
      </c>
      <c r="E772" t="inlineStr">
        <is>
          <t>ESKILSTUNA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20984-2023</t>
        </is>
      </c>
      <c r="B773" s="1" t="n">
        <v>45061</v>
      </c>
      <c r="C773" s="1" t="n">
        <v>45473</v>
      </c>
      <c r="D773" t="inlineStr">
        <is>
          <t>SÖDERMANLANDS LÄN</t>
        </is>
      </c>
      <c r="E773" t="inlineStr">
        <is>
          <t>ESKILSTUNA</t>
        </is>
      </c>
      <c r="F773" t="inlineStr">
        <is>
          <t>Allmännings- och besparingsskogar</t>
        </is>
      </c>
      <c r="G773" t="n">
        <v>6.9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21133-2023</t>
        </is>
      </c>
      <c r="B774" s="1" t="n">
        <v>45062</v>
      </c>
      <c r="C774" s="1" t="n">
        <v>45473</v>
      </c>
      <c r="D774" t="inlineStr">
        <is>
          <t>SÖDERMANLANDS LÄN</t>
        </is>
      </c>
      <c r="E774" t="inlineStr">
        <is>
          <t>ESKILSTUNA</t>
        </is>
      </c>
      <c r="G774" t="n">
        <v>5.3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21200-2023</t>
        </is>
      </c>
      <c r="B775" s="1" t="n">
        <v>45062</v>
      </c>
      <c r="C775" s="1" t="n">
        <v>45473</v>
      </c>
      <c r="D775" t="inlineStr">
        <is>
          <t>SÖDERMANLANDS LÄN</t>
        </is>
      </c>
      <c r="E775" t="inlineStr">
        <is>
          <t>ESKILSTUNA</t>
        </is>
      </c>
      <c r="F775" t="inlineStr">
        <is>
          <t>Allmännings- och besparingsskogar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21735-2023</t>
        </is>
      </c>
      <c r="B776" s="1" t="n">
        <v>45063</v>
      </c>
      <c r="C776" s="1" t="n">
        <v>45473</v>
      </c>
      <c r="D776" t="inlineStr">
        <is>
          <t>SÖDERMANLANDS LÄN</t>
        </is>
      </c>
      <c r="E776" t="inlineStr">
        <is>
          <t>ESKILSTUNA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21820-2023</t>
        </is>
      </c>
      <c r="B777" s="1" t="n">
        <v>45068</v>
      </c>
      <c r="C777" s="1" t="n">
        <v>45473</v>
      </c>
      <c r="D777" t="inlineStr">
        <is>
          <t>SÖDERMANLANDS LÄN</t>
        </is>
      </c>
      <c r="E777" t="inlineStr">
        <is>
          <t>ESKILSTUNA</t>
        </is>
      </c>
      <c r="G777" t="n">
        <v>3.1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22058-2023</t>
        </is>
      </c>
      <c r="B778" s="1" t="n">
        <v>45069</v>
      </c>
      <c r="C778" s="1" t="n">
        <v>45473</v>
      </c>
      <c r="D778" t="inlineStr">
        <is>
          <t>SÖDERMANLANDS LÄN</t>
        </is>
      </c>
      <c r="E778" t="inlineStr">
        <is>
          <t>ESKILSTUNA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22061-2023</t>
        </is>
      </c>
      <c r="B779" s="1" t="n">
        <v>45069</v>
      </c>
      <c r="C779" s="1" t="n">
        <v>45473</v>
      </c>
      <c r="D779" t="inlineStr">
        <is>
          <t>SÖDERMANLANDS LÄN</t>
        </is>
      </c>
      <c r="E779" t="inlineStr">
        <is>
          <t>ESKILSTUNA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22056-2023</t>
        </is>
      </c>
      <c r="B780" s="1" t="n">
        <v>45069</v>
      </c>
      <c r="C780" s="1" t="n">
        <v>45473</v>
      </c>
      <c r="D780" t="inlineStr">
        <is>
          <t>SÖDERMANLANDS LÄN</t>
        </is>
      </c>
      <c r="E780" t="inlineStr">
        <is>
          <t>ESKILSTUNA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22318-2023</t>
        </is>
      </c>
      <c r="B781" s="1" t="n">
        <v>45070</v>
      </c>
      <c r="C781" s="1" t="n">
        <v>45473</v>
      </c>
      <c r="D781" t="inlineStr">
        <is>
          <t>SÖDERMANLANDS LÄN</t>
        </is>
      </c>
      <c r="E781" t="inlineStr">
        <is>
          <t>ESKILSTUNA</t>
        </is>
      </c>
      <c r="F781" t="inlineStr">
        <is>
          <t>Allmännings- och besparingsskogar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22605-2023</t>
        </is>
      </c>
      <c r="B782" s="1" t="n">
        <v>45071</v>
      </c>
      <c r="C782" s="1" t="n">
        <v>45473</v>
      </c>
      <c r="D782" t="inlineStr">
        <is>
          <t>SÖDERMANLANDS LÄN</t>
        </is>
      </c>
      <c r="E782" t="inlineStr">
        <is>
          <t>ESKILSTUNA</t>
        </is>
      </c>
      <c r="F782" t="inlineStr">
        <is>
          <t>Kyrkan</t>
        </is>
      </c>
      <c r="G782" t="n">
        <v>0.1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23689-2023</t>
        </is>
      </c>
      <c r="B783" s="1" t="n">
        <v>45077</v>
      </c>
      <c r="C783" s="1" t="n">
        <v>45473</v>
      </c>
      <c r="D783" t="inlineStr">
        <is>
          <t>SÖDERMANLANDS LÄN</t>
        </is>
      </c>
      <c r="E783" t="inlineStr">
        <is>
          <t>ESKILSTUNA</t>
        </is>
      </c>
      <c r="F783" t="inlineStr">
        <is>
          <t>Sveaskog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23639-2023</t>
        </is>
      </c>
      <c r="B784" s="1" t="n">
        <v>45077</v>
      </c>
      <c r="C784" s="1" t="n">
        <v>45473</v>
      </c>
      <c r="D784" t="inlineStr">
        <is>
          <t>SÖDERMANLANDS LÄN</t>
        </is>
      </c>
      <c r="E784" t="inlineStr">
        <is>
          <t>ESKILSTUNA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23686-2023</t>
        </is>
      </c>
      <c r="B785" s="1" t="n">
        <v>45077</v>
      </c>
      <c r="C785" s="1" t="n">
        <v>45473</v>
      </c>
      <c r="D785" t="inlineStr">
        <is>
          <t>SÖDERMANLANDS LÄN</t>
        </is>
      </c>
      <c r="E785" t="inlineStr">
        <is>
          <t>ESKILSTUNA</t>
        </is>
      </c>
      <c r="F785" t="inlineStr">
        <is>
          <t>Sveaskog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24141-2023</t>
        </is>
      </c>
      <c r="B786" s="1" t="n">
        <v>45079</v>
      </c>
      <c r="C786" s="1" t="n">
        <v>45473</v>
      </c>
      <c r="D786" t="inlineStr">
        <is>
          <t>SÖDERMANLANDS LÄN</t>
        </is>
      </c>
      <c r="E786" t="inlineStr">
        <is>
          <t>ESKILSTUNA</t>
        </is>
      </c>
      <c r="F786" t="inlineStr">
        <is>
          <t>Sveaskog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25283-2023</t>
        </is>
      </c>
      <c r="B787" s="1" t="n">
        <v>45079</v>
      </c>
      <c r="C787" s="1" t="n">
        <v>45473</v>
      </c>
      <c r="D787" t="inlineStr">
        <is>
          <t>SÖDERMANLANDS LÄN</t>
        </is>
      </c>
      <c r="E787" t="inlineStr">
        <is>
          <t>ESKILSTUNA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25124-2023</t>
        </is>
      </c>
      <c r="B788" s="1" t="n">
        <v>45086</v>
      </c>
      <c r="C788" s="1" t="n">
        <v>45473</v>
      </c>
      <c r="D788" t="inlineStr">
        <is>
          <t>SÖDERMANLANDS LÄN</t>
        </is>
      </c>
      <c r="E788" t="inlineStr">
        <is>
          <t>ESKILSTUNA</t>
        </is>
      </c>
      <c r="F788" t="inlineStr">
        <is>
          <t>Sveaskog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25125-2023</t>
        </is>
      </c>
      <c r="B789" s="1" t="n">
        <v>45086</v>
      </c>
      <c r="C789" s="1" t="n">
        <v>45473</v>
      </c>
      <c r="D789" t="inlineStr">
        <is>
          <t>SÖDERMANLANDS LÄN</t>
        </is>
      </c>
      <c r="E789" t="inlineStr">
        <is>
          <t>ESKILSTUNA</t>
        </is>
      </c>
      <c r="F789" t="inlineStr">
        <is>
          <t>Sveaskog</t>
        </is>
      </c>
      <c r="G789" t="n">
        <v>4.3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25123-2023</t>
        </is>
      </c>
      <c r="B790" s="1" t="n">
        <v>45086</v>
      </c>
      <c r="C790" s="1" t="n">
        <v>45473</v>
      </c>
      <c r="D790" t="inlineStr">
        <is>
          <t>SÖDERMANLANDS LÄN</t>
        </is>
      </c>
      <c r="E790" t="inlineStr">
        <is>
          <t>ESKILSTUNA</t>
        </is>
      </c>
      <c r="F790" t="inlineStr">
        <is>
          <t>Sveaskog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26113-2023</t>
        </is>
      </c>
      <c r="B791" s="1" t="n">
        <v>45091</v>
      </c>
      <c r="C791" s="1" t="n">
        <v>45473</v>
      </c>
      <c r="D791" t="inlineStr">
        <is>
          <t>SÖDERMANLANDS LÄN</t>
        </is>
      </c>
      <c r="E791" t="inlineStr">
        <is>
          <t>ESKILSTUNA</t>
        </is>
      </c>
      <c r="F791" t="inlineStr">
        <is>
          <t>Sveaskog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26904-2023</t>
        </is>
      </c>
      <c r="B792" s="1" t="n">
        <v>45093</v>
      </c>
      <c r="C792" s="1" t="n">
        <v>45473</v>
      </c>
      <c r="D792" t="inlineStr">
        <is>
          <t>SÖDERMANLANDS LÄN</t>
        </is>
      </c>
      <c r="E792" t="inlineStr">
        <is>
          <t>ESKILSTUNA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26867-2023</t>
        </is>
      </c>
      <c r="B793" s="1" t="n">
        <v>45093</v>
      </c>
      <c r="C793" s="1" t="n">
        <v>45473</v>
      </c>
      <c r="D793" t="inlineStr">
        <is>
          <t>SÖDERMANLANDS LÄN</t>
        </is>
      </c>
      <c r="E793" t="inlineStr">
        <is>
          <t>ESKILSTUNA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26871-2023</t>
        </is>
      </c>
      <c r="B794" s="1" t="n">
        <v>45093</v>
      </c>
      <c r="C794" s="1" t="n">
        <v>45473</v>
      </c>
      <c r="D794" t="inlineStr">
        <is>
          <t>SÖDERMANLANDS LÄN</t>
        </is>
      </c>
      <c r="E794" t="inlineStr">
        <is>
          <t>ESKILSTUNA</t>
        </is>
      </c>
      <c r="G794" t="n">
        <v>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26910-2023</t>
        </is>
      </c>
      <c r="B795" s="1" t="n">
        <v>45093</v>
      </c>
      <c r="C795" s="1" t="n">
        <v>45473</v>
      </c>
      <c r="D795" t="inlineStr">
        <is>
          <t>SÖDERMANLANDS LÄN</t>
        </is>
      </c>
      <c r="E795" t="inlineStr">
        <is>
          <t>ESKILSTUNA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30373-2023</t>
        </is>
      </c>
      <c r="B796" s="1" t="n">
        <v>45099</v>
      </c>
      <c r="C796" s="1" t="n">
        <v>45473</v>
      </c>
      <c r="D796" t="inlineStr">
        <is>
          <t>SÖDERMANLANDS LÄN</t>
        </is>
      </c>
      <c r="E796" t="inlineStr">
        <is>
          <t>ESKILSTUNA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30365-2023</t>
        </is>
      </c>
      <c r="B797" s="1" t="n">
        <v>45099</v>
      </c>
      <c r="C797" s="1" t="n">
        <v>45473</v>
      </c>
      <c r="D797" t="inlineStr">
        <is>
          <t>SÖDERMANLANDS LÄN</t>
        </is>
      </c>
      <c r="E797" t="inlineStr">
        <is>
          <t>ESKILSTUNA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30345-2023</t>
        </is>
      </c>
      <c r="B798" s="1" t="n">
        <v>45099</v>
      </c>
      <c r="C798" s="1" t="n">
        <v>45473</v>
      </c>
      <c r="D798" t="inlineStr">
        <is>
          <t>SÖDERMANLANDS LÄN</t>
        </is>
      </c>
      <c r="E798" t="inlineStr">
        <is>
          <t>ESKILSTUNA</t>
        </is>
      </c>
      <c r="G798" t="n">
        <v>3.4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28590-2023</t>
        </is>
      </c>
      <c r="B799" s="1" t="n">
        <v>45103</v>
      </c>
      <c r="C799" s="1" t="n">
        <v>45473</v>
      </c>
      <c r="D799" t="inlineStr">
        <is>
          <t>SÖDERMANLANDS LÄN</t>
        </is>
      </c>
      <c r="E799" t="inlineStr">
        <is>
          <t>ESKILSTUNA</t>
        </is>
      </c>
      <c r="F799" t="inlineStr">
        <is>
          <t>Sveaskog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28580-2023</t>
        </is>
      </c>
      <c r="B800" s="1" t="n">
        <v>45103</v>
      </c>
      <c r="C800" s="1" t="n">
        <v>45473</v>
      </c>
      <c r="D800" t="inlineStr">
        <is>
          <t>SÖDERMANLANDS LÄN</t>
        </is>
      </c>
      <c r="E800" t="inlineStr">
        <is>
          <t>ESKILSTUNA</t>
        </is>
      </c>
      <c r="F800" t="inlineStr">
        <is>
          <t>Sveaskog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28582-2023</t>
        </is>
      </c>
      <c r="B801" s="1" t="n">
        <v>45103</v>
      </c>
      <c r="C801" s="1" t="n">
        <v>45473</v>
      </c>
      <c r="D801" t="inlineStr">
        <is>
          <t>SÖDERMANLANDS LÄN</t>
        </is>
      </c>
      <c r="E801" t="inlineStr">
        <is>
          <t>ESKILSTUNA</t>
        </is>
      </c>
      <c r="F801" t="inlineStr">
        <is>
          <t>Sveaskog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30935-2023</t>
        </is>
      </c>
      <c r="B802" s="1" t="n">
        <v>45103</v>
      </c>
      <c r="C802" s="1" t="n">
        <v>45473</v>
      </c>
      <c r="D802" t="inlineStr">
        <is>
          <t>SÖDERMANLANDS LÄN</t>
        </is>
      </c>
      <c r="E802" t="inlineStr">
        <is>
          <t>ESKILSTUNA</t>
        </is>
      </c>
      <c r="G802" t="n">
        <v>3.1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30971-2023</t>
        </is>
      </c>
      <c r="B803" s="1" t="n">
        <v>45103</v>
      </c>
      <c r="C803" s="1" t="n">
        <v>45473</v>
      </c>
      <c r="D803" t="inlineStr">
        <is>
          <t>SÖDERMANLANDS LÄN</t>
        </is>
      </c>
      <c r="E803" t="inlineStr">
        <is>
          <t>ESKILSTUNA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30979-2023</t>
        </is>
      </c>
      <c r="B804" s="1" t="n">
        <v>45103</v>
      </c>
      <c r="C804" s="1" t="n">
        <v>45473</v>
      </c>
      <c r="D804" t="inlineStr">
        <is>
          <t>SÖDERMANLANDS LÄN</t>
        </is>
      </c>
      <c r="E804" t="inlineStr">
        <is>
          <t>ESKILSTUNA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31002-2023</t>
        </is>
      </c>
      <c r="B805" s="1" t="n">
        <v>45103</v>
      </c>
      <c r="C805" s="1" t="n">
        <v>45473</v>
      </c>
      <c r="D805" t="inlineStr">
        <is>
          <t>SÖDERMANLANDS LÄN</t>
        </is>
      </c>
      <c r="E805" t="inlineStr">
        <is>
          <t>ESKILSTUNA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30960-2023</t>
        </is>
      </c>
      <c r="B806" s="1" t="n">
        <v>45103</v>
      </c>
      <c r="C806" s="1" t="n">
        <v>45473</v>
      </c>
      <c r="D806" t="inlineStr">
        <is>
          <t>SÖDERMANLANDS LÄN</t>
        </is>
      </c>
      <c r="E806" t="inlineStr">
        <is>
          <t>ESKILSTUNA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29637-2023</t>
        </is>
      </c>
      <c r="B807" s="1" t="n">
        <v>45106</v>
      </c>
      <c r="C807" s="1" t="n">
        <v>45473</v>
      </c>
      <c r="D807" t="inlineStr">
        <is>
          <t>SÖDERMANLANDS LÄN</t>
        </is>
      </c>
      <c r="E807" t="inlineStr">
        <is>
          <t>ESKILSTUNA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29646-2023</t>
        </is>
      </c>
      <c r="B808" s="1" t="n">
        <v>45107</v>
      </c>
      <c r="C808" s="1" t="n">
        <v>45473</v>
      </c>
      <c r="D808" t="inlineStr">
        <is>
          <t>SÖDERMANLANDS LÄN</t>
        </is>
      </c>
      <c r="E808" t="inlineStr">
        <is>
          <t>ESKILSTUNA</t>
        </is>
      </c>
      <c r="F808" t="inlineStr">
        <is>
          <t>Allmännings- och besparingsskogar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29644-2023</t>
        </is>
      </c>
      <c r="B809" s="1" t="n">
        <v>45107</v>
      </c>
      <c r="C809" s="1" t="n">
        <v>45473</v>
      </c>
      <c r="D809" t="inlineStr">
        <is>
          <t>SÖDERMANLANDS LÄN</t>
        </is>
      </c>
      <c r="E809" t="inlineStr">
        <is>
          <t>ESKILSTUNA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29642-2023</t>
        </is>
      </c>
      <c r="B810" s="1" t="n">
        <v>45107</v>
      </c>
      <c r="C810" s="1" t="n">
        <v>45473</v>
      </c>
      <c r="D810" t="inlineStr">
        <is>
          <t>SÖDERMANLANDS LÄN</t>
        </is>
      </c>
      <c r="E810" t="inlineStr">
        <is>
          <t>ESKILSTUNA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29648-2023</t>
        </is>
      </c>
      <c r="B811" s="1" t="n">
        <v>45107</v>
      </c>
      <c r="C811" s="1" t="n">
        <v>45473</v>
      </c>
      <c r="D811" t="inlineStr">
        <is>
          <t>SÖDERMANLANDS LÄN</t>
        </is>
      </c>
      <c r="E811" t="inlineStr">
        <is>
          <t>ESKILSTUNA</t>
        </is>
      </c>
      <c r="F811" t="inlineStr">
        <is>
          <t>Allmännings- och besparingsskogar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29929-2023</t>
        </is>
      </c>
      <c r="B812" s="1" t="n">
        <v>45107</v>
      </c>
      <c r="C812" s="1" t="n">
        <v>45473</v>
      </c>
      <c r="D812" t="inlineStr">
        <is>
          <t>SÖDERMANLANDS LÄN</t>
        </is>
      </c>
      <c r="E812" t="inlineStr">
        <is>
          <t>ESKILSTUNA</t>
        </is>
      </c>
      <c r="F812" t="inlineStr">
        <is>
          <t>Allmännings- och besparingsskogar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30354-2023</t>
        </is>
      </c>
      <c r="B813" s="1" t="n">
        <v>45111</v>
      </c>
      <c r="C813" s="1" t="n">
        <v>45473</v>
      </c>
      <c r="D813" t="inlineStr">
        <is>
          <t>SÖDERMANLANDS LÄN</t>
        </is>
      </c>
      <c r="E813" t="inlineStr">
        <is>
          <t>ESKILSTUNA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31597-2023</t>
        </is>
      </c>
      <c r="B814" s="1" t="n">
        <v>45117</v>
      </c>
      <c r="C814" s="1" t="n">
        <v>45473</v>
      </c>
      <c r="D814" t="inlineStr">
        <is>
          <t>SÖDERMANLANDS LÄN</t>
        </is>
      </c>
      <c r="E814" t="inlineStr">
        <is>
          <t>ESKILSTUNA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31837-2023</t>
        </is>
      </c>
      <c r="B815" s="1" t="n">
        <v>45118</v>
      </c>
      <c r="C815" s="1" t="n">
        <v>45473</v>
      </c>
      <c r="D815" t="inlineStr">
        <is>
          <t>SÖDERMANLANDS LÄN</t>
        </is>
      </c>
      <c r="E815" t="inlineStr">
        <is>
          <t>ESKILSTUNA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31879-2023</t>
        </is>
      </c>
      <c r="B816" s="1" t="n">
        <v>45118</v>
      </c>
      <c r="C816" s="1" t="n">
        <v>45473</v>
      </c>
      <c r="D816" t="inlineStr">
        <is>
          <t>SÖDERMANLANDS LÄN</t>
        </is>
      </c>
      <c r="E816" t="inlineStr">
        <is>
          <t>ESKILSTUNA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31983-2023</t>
        </is>
      </c>
      <c r="B817" s="1" t="n">
        <v>45119</v>
      </c>
      <c r="C817" s="1" t="n">
        <v>45473</v>
      </c>
      <c r="D817" t="inlineStr">
        <is>
          <t>SÖDERMANLANDS LÄN</t>
        </is>
      </c>
      <c r="E817" t="inlineStr">
        <is>
          <t>ESKILSTUNA</t>
        </is>
      </c>
      <c r="F817" t="inlineStr">
        <is>
          <t>Sveaskog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34227-2023</t>
        </is>
      </c>
      <c r="B818" s="1" t="n">
        <v>45138</v>
      </c>
      <c r="C818" s="1" t="n">
        <v>45473</v>
      </c>
      <c r="D818" t="inlineStr">
        <is>
          <t>SÖDERMANLANDS LÄN</t>
        </is>
      </c>
      <c r="E818" t="inlineStr">
        <is>
          <t>ESKILSTUNA</t>
        </is>
      </c>
      <c r="G818" t="n">
        <v>4.1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34645-2023</t>
        </is>
      </c>
      <c r="B819" s="1" t="n">
        <v>45140</v>
      </c>
      <c r="C819" s="1" t="n">
        <v>45473</v>
      </c>
      <c r="D819" t="inlineStr">
        <is>
          <t>SÖDERMANLANDS LÄN</t>
        </is>
      </c>
      <c r="E819" t="inlineStr">
        <is>
          <t>ESKILSTUNA</t>
        </is>
      </c>
      <c r="F819" t="inlineStr">
        <is>
          <t>Kyrkan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35377-2023</t>
        </is>
      </c>
      <c r="B820" s="1" t="n">
        <v>45146</v>
      </c>
      <c r="C820" s="1" t="n">
        <v>45473</v>
      </c>
      <c r="D820" t="inlineStr">
        <is>
          <t>SÖDERMANLANDS LÄN</t>
        </is>
      </c>
      <c r="E820" t="inlineStr">
        <is>
          <t>ESKILSTUNA</t>
        </is>
      </c>
      <c r="F820" t="inlineStr">
        <is>
          <t>Kyrkan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36255-2023</t>
        </is>
      </c>
      <c r="B821" s="1" t="n">
        <v>45151</v>
      </c>
      <c r="C821" s="1" t="n">
        <v>45473</v>
      </c>
      <c r="D821" t="inlineStr">
        <is>
          <t>SÖDERMANLANDS LÄN</t>
        </is>
      </c>
      <c r="E821" t="inlineStr">
        <is>
          <t>ESKILSTUNA</t>
        </is>
      </c>
      <c r="G821" t="n">
        <v>5.7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36901-2023</t>
        </is>
      </c>
      <c r="B822" s="1" t="n">
        <v>45154</v>
      </c>
      <c r="C822" s="1" t="n">
        <v>45473</v>
      </c>
      <c r="D822" t="inlineStr">
        <is>
          <t>SÖDERMANLANDS LÄN</t>
        </is>
      </c>
      <c r="E822" t="inlineStr">
        <is>
          <t>ESKILSTUNA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36903-2023</t>
        </is>
      </c>
      <c r="B823" s="1" t="n">
        <v>45154</v>
      </c>
      <c r="C823" s="1" t="n">
        <v>45473</v>
      </c>
      <c r="D823" t="inlineStr">
        <is>
          <t>SÖDERMANLANDS LÄN</t>
        </is>
      </c>
      <c r="E823" t="inlineStr">
        <is>
          <t>ESKILSTUNA</t>
        </is>
      </c>
      <c r="G823" t="n">
        <v>3.5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37282-2023</t>
        </is>
      </c>
      <c r="B824" s="1" t="n">
        <v>45156</v>
      </c>
      <c r="C824" s="1" t="n">
        <v>45473</v>
      </c>
      <c r="D824" t="inlineStr">
        <is>
          <t>SÖDERMANLANDS LÄN</t>
        </is>
      </c>
      <c r="E824" t="inlineStr">
        <is>
          <t>ESKILSTUNA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37769-2023</t>
        </is>
      </c>
      <c r="B825" s="1" t="n">
        <v>45159</v>
      </c>
      <c r="C825" s="1" t="n">
        <v>45473</v>
      </c>
      <c r="D825" t="inlineStr">
        <is>
          <t>SÖDERMANLANDS LÄN</t>
        </is>
      </c>
      <c r="E825" t="inlineStr">
        <is>
          <t>ESKILSTUNA</t>
        </is>
      </c>
      <c r="F825" t="inlineStr">
        <is>
          <t>Kommuner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38895-2023</t>
        </is>
      </c>
      <c r="B826" s="1" t="n">
        <v>45163</v>
      </c>
      <c r="C826" s="1" t="n">
        <v>45473</v>
      </c>
      <c r="D826" t="inlineStr">
        <is>
          <t>SÖDERMANLANDS LÄN</t>
        </is>
      </c>
      <c r="E826" t="inlineStr">
        <is>
          <t>ESKILSTUNA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39291-2023</t>
        </is>
      </c>
      <c r="B827" s="1" t="n">
        <v>45166</v>
      </c>
      <c r="C827" s="1" t="n">
        <v>45473</v>
      </c>
      <c r="D827" t="inlineStr">
        <is>
          <t>SÖDERMANLANDS LÄN</t>
        </is>
      </c>
      <c r="E827" t="inlineStr">
        <is>
          <t>ESKILSTUNA</t>
        </is>
      </c>
      <c r="G827" t="n">
        <v>3.6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39543-2023</t>
        </is>
      </c>
      <c r="B828" s="1" t="n">
        <v>45167</v>
      </c>
      <c r="C828" s="1" t="n">
        <v>45473</v>
      </c>
      <c r="D828" t="inlineStr">
        <is>
          <t>SÖDERMANLANDS LÄN</t>
        </is>
      </c>
      <c r="E828" t="inlineStr">
        <is>
          <t>ESKILSTUNA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39596-2023</t>
        </is>
      </c>
      <c r="B829" s="1" t="n">
        <v>45167</v>
      </c>
      <c r="C829" s="1" t="n">
        <v>45473</v>
      </c>
      <c r="D829" t="inlineStr">
        <is>
          <t>SÖDERMANLANDS LÄN</t>
        </is>
      </c>
      <c r="E829" t="inlineStr">
        <is>
          <t>ESKILSTUNA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40205-2023</t>
        </is>
      </c>
      <c r="B830" s="1" t="n">
        <v>45169</v>
      </c>
      <c r="C830" s="1" t="n">
        <v>45473</v>
      </c>
      <c r="D830" t="inlineStr">
        <is>
          <t>SÖDERMANLANDS LÄN</t>
        </is>
      </c>
      <c r="E830" t="inlineStr">
        <is>
          <t>ESKILSTUNA</t>
        </is>
      </c>
      <c r="F830" t="inlineStr">
        <is>
          <t>Kommuner</t>
        </is>
      </c>
      <c r="G830" t="n">
        <v>3.3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40574-2023</t>
        </is>
      </c>
      <c r="B831" s="1" t="n">
        <v>45170</v>
      </c>
      <c r="C831" s="1" t="n">
        <v>45473</v>
      </c>
      <c r="D831" t="inlineStr">
        <is>
          <t>SÖDERMANLANDS LÄN</t>
        </is>
      </c>
      <c r="E831" t="inlineStr">
        <is>
          <t>ESKILSTUNA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41112-2023</t>
        </is>
      </c>
      <c r="B832" s="1" t="n">
        <v>45173</v>
      </c>
      <c r="C832" s="1" t="n">
        <v>45473</v>
      </c>
      <c r="D832" t="inlineStr">
        <is>
          <t>SÖDERMANLANDS LÄN</t>
        </is>
      </c>
      <c r="E832" t="inlineStr">
        <is>
          <t>ESKILSTUNA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42122-2023</t>
        </is>
      </c>
      <c r="B833" s="1" t="n">
        <v>45177</v>
      </c>
      <c r="C833" s="1" t="n">
        <v>45473</v>
      </c>
      <c r="D833" t="inlineStr">
        <is>
          <t>SÖDERMANLANDS LÄN</t>
        </is>
      </c>
      <c r="E833" t="inlineStr">
        <is>
          <t>ESKILSTUNA</t>
        </is>
      </c>
      <c r="G833" t="n">
        <v>7.8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43064-2023</t>
        </is>
      </c>
      <c r="B834" s="1" t="n">
        <v>45182</v>
      </c>
      <c r="C834" s="1" t="n">
        <v>45473</v>
      </c>
      <c r="D834" t="inlineStr">
        <is>
          <t>SÖDERMANLANDS LÄN</t>
        </is>
      </c>
      <c r="E834" t="inlineStr">
        <is>
          <t>ESKILSTUNA</t>
        </is>
      </c>
      <c r="F834" t="inlineStr">
        <is>
          <t>Allmännings- och besparingsskogar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43161-2023</t>
        </is>
      </c>
      <c r="B835" s="1" t="n">
        <v>45183</v>
      </c>
      <c r="C835" s="1" t="n">
        <v>45473</v>
      </c>
      <c r="D835" t="inlineStr">
        <is>
          <t>SÖDERMANLANDS LÄN</t>
        </is>
      </c>
      <c r="E835" t="inlineStr">
        <is>
          <t>ESKILSTUNA</t>
        </is>
      </c>
      <c r="G835" t="n">
        <v>7.7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43165-2023</t>
        </is>
      </c>
      <c r="B836" s="1" t="n">
        <v>45183</v>
      </c>
      <c r="C836" s="1" t="n">
        <v>45473</v>
      </c>
      <c r="D836" t="inlineStr">
        <is>
          <t>SÖDERMANLANDS LÄN</t>
        </is>
      </c>
      <c r="E836" t="inlineStr">
        <is>
          <t>ESKILSTUNA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43261-2023</t>
        </is>
      </c>
      <c r="B837" s="1" t="n">
        <v>45183</v>
      </c>
      <c r="C837" s="1" t="n">
        <v>45473</v>
      </c>
      <c r="D837" t="inlineStr">
        <is>
          <t>SÖDERMANLANDS LÄN</t>
        </is>
      </c>
      <c r="E837" t="inlineStr">
        <is>
          <t>ESKILSTUNA</t>
        </is>
      </c>
      <c r="F837" t="inlineStr">
        <is>
          <t>Allmännings- och besparingsskogar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43166-2023</t>
        </is>
      </c>
      <c r="B838" s="1" t="n">
        <v>45183</v>
      </c>
      <c r="C838" s="1" t="n">
        <v>45473</v>
      </c>
      <c r="D838" t="inlineStr">
        <is>
          <t>SÖDERMANLANDS LÄN</t>
        </is>
      </c>
      <c r="E838" t="inlineStr">
        <is>
          <t>ESKILSTUNA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43221-2023</t>
        </is>
      </c>
      <c r="B839" s="1" t="n">
        <v>45183</v>
      </c>
      <c r="C839" s="1" t="n">
        <v>45473</v>
      </c>
      <c r="D839" t="inlineStr">
        <is>
          <t>SÖDERMANLANDS LÄN</t>
        </is>
      </c>
      <c r="E839" t="inlineStr">
        <is>
          <t>ESKILSTUNA</t>
        </is>
      </c>
      <c r="F839" t="inlineStr">
        <is>
          <t>Allmännings- och besparingsskogar</t>
        </is>
      </c>
      <c r="G839" t="n">
        <v>15.8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43202-2023</t>
        </is>
      </c>
      <c r="B840" s="1" t="n">
        <v>45183</v>
      </c>
      <c r="C840" s="1" t="n">
        <v>45473</v>
      </c>
      <c r="D840" t="inlineStr">
        <is>
          <t>SÖDERMANLANDS LÄN</t>
        </is>
      </c>
      <c r="E840" t="inlineStr">
        <is>
          <t>ESKILSTUNA</t>
        </is>
      </c>
      <c r="F840" t="inlineStr">
        <is>
          <t>Allmännings- och besparingsskogar</t>
        </is>
      </c>
      <c r="G840" t="n">
        <v>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44829-2023</t>
        </is>
      </c>
      <c r="B841" s="1" t="n">
        <v>45185</v>
      </c>
      <c r="C841" s="1" t="n">
        <v>45473</v>
      </c>
      <c r="D841" t="inlineStr">
        <is>
          <t>SÖDERMANLANDS LÄN</t>
        </is>
      </c>
      <c r="E841" t="inlineStr">
        <is>
          <t>ESKILSTUNA</t>
        </is>
      </c>
      <c r="G841" t="n">
        <v>17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44760-2023</t>
        </is>
      </c>
      <c r="B842" s="1" t="n">
        <v>45185</v>
      </c>
      <c r="C842" s="1" t="n">
        <v>45473</v>
      </c>
      <c r="D842" t="inlineStr">
        <is>
          <t>SÖDERMANLANDS LÄN</t>
        </is>
      </c>
      <c r="E842" t="inlineStr">
        <is>
          <t>ESKILSTUNA</t>
        </is>
      </c>
      <c r="G842" t="n">
        <v>11.8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44609-2023</t>
        </is>
      </c>
      <c r="B843" s="1" t="n">
        <v>45189</v>
      </c>
      <c r="C843" s="1" t="n">
        <v>45473</v>
      </c>
      <c r="D843" t="inlineStr">
        <is>
          <t>SÖDERMANLANDS LÄN</t>
        </is>
      </c>
      <c r="E843" t="inlineStr">
        <is>
          <t>ESKILSTUNA</t>
        </is>
      </c>
      <c r="G843" t="n">
        <v>9.699999999999999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44795-2023</t>
        </is>
      </c>
      <c r="B844" s="1" t="n">
        <v>45190</v>
      </c>
      <c r="C844" s="1" t="n">
        <v>45473</v>
      </c>
      <c r="D844" t="inlineStr">
        <is>
          <t>SÖDERMANLANDS LÄN</t>
        </is>
      </c>
      <c r="E844" t="inlineStr">
        <is>
          <t>ESKILSTUNA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44799-2023</t>
        </is>
      </c>
      <c r="B845" s="1" t="n">
        <v>45190</v>
      </c>
      <c r="C845" s="1" t="n">
        <v>45473</v>
      </c>
      <c r="D845" t="inlineStr">
        <is>
          <t>SÖDERMANLANDS LÄN</t>
        </is>
      </c>
      <c r="E845" t="inlineStr">
        <is>
          <t>ESKILSTUNA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44917-2023</t>
        </is>
      </c>
      <c r="B846" s="1" t="n">
        <v>45190</v>
      </c>
      <c r="C846" s="1" t="n">
        <v>45473</v>
      </c>
      <c r="D846" t="inlineStr">
        <is>
          <t>SÖDERMANLANDS LÄN</t>
        </is>
      </c>
      <c r="E846" t="inlineStr">
        <is>
          <t>ESKILSTUNA</t>
        </is>
      </c>
      <c r="G846" t="n">
        <v>4.7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44805-2023</t>
        </is>
      </c>
      <c r="B847" s="1" t="n">
        <v>45190</v>
      </c>
      <c r="C847" s="1" t="n">
        <v>45473</v>
      </c>
      <c r="D847" t="inlineStr">
        <is>
          <t>SÖDERMANLANDS LÄN</t>
        </is>
      </c>
      <c r="E847" t="inlineStr">
        <is>
          <t>ESKILSTUNA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44809-2023</t>
        </is>
      </c>
      <c r="B848" s="1" t="n">
        <v>45190</v>
      </c>
      <c r="C848" s="1" t="n">
        <v>45473</v>
      </c>
      <c r="D848" t="inlineStr">
        <is>
          <t>SÖDERMANLANDS LÄN</t>
        </is>
      </c>
      <c r="E848" t="inlineStr">
        <is>
          <t>ESKILSTUNA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44927-2023</t>
        </is>
      </c>
      <c r="B849" s="1" t="n">
        <v>45190</v>
      </c>
      <c r="C849" s="1" t="n">
        <v>45473</v>
      </c>
      <c r="D849" t="inlineStr">
        <is>
          <t>SÖDERMANLANDS LÄN</t>
        </is>
      </c>
      <c r="E849" t="inlineStr">
        <is>
          <t>ESKILSTUNA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45746-2023</t>
        </is>
      </c>
      <c r="B850" s="1" t="n">
        <v>45195</v>
      </c>
      <c r="C850" s="1" t="n">
        <v>45473</v>
      </c>
      <c r="D850" t="inlineStr">
        <is>
          <t>SÖDERMANLANDS LÄN</t>
        </is>
      </c>
      <c r="E850" t="inlineStr">
        <is>
          <t>ESKILSTUNA</t>
        </is>
      </c>
      <c r="G850" t="n">
        <v>8.9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46796-2023</t>
        </is>
      </c>
      <c r="B851" s="1" t="n">
        <v>45198</v>
      </c>
      <c r="C851" s="1" t="n">
        <v>45473</v>
      </c>
      <c r="D851" t="inlineStr">
        <is>
          <t>SÖDERMANLANDS LÄN</t>
        </is>
      </c>
      <c r="E851" t="inlineStr">
        <is>
          <t>ESKILSTUNA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48998-2023</t>
        </is>
      </c>
      <c r="B852" s="1" t="n">
        <v>45209</v>
      </c>
      <c r="C852" s="1" t="n">
        <v>45473</v>
      </c>
      <c r="D852" t="inlineStr">
        <is>
          <t>SÖDERMANLANDS LÄN</t>
        </is>
      </c>
      <c r="E852" t="inlineStr">
        <is>
          <t>ESKILSTUNA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48877-2023</t>
        </is>
      </c>
      <c r="B853" s="1" t="n">
        <v>45209</v>
      </c>
      <c r="C853" s="1" t="n">
        <v>45473</v>
      </c>
      <c r="D853" t="inlineStr">
        <is>
          <t>SÖDERMANLANDS LÄN</t>
        </is>
      </c>
      <c r="E853" t="inlineStr">
        <is>
          <t>ESKILSTUNA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49061-2023</t>
        </is>
      </c>
      <c r="B854" s="1" t="n">
        <v>45210</v>
      </c>
      <c r="C854" s="1" t="n">
        <v>45473</v>
      </c>
      <c r="D854" t="inlineStr">
        <is>
          <t>SÖDERMANLANDS LÄN</t>
        </is>
      </c>
      <c r="E854" t="inlineStr">
        <is>
          <t>ESKILSTUNA</t>
        </is>
      </c>
      <c r="G854" t="n">
        <v>4.2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49430-2023</t>
        </is>
      </c>
      <c r="B855" s="1" t="n">
        <v>45211</v>
      </c>
      <c r="C855" s="1" t="n">
        <v>45473</v>
      </c>
      <c r="D855" t="inlineStr">
        <is>
          <t>SÖDERMANLANDS LÄN</t>
        </is>
      </c>
      <c r="E855" t="inlineStr">
        <is>
          <t>ESKILSTUNA</t>
        </is>
      </c>
      <c r="G855" t="n">
        <v>3.8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49470-2023</t>
        </is>
      </c>
      <c r="B856" s="1" t="n">
        <v>45211</v>
      </c>
      <c r="C856" s="1" t="n">
        <v>45473</v>
      </c>
      <c r="D856" t="inlineStr">
        <is>
          <t>SÖDERMANLANDS LÄN</t>
        </is>
      </c>
      <c r="E856" t="inlineStr">
        <is>
          <t>ESKILSTUNA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49752-2023</t>
        </is>
      </c>
      <c r="B857" s="1" t="n">
        <v>45212</v>
      </c>
      <c r="C857" s="1" t="n">
        <v>45473</v>
      </c>
      <c r="D857" t="inlineStr">
        <is>
          <t>SÖDERMANLANDS LÄN</t>
        </is>
      </c>
      <c r="E857" t="inlineStr">
        <is>
          <t>ESKILSTUNA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49754-2023</t>
        </is>
      </c>
      <c r="B858" s="1" t="n">
        <v>45212</v>
      </c>
      <c r="C858" s="1" t="n">
        <v>45473</v>
      </c>
      <c r="D858" t="inlineStr">
        <is>
          <t>SÖDERMANLANDS LÄN</t>
        </is>
      </c>
      <c r="E858" t="inlineStr">
        <is>
          <t>ESKILSTUNA</t>
        </is>
      </c>
      <c r="G858" t="n">
        <v>5.7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49749-2023</t>
        </is>
      </c>
      <c r="B859" s="1" t="n">
        <v>45212</v>
      </c>
      <c r="C859" s="1" t="n">
        <v>45473</v>
      </c>
      <c r="D859" t="inlineStr">
        <is>
          <t>SÖDERMANLANDS LÄN</t>
        </is>
      </c>
      <c r="E859" t="inlineStr">
        <is>
          <t>ESKILSTUNA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50190-2023</t>
        </is>
      </c>
      <c r="B860" s="1" t="n">
        <v>45215</v>
      </c>
      <c r="C860" s="1" t="n">
        <v>45473</v>
      </c>
      <c r="D860" t="inlineStr">
        <is>
          <t>SÖDERMANLANDS LÄN</t>
        </is>
      </c>
      <c r="E860" t="inlineStr">
        <is>
          <t>ESKILSTUNA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50760-2023</t>
        </is>
      </c>
      <c r="B861" s="1" t="n">
        <v>45217</v>
      </c>
      <c r="C861" s="1" t="n">
        <v>45473</v>
      </c>
      <c r="D861" t="inlineStr">
        <is>
          <t>SÖDERMANLANDS LÄN</t>
        </is>
      </c>
      <c r="E861" t="inlineStr">
        <is>
          <t>ESKILSTUNA</t>
        </is>
      </c>
      <c r="G861" t="n">
        <v>4.1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52586-2023</t>
        </is>
      </c>
      <c r="B862" s="1" t="n">
        <v>45225</v>
      </c>
      <c r="C862" s="1" t="n">
        <v>45473</v>
      </c>
      <c r="D862" t="inlineStr">
        <is>
          <t>SÖDERMANLANDS LÄN</t>
        </is>
      </c>
      <c r="E862" t="inlineStr">
        <is>
          <t>ESKILSTUNA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52606-2023</t>
        </is>
      </c>
      <c r="B863" s="1" t="n">
        <v>45225</v>
      </c>
      <c r="C863" s="1" t="n">
        <v>45473</v>
      </c>
      <c r="D863" t="inlineStr">
        <is>
          <t>SÖDERMANLANDS LÄN</t>
        </is>
      </c>
      <c r="E863" t="inlineStr">
        <is>
          <t>ESKILSTUNA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52662-2023</t>
        </is>
      </c>
      <c r="B864" s="1" t="n">
        <v>45225</v>
      </c>
      <c r="C864" s="1" t="n">
        <v>45473</v>
      </c>
      <c r="D864" t="inlineStr">
        <is>
          <t>SÖDERMANLANDS LÄN</t>
        </is>
      </c>
      <c r="E864" t="inlineStr">
        <is>
          <t>ESKILSTUNA</t>
        </is>
      </c>
      <c r="G864" t="n">
        <v>4.9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52597-2023</t>
        </is>
      </c>
      <c r="B865" s="1" t="n">
        <v>45225</v>
      </c>
      <c r="C865" s="1" t="n">
        <v>45473</v>
      </c>
      <c r="D865" t="inlineStr">
        <is>
          <t>SÖDERMANLANDS LÄN</t>
        </is>
      </c>
      <c r="E865" t="inlineStr">
        <is>
          <t>ESKILSTUNA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52602-2023</t>
        </is>
      </c>
      <c r="B866" s="1" t="n">
        <v>45225</v>
      </c>
      <c r="C866" s="1" t="n">
        <v>45473</v>
      </c>
      <c r="D866" t="inlineStr">
        <is>
          <t>SÖDERMANLANDS LÄN</t>
        </is>
      </c>
      <c r="E866" t="inlineStr">
        <is>
          <t>ESKILSTUNA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52663-2023</t>
        </is>
      </c>
      <c r="B867" s="1" t="n">
        <v>45225</v>
      </c>
      <c r="C867" s="1" t="n">
        <v>45473</v>
      </c>
      <c r="D867" t="inlineStr">
        <is>
          <t>SÖDERMANLANDS LÄN</t>
        </is>
      </c>
      <c r="E867" t="inlineStr">
        <is>
          <t>ESKILSTUNA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52671-2023</t>
        </is>
      </c>
      <c r="B868" s="1" t="n">
        <v>45225</v>
      </c>
      <c r="C868" s="1" t="n">
        <v>45473</v>
      </c>
      <c r="D868" t="inlineStr">
        <is>
          <t>SÖDERMANLANDS LÄN</t>
        </is>
      </c>
      <c r="E868" t="inlineStr">
        <is>
          <t>ESKILSTUNA</t>
        </is>
      </c>
      <c r="G868" t="n">
        <v>10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52988-2023</t>
        </is>
      </c>
      <c r="B869" s="1" t="n">
        <v>45226</v>
      </c>
      <c r="C869" s="1" t="n">
        <v>45473</v>
      </c>
      <c r="D869" t="inlineStr">
        <is>
          <t>SÖDERMANLANDS LÄN</t>
        </is>
      </c>
      <c r="E869" t="inlineStr">
        <is>
          <t>ESKILSTUNA</t>
        </is>
      </c>
      <c r="F869" t="inlineStr">
        <is>
          <t>Allmännings- och besparingsskogar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52816-2023</t>
        </is>
      </c>
      <c r="B870" s="1" t="n">
        <v>45226</v>
      </c>
      <c r="C870" s="1" t="n">
        <v>45473</v>
      </c>
      <c r="D870" t="inlineStr">
        <is>
          <t>SÖDERMANLANDS LÄN</t>
        </is>
      </c>
      <c r="E870" t="inlineStr">
        <is>
          <t>ESKILSTUNA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53399-2023</t>
        </is>
      </c>
      <c r="B871" s="1" t="n">
        <v>45229</v>
      </c>
      <c r="C871" s="1" t="n">
        <v>45473</v>
      </c>
      <c r="D871" t="inlineStr">
        <is>
          <t>SÖDERMANLANDS LÄN</t>
        </is>
      </c>
      <c r="E871" t="inlineStr">
        <is>
          <t>ESKILSTUNA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53405-2023</t>
        </is>
      </c>
      <c r="B872" s="1" t="n">
        <v>45229</v>
      </c>
      <c r="C872" s="1" t="n">
        <v>45473</v>
      </c>
      <c r="D872" t="inlineStr">
        <is>
          <t>SÖDERMANLANDS LÄN</t>
        </is>
      </c>
      <c r="E872" t="inlineStr">
        <is>
          <t>ESKILSTUNA</t>
        </is>
      </c>
      <c r="G872" t="n">
        <v>4.5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53406-2023</t>
        </is>
      </c>
      <c r="B873" s="1" t="n">
        <v>45229</v>
      </c>
      <c r="C873" s="1" t="n">
        <v>45473</v>
      </c>
      <c r="D873" t="inlineStr">
        <is>
          <t>SÖDERMANLANDS LÄN</t>
        </is>
      </c>
      <c r="E873" t="inlineStr">
        <is>
          <t>ESKILSTUNA</t>
        </is>
      </c>
      <c r="F873" t="inlineStr">
        <is>
          <t>Allmännings- och besparingsskogar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53415-2023</t>
        </is>
      </c>
      <c r="B874" s="1" t="n">
        <v>45229</v>
      </c>
      <c r="C874" s="1" t="n">
        <v>45473</v>
      </c>
      <c r="D874" t="inlineStr">
        <is>
          <t>SÖDERMANLANDS LÄN</t>
        </is>
      </c>
      <c r="E874" t="inlineStr">
        <is>
          <t>ESKILSTUNA</t>
        </is>
      </c>
      <c r="F874" t="inlineStr">
        <is>
          <t>Allmännings- och besparingsskogar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53438-2023</t>
        </is>
      </c>
      <c r="B875" s="1" t="n">
        <v>45229</v>
      </c>
      <c r="C875" s="1" t="n">
        <v>45473</v>
      </c>
      <c r="D875" t="inlineStr">
        <is>
          <t>SÖDERMANLANDS LÄN</t>
        </is>
      </c>
      <c r="E875" t="inlineStr">
        <is>
          <t>ESKILSTUNA</t>
        </is>
      </c>
      <c r="F875" t="inlineStr">
        <is>
          <t>Allmännings- och besparingsskogar</t>
        </is>
      </c>
      <c r="G875" t="n">
        <v>6.6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53721-2023</t>
        </is>
      </c>
      <c r="B876" s="1" t="n">
        <v>45230</v>
      </c>
      <c r="C876" s="1" t="n">
        <v>45473</v>
      </c>
      <c r="D876" t="inlineStr">
        <is>
          <t>SÖDERMANLANDS LÄN</t>
        </is>
      </c>
      <c r="E876" t="inlineStr">
        <is>
          <t>ESKILSTUNA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54779-2023</t>
        </is>
      </c>
      <c r="B877" s="1" t="n">
        <v>45236</v>
      </c>
      <c r="C877" s="1" t="n">
        <v>45473</v>
      </c>
      <c r="D877" t="inlineStr">
        <is>
          <t>SÖDERMANLANDS LÄN</t>
        </is>
      </c>
      <c r="E877" t="inlineStr">
        <is>
          <t>ESKILSTUNA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54932-2023</t>
        </is>
      </c>
      <c r="B878" s="1" t="n">
        <v>45236</v>
      </c>
      <c r="C878" s="1" t="n">
        <v>45473</v>
      </c>
      <c r="D878" t="inlineStr">
        <is>
          <t>SÖDERMANLANDS LÄN</t>
        </is>
      </c>
      <c r="E878" t="inlineStr">
        <is>
          <t>ESKILSTUNA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55106-2023</t>
        </is>
      </c>
      <c r="B879" s="1" t="n">
        <v>45237</v>
      </c>
      <c r="C879" s="1" t="n">
        <v>45473</v>
      </c>
      <c r="D879" t="inlineStr">
        <is>
          <t>SÖDERMANLANDS LÄN</t>
        </is>
      </c>
      <c r="E879" t="inlineStr">
        <is>
          <t>ESKILSTUNA</t>
        </is>
      </c>
      <c r="F879" t="inlineStr">
        <is>
          <t>Sveaskog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55215-2023</t>
        </is>
      </c>
      <c r="B880" s="1" t="n">
        <v>45237</v>
      </c>
      <c r="C880" s="1" t="n">
        <v>45473</v>
      </c>
      <c r="D880" t="inlineStr">
        <is>
          <t>SÖDERMANLANDS LÄN</t>
        </is>
      </c>
      <c r="E880" t="inlineStr">
        <is>
          <t>ESKILSTUNA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55224-2023</t>
        </is>
      </c>
      <c r="B881" s="1" t="n">
        <v>45237</v>
      </c>
      <c r="C881" s="1" t="n">
        <v>45473</v>
      </c>
      <c r="D881" t="inlineStr">
        <is>
          <t>SÖDERMANLANDS LÄN</t>
        </is>
      </c>
      <c r="E881" t="inlineStr">
        <is>
          <t>ESKILSTUNA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55169-2023</t>
        </is>
      </c>
      <c r="B882" s="1" t="n">
        <v>45237</v>
      </c>
      <c r="C882" s="1" t="n">
        <v>45473</v>
      </c>
      <c r="D882" t="inlineStr">
        <is>
          <t>SÖDERMANLANDS LÄN</t>
        </is>
      </c>
      <c r="E882" t="inlineStr">
        <is>
          <t>ESKILSTUNA</t>
        </is>
      </c>
      <c r="G882" t="n">
        <v>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55278-2023</t>
        </is>
      </c>
      <c r="B883" s="1" t="n">
        <v>45237</v>
      </c>
      <c r="C883" s="1" t="n">
        <v>45473</v>
      </c>
      <c r="D883" t="inlineStr">
        <is>
          <t>SÖDERMANLANDS LÄN</t>
        </is>
      </c>
      <c r="E883" t="inlineStr">
        <is>
          <t>ESKILSTUNA</t>
        </is>
      </c>
      <c r="G883" t="n">
        <v>6.6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55282-2023</t>
        </is>
      </c>
      <c r="B884" s="1" t="n">
        <v>45237</v>
      </c>
      <c r="C884" s="1" t="n">
        <v>45473</v>
      </c>
      <c r="D884" t="inlineStr">
        <is>
          <t>SÖDERMANLANDS LÄN</t>
        </is>
      </c>
      <c r="E884" t="inlineStr">
        <is>
          <t>ESKILSTUNA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55353-2023</t>
        </is>
      </c>
      <c r="B885" s="1" t="n">
        <v>45238</v>
      </c>
      <c r="C885" s="1" t="n">
        <v>45473</v>
      </c>
      <c r="D885" t="inlineStr">
        <is>
          <t>SÖDERMANLANDS LÄN</t>
        </is>
      </c>
      <c r="E885" t="inlineStr">
        <is>
          <t>ESKILSTUNA</t>
        </is>
      </c>
      <c r="G885" t="n">
        <v>12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55883-2023</t>
        </is>
      </c>
      <c r="B886" s="1" t="n">
        <v>45239</v>
      </c>
      <c r="C886" s="1" t="n">
        <v>45473</v>
      </c>
      <c r="D886" t="inlineStr">
        <is>
          <t>SÖDERMANLANDS LÄN</t>
        </is>
      </c>
      <c r="E886" t="inlineStr">
        <is>
          <t>ESKILSTUNA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55885-2023</t>
        </is>
      </c>
      <c r="B887" s="1" t="n">
        <v>45239</v>
      </c>
      <c r="C887" s="1" t="n">
        <v>45473</v>
      </c>
      <c r="D887" t="inlineStr">
        <is>
          <t>SÖDERMANLANDS LÄN</t>
        </is>
      </c>
      <c r="E887" t="inlineStr">
        <is>
          <t>ESKILSTUNA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55965-2023</t>
        </is>
      </c>
      <c r="B888" s="1" t="n">
        <v>45240</v>
      </c>
      <c r="C888" s="1" t="n">
        <v>45473</v>
      </c>
      <c r="D888" t="inlineStr">
        <is>
          <t>SÖDERMANLANDS LÄN</t>
        </is>
      </c>
      <c r="E888" t="inlineStr">
        <is>
          <t>ESKILSTUNA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55960-2023</t>
        </is>
      </c>
      <c r="B889" s="1" t="n">
        <v>45240</v>
      </c>
      <c r="C889" s="1" t="n">
        <v>45473</v>
      </c>
      <c r="D889" t="inlineStr">
        <is>
          <t>SÖDERMANLANDS LÄN</t>
        </is>
      </c>
      <c r="E889" t="inlineStr">
        <is>
          <t>ESKILSTUNA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55968-2023</t>
        </is>
      </c>
      <c r="B890" s="1" t="n">
        <v>45240</v>
      </c>
      <c r="C890" s="1" t="n">
        <v>45473</v>
      </c>
      <c r="D890" t="inlineStr">
        <is>
          <t>SÖDERMANLANDS LÄN</t>
        </is>
      </c>
      <c r="E890" t="inlineStr">
        <is>
          <t>ESKILSTUNA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55963-2023</t>
        </is>
      </c>
      <c r="B891" s="1" t="n">
        <v>45240</v>
      </c>
      <c r="C891" s="1" t="n">
        <v>45473</v>
      </c>
      <c r="D891" t="inlineStr">
        <is>
          <t>SÖDERMANLANDS LÄN</t>
        </is>
      </c>
      <c r="E891" t="inlineStr">
        <is>
          <t>ESKILSTUNA</t>
        </is>
      </c>
      <c r="G891" t="n">
        <v>6.2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57213-2023</t>
        </is>
      </c>
      <c r="B892" s="1" t="n">
        <v>45245</v>
      </c>
      <c r="C892" s="1" t="n">
        <v>45473</v>
      </c>
      <c r="D892" t="inlineStr">
        <is>
          <t>SÖDERMANLANDS LÄN</t>
        </is>
      </c>
      <c r="E892" t="inlineStr">
        <is>
          <t>ESKILSTUNA</t>
        </is>
      </c>
      <c r="F892" t="inlineStr">
        <is>
          <t>Allmännings- och besparingsskogar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57229-2023</t>
        </is>
      </c>
      <c r="B893" s="1" t="n">
        <v>45245</v>
      </c>
      <c r="C893" s="1" t="n">
        <v>45473</v>
      </c>
      <c r="D893" t="inlineStr">
        <is>
          <t>SÖDERMANLANDS LÄN</t>
        </is>
      </c>
      <c r="E893" t="inlineStr">
        <is>
          <t>ESKILSTUNA</t>
        </is>
      </c>
      <c r="F893" t="inlineStr">
        <is>
          <t>Allmännings- och besparingsskogar</t>
        </is>
      </c>
      <c r="G893" t="n">
        <v>5.2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57304-2023</t>
        </is>
      </c>
      <c r="B894" s="1" t="n">
        <v>45245</v>
      </c>
      <c r="C894" s="1" t="n">
        <v>45473</v>
      </c>
      <c r="D894" t="inlineStr">
        <is>
          <t>SÖDERMANLANDS LÄN</t>
        </is>
      </c>
      <c r="E894" t="inlineStr">
        <is>
          <t>ESKILSTUNA</t>
        </is>
      </c>
      <c r="F894" t="inlineStr">
        <is>
          <t>Sveaskog</t>
        </is>
      </c>
      <c r="G894" t="n">
        <v>3.3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58320-2023</t>
        </is>
      </c>
      <c r="B895" s="1" t="n">
        <v>45250</v>
      </c>
      <c r="C895" s="1" t="n">
        <v>45473</v>
      </c>
      <c r="D895" t="inlineStr">
        <is>
          <t>SÖDERMANLANDS LÄN</t>
        </is>
      </c>
      <c r="E895" t="inlineStr">
        <is>
          <t>ESKILSTUNA</t>
        </is>
      </c>
      <c r="G895" t="n">
        <v>3.6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58499-2023</t>
        </is>
      </c>
      <c r="B896" s="1" t="n">
        <v>45251</v>
      </c>
      <c r="C896" s="1" t="n">
        <v>45473</v>
      </c>
      <c r="D896" t="inlineStr">
        <is>
          <t>SÖDERMANLANDS LÄN</t>
        </is>
      </c>
      <c r="E896" t="inlineStr">
        <is>
          <t>ESKILSTUNA</t>
        </is>
      </c>
      <c r="F896" t="inlineStr">
        <is>
          <t>Sveaskog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58502-2023</t>
        </is>
      </c>
      <c r="B897" s="1" t="n">
        <v>45251</v>
      </c>
      <c r="C897" s="1" t="n">
        <v>45473</v>
      </c>
      <c r="D897" t="inlineStr">
        <is>
          <t>SÖDERMANLANDS LÄN</t>
        </is>
      </c>
      <c r="E897" t="inlineStr">
        <is>
          <t>ESKILSTUNA</t>
        </is>
      </c>
      <c r="F897" t="inlineStr">
        <is>
          <t>Sveaskog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61829-2023</t>
        </is>
      </c>
      <c r="B898" s="1" t="n">
        <v>45266</v>
      </c>
      <c r="C898" s="1" t="n">
        <v>45473</v>
      </c>
      <c r="D898" t="inlineStr">
        <is>
          <t>SÖDERMANLANDS LÄN</t>
        </is>
      </c>
      <c r="E898" t="inlineStr">
        <is>
          <t>ESKILSTUNA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61831-2023</t>
        </is>
      </c>
      <c r="B899" s="1" t="n">
        <v>45266</v>
      </c>
      <c r="C899" s="1" t="n">
        <v>45473</v>
      </c>
      <c r="D899" t="inlineStr">
        <is>
          <t>SÖDERMANLANDS LÄN</t>
        </is>
      </c>
      <c r="E899" t="inlineStr">
        <is>
          <t>ESKILSTUNA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61830-2023</t>
        </is>
      </c>
      <c r="B900" s="1" t="n">
        <v>45266</v>
      </c>
      <c r="C900" s="1" t="n">
        <v>45473</v>
      </c>
      <c r="D900" t="inlineStr">
        <is>
          <t>SÖDERMANLANDS LÄN</t>
        </is>
      </c>
      <c r="E900" t="inlineStr">
        <is>
          <t>ESKILSTUNA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61989-2023</t>
        </is>
      </c>
      <c r="B901" s="1" t="n">
        <v>45266</v>
      </c>
      <c r="C901" s="1" t="n">
        <v>45473</v>
      </c>
      <c r="D901" t="inlineStr">
        <is>
          <t>SÖDERMANLANDS LÄN</t>
        </is>
      </c>
      <c r="E901" t="inlineStr">
        <is>
          <t>ESKILSTUNA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62268-2023</t>
        </is>
      </c>
      <c r="B902" s="1" t="n">
        <v>45267</v>
      </c>
      <c r="C902" s="1" t="n">
        <v>45473</v>
      </c>
      <c r="D902" t="inlineStr">
        <is>
          <t>SÖDERMANLANDS LÄN</t>
        </is>
      </c>
      <c r="E902" t="inlineStr">
        <is>
          <t>ESKILSTUNA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62262-2023</t>
        </is>
      </c>
      <c r="B903" s="1" t="n">
        <v>45267</v>
      </c>
      <c r="C903" s="1" t="n">
        <v>45473</v>
      </c>
      <c r="D903" t="inlineStr">
        <is>
          <t>SÖDERMANLANDS LÄN</t>
        </is>
      </c>
      <c r="E903" t="inlineStr">
        <is>
          <t>ESKILSTUNA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62278-2023</t>
        </is>
      </c>
      <c r="B904" s="1" t="n">
        <v>45267</v>
      </c>
      <c r="C904" s="1" t="n">
        <v>45473</v>
      </c>
      <c r="D904" t="inlineStr">
        <is>
          <t>SÖDERMANLANDS LÄN</t>
        </is>
      </c>
      <c r="E904" t="inlineStr">
        <is>
          <t>ESKILSTUNA</t>
        </is>
      </c>
      <c r="G904" t="n">
        <v>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62592-2023</t>
        </is>
      </c>
      <c r="B905" s="1" t="n">
        <v>45270</v>
      </c>
      <c r="C905" s="1" t="n">
        <v>45473</v>
      </c>
      <c r="D905" t="inlineStr">
        <is>
          <t>SÖDERMANLANDS LÄN</t>
        </is>
      </c>
      <c r="E905" t="inlineStr">
        <is>
          <t>ESKILSTUNA</t>
        </is>
      </c>
      <c r="F905" t="inlineStr">
        <is>
          <t>Allmännings- och besparingsskogar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62693-2023</t>
        </is>
      </c>
      <c r="B906" s="1" t="n">
        <v>45271</v>
      </c>
      <c r="C906" s="1" t="n">
        <v>45473</v>
      </c>
      <c r="D906" t="inlineStr">
        <is>
          <t>SÖDERMANLANDS LÄN</t>
        </is>
      </c>
      <c r="E906" t="inlineStr">
        <is>
          <t>ESKILSTUNA</t>
        </is>
      </c>
      <c r="G906" t="n">
        <v>6.1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65045-2023</t>
        </is>
      </c>
      <c r="B907" s="1" t="n">
        <v>45287</v>
      </c>
      <c r="C907" s="1" t="n">
        <v>45473</v>
      </c>
      <c r="D907" t="inlineStr">
        <is>
          <t>SÖDERMANLANDS LÄN</t>
        </is>
      </c>
      <c r="E907" t="inlineStr">
        <is>
          <t>ESKILSTUNA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462-2024</t>
        </is>
      </c>
      <c r="B908" s="1" t="n">
        <v>45297</v>
      </c>
      <c r="C908" s="1" t="n">
        <v>45473</v>
      </c>
      <c r="D908" t="inlineStr">
        <is>
          <t>SÖDERMANLANDS LÄN</t>
        </is>
      </c>
      <c r="E908" t="inlineStr">
        <is>
          <t>ESKILSTUNA</t>
        </is>
      </c>
      <c r="G908" t="n">
        <v>2.8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970-2024</t>
        </is>
      </c>
      <c r="B909" s="1" t="n">
        <v>45301</v>
      </c>
      <c r="C909" s="1" t="n">
        <v>45473</v>
      </c>
      <c r="D909" t="inlineStr">
        <is>
          <t>SÖDERMANLANDS LÄN</t>
        </is>
      </c>
      <c r="E909" t="inlineStr">
        <is>
          <t>ESKILSTUNA</t>
        </is>
      </c>
      <c r="G909" t="n">
        <v>4.5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1324-2024</t>
        </is>
      </c>
      <c r="B910" s="1" t="n">
        <v>45303</v>
      </c>
      <c r="C910" s="1" t="n">
        <v>45473</v>
      </c>
      <c r="D910" t="inlineStr">
        <is>
          <t>SÖDERMANLANDS LÄN</t>
        </is>
      </c>
      <c r="E910" t="inlineStr">
        <is>
          <t>ESKILSTUNA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1340-2024</t>
        </is>
      </c>
      <c r="B911" s="1" t="n">
        <v>45303</v>
      </c>
      <c r="C911" s="1" t="n">
        <v>45473</v>
      </c>
      <c r="D911" t="inlineStr">
        <is>
          <t>SÖDERMANLANDS LÄN</t>
        </is>
      </c>
      <c r="E911" t="inlineStr">
        <is>
          <t>ESKILSTUNA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1344-2024</t>
        </is>
      </c>
      <c r="B912" s="1" t="n">
        <v>45303</v>
      </c>
      <c r="C912" s="1" t="n">
        <v>45473</v>
      </c>
      <c r="D912" t="inlineStr">
        <is>
          <t>SÖDERMANLANDS LÄN</t>
        </is>
      </c>
      <c r="E912" t="inlineStr">
        <is>
          <t>ESKILSTUNA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1325-2024</t>
        </is>
      </c>
      <c r="B913" s="1" t="n">
        <v>45303</v>
      </c>
      <c r="C913" s="1" t="n">
        <v>45473</v>
      </c>
      <c r="D913" t="inlineStr">
        <is>
          <t>SÖDERMANLANDS LÄN</t>
        </is>
      </c>
      <c r="E913" t="inlineStr">
        <is>
          <t>ESKILSTUNA</t>
        </is>
      </c>
      <c r="G913" t="n">
        <v>8.199999999999999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1362-2024</t>
        </is>
      </c>
      <c r="B914" s="1" t="n">
        <v>45303</v>
      </c>
      <c r="C914" s="1" t="n">
        <v>45473</v>
      </c>
      <c r="D914" t="inlineStr">
        <is>
          <t>SÖDERMANLANDS LÄN</t>
        </is>
      </c>
      <c r="E914" t="inlineStr">
        <is>
          <t>ESKILSTUNA</t>
        </is>
      </c>
      <c r="F914" t="inlineStr">
        <is>
          <t>Allmännings- och besparingsskogar</t>
        </is>
      </c>
      <c r="G914" t="n">
        <v>3.2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1322-2024</t>
        </is>
      </c>
      <c r="B915" s="1" t="n">
        <v>45303</v>
      </c>
      <c r="C915" s="1" t="n">
        <v>45473</v>
      </c>
      <c r="D915" t="inlineStr">
        <is>
          <t>SÖDERMANLANDS LÄN</t>
        </is>
      </c>
      <c r="E915" t="inlineStr">
        <is>
          <t>ESKILSTUNA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1330-2024</t>
        </is>
      </c>
      <c r="B916" s="1" t="n">
        <v>45303</v>
      </c>
      <c r="C916" s="1" t="n">
        <v>45473</v>
      </c>
      <c r="D916" t="inlineStr">
        <is>
          <t>SÖDERMANLANDS LÄN</t>
        </is>
      </c>
      <c r="E916" t="inlineStr">
        <is>
          <t>ESKILSTUNA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1334-2024</t>
        </is>
      </c>
      <c r="B917" s="1" t="n">
        <v>45303</v>
      </c>
      <c r="C917" s="1" t="n">
        <v>45473</v>
      </c>
      <c r="D917" t="inlineStr">
        <is>
          <t>SÖDERMANLANDS LÄN</t>
        </is>
      </c>
      <c r="E917" t="inlineStr">
        <is>
          <t>ESKILSTUNA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1346-2024</t>
        </is>
      </c>
      <c r="B918" s="1" t="n">
        <v>45303</v>
      </c>
      <c r="C918" s="1" t="n">
        <v>45473</v>
      </c>
      <c r="D918" t="inlineStr">
        <is>
          <t>SÖDERMANLANDS LÄN</t>
        </is>
      </c>
      <c r="E918" t="inlineStr">
        <is>
          <t>ESKILSTUNA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1323-2024</t>
        </is>
      </c>
      <c r="B919" s="1" t="n">
        <v>45303</v>
      </c>
      <c r="C919" s="1" t="n">
        <v>45473</v>
      </c>
      <c r="D919" t="inlineStr">
        <is>
          <t>SÖDERMANLANDS LÄN</t>
        </is>
      </c>
      <c r="E919" t="inlineStr">
        <is>
          <t>ESKILSTUNA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1343-2024</t>
        </is>
      </c>
      <c r="B920" s="1" t="n">
        <v>45303</v>
      </c>
      <c r="C920" s="1" t="n">
        <v>45473</v>
      </c>
      <c r="D920" t="inlineStr">
        <is>
          <t>SÖDERMANLANDS LÄN</t>
        </is>
      </c>
      <c r="E920" t="inlineStr">
        <is>
          <t>ESKILSTUNA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1752-2024</t>
        </is>
      </c>
      <c r="B921" s="1" t="n">
        <v>45307</v>
      </c>
      <c r="C921" s="1" t="n">
        <v>45473</v>
      </c>
      <c r="D921" t="inlineStr">
        <is>
          <t>SÖDERMANLANDS LÄN</t>
        </is>
      </c>
      <c r="E921" t="inlineStr">
        <is>
          <t>ESKILSTUNA</t>
        </is>
      </c>
      <c r="F921" t="inlineStr">
        <is>
          <t>Kyrkan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1766-2024</t>
        </is>
      </c>
      <c r="B922" s="1" t="n">
        <v>45307</v>
      </c>
      <c r="C922" s="1" t="n">
        <v>45473</v>
      </c>
      <c r="D922" t="inlineStr">
        <is>
          <t>SÖDERMANLANDS LÄN</t>
        </is>
      </c>
      <c r="E922" t="inlineStr">
        <is>
          <t>ESKILSTUNA</t>
        </is>
      </c>
      <c r="F922" t="inlineStr">
        <is>
          <t>Kyrkan</t>
        </is>
      </c>
      <c r="G922" t="n">
        <v>4.2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2511-2024</t>
        </is>
      </c>
      <c r="B923" s="1" t="n">
        <v>45313</v>
      </c>
      <c r="C923" s="1" t="n">
        <v>45473</v>
      </c>
      <c r="D923" t="inlineStr">
        <is>
          <t>SÖDERMANLANDS LÄN</t>
        </is>
      </c>
      <c r="E923" t="inlineStr">
        <is>
          <t>ESKILSTUNA</t>
        </is>
      </c>
      <c r="F923" t="inlineStr">
        <is>
          <t>Allmännings- och besparingsskogar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2794-2024</t>
        </is>
      </c>
      <c r="B924" s="1" t="n">
        <v>45314</v>
      </c>
      <c r="C924" s="1" t="n">
        <v>45473</v>
      </c>
      <c r="D924" t="inlineStr">
        <is>
          <t>SÖDERMANLANDS LÄN</t>
        </is>
      </c>
      <c r="E924" t="inlineStr">
        <is>
          <t>ESKILSTUNA</t>
        </is>
      </c>
      <c r="F924" t="inlineStr">
        <is>
          <t>Allmännings- och besparingsskogar</t>
        </is>
      </c>
      <c r="G924" t="n">
        <v>16.2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2807-2024</t>
        </is>
      </c>
      <c r="B925" s="1" t="n">
        <v>45314</v>
      </c>
      <c r="C925" s="1" t="n">
        <v>45473</v>
      </c>
      <c r="D925" t="inlineStr">
        <is>
          <t>SÖDERMANLANDS LÄN</t>
        </is>
      </c>
      <c r="E925" t="inlineStr">
        <is>
          <t>ESKILSTUNA</t>
        </is>
      </c>
      <c r="F925" t="inlineStr">
        <is>
          <t>Allmännings- och besparingsskogar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2982-2024</t>
        </is>
      </c>
      <c r="B926" s="1" t="n">
        <v>45315</v>
      </c>
      <c r="C926" s="1" t="n">
        <v>45473</v>
      </c>
      <c r="D926" t="inlineStr">
        <is>
          <t>SÖDERMANLANDS LÄN</t>
        </is>
      </c>
      <c r="E926" t="inlineStr">
        <is>
          <t>ESKILSTUNA</t>
        </is>
      </c>
      <c r="F926" t="inlineStr">
        <is>
          <t>Kyrkan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3478-2024</t>
        </is>
      </c>
      <c r="B927" s="1" t="n">
        <v>45320</v>
      </c>
      <c r="C927" s="1" t="n">
        <v>45473</v>
      </c>
      <c r="D927" t="inlineStr">
        <is>
          <t>SÖDERMANLANDS LÄN</t>
        </is>
      </c>
      <c r="E927" t="inlineStr">
        <is>
          <t>ESKILSTUNA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3848-2024</t>
        </is>
      </c>
      <c r="B928" s="1" t="n">
        <v>45322</v>
      </c>
      <c r="C928" s="1" t="n">
        <v>45473</v>
      </c>
      <c r="D928" t="inlineStr">
        <is>
          <t>SÖDERMANLANDS LÄN</t>
        </is>
      </c>
      <c r="E928" t="inlineStr">
        <is>
          <t>ESKILSTUNA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4037-2024</t>
        </is>
      </c>
      <c r="B929" s="1" t="n">
        <v>45323</v>
      </c>
      <c r="C929" s="1" t="n">
        <v>45473</v>
      </c>
      <c r="D929" t="inlineStr">
        <is>
          <t>SÖDERMANLANDS LÄN</t>
        </is>
      </c>
      <c r="E929" t="inlineStr">
        <is>
          <t>ESKILSTUNA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4307-2024</t>
        </is>
      </c>
      <c r="B930" s="1" t="n">
        <v>45324</v>
      </c>
      <c r="C930" s="1" t="n">
        <v>45473</v>
      </c>
      <c r="D930" t="inlineStr">
        <is>
          <t>SÖDERMANLANDS LÄN</t>
        </is>
      </c>
      <c r="E930" t="inlineStr">
        <is>
          <t>ESKILSTUNA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4305-2024</t>
        </is>
      </c>
      <c r="B931" s="1" t="n">
        <v>45324</v>
      </c>
      <c r="C931" s="1" t="n">
        <v>45473</v>
      </c>
      <c r="D931" t="inlineStr">
        <is>
          <t>SÖDERMANLANDS LÄN</t>
        </is>
      </c>
      <c r="E931" t="inlineStr">
        <is>
          <t>ESKILSTUNA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4977-2024</t>
        </is>
      </c>
      <c r="B932" s="1" t="n">
        <v>45329</v>
      </c>
      <c r="C932" s="1" t="n">
        <v>45473</v>
      </c>
      <c r="D932" t="inlineStr">
        <is>
          <t>SÖDERMANLANDS LÄN</t>
        </is>
      </c>
      <c r="E932" t="inlineStr">
        <is>
          <t>ESKILSTUNA</t>
        </is>
      </c>
      <c r="F932" t="inlineStr">
        <is>
          <t>Kyrkan</t>
        </is>
      </c>
      <c r="G932" t="n">
        <v>12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5041-2024</t>
        </is>
      </c>
      <c r="B933" s="1" t="n">
        <v>45329</v>
      </c>
      <c r="C933" s="1" t="n">
        <v>45473</v>
      </c>
      <c r="D933" t="inlineStr">
        <is>
          <t>SÖDERMANLANDS LÄN</t>
        </is>
      </c>
      <c r="E933" t="inlineStr">
        <is>
          <t>ESKILSTUNA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5044-2024</t>
        </is>
      </c>
      <c r="B934" s="1" t="n">
        <v>45329</v>
      </c>
      <c r="C934" s="1" t="n">
        <v>45473</v>
      </c>
      <c r="D934" t="inlineStr">
        <is>
          <t>SÖDERMANLANDS LÄN</t>
        </is>
      </c>
      <c r="E934" t="inlineStr">
        <is>
          <t>ESKILSTUNA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5694-2024</t>
        </is>
      </c>
      <c r="B935" s="1" t="n">
        <v>45334</v>
      </c>
      <c r="C935" s="1" t="n">
        <v>45473</v>
      </c>
      <c r="D935" t="inlineStr">
        <is>
          <t>SÖDERMANLANDS LÄN</t>
        </is>
      </c>
      <c r="E935" t="inlineStr">
        <is>
          <t>ESKILSTUNA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5695-2024</t>
        </is>
      </c>
      <c r="B936" s="1" t="n">
        <v>45334</v>
      </c>
      <c r="C936" s="1" t="n">
        <v>45473</v>
      </c>
      <c r="D936" t="inlineStr">
        <is>
          <t>SÖDERMANLANDS LÄN</t>
        </is>
      </c>
      <c r="E936" t="inlineStr">
        <is>
          <t>ESKILSTUNA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5757-2024</t>
        </is>
      </c>
      <c r="B937" s="1" t="n">
        <v>45335</v>
      </c>
      <c r="C937" s="1" t="n">
        <v>45473</v>
      </c>
      <c r="D937" t="inlineStr">
        <is>
          <t>SÖDERMANLANDS LÄN</t>
        </is>
      </c>
      <c r="E937" t="inlineStr">
        <is>
          <t>ESKILSTUNA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5827-2024</t>
        </is>
      </c>
      <c r="B938" s="1" t="n">
        <v>45335</v>
      </c>
      <c r="C938" s="1" t="n">
        <v>45473</v>
      </c>
      <c r="D938" t="inlineStr">
        <is>
          <t>SÖDERMANLANDS LÄN</t>
        </is>
      </c>
      <c r="E938" t="inlineStr">
        <is>
          <t>ESKILSTUNA</t>
        </is>
      </c>
      <c r="G938" t="n">
        <v>3.5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6598-2024</t>
        </is>
      </c>
      <c r="B939" s="1" t="n">
        <v>45341</v>
      </c>
      <c r="C939" s="1" t="n">
        <v>45473</v>
      </c>
      <c r="D939" t="inlineStr">
        <is>
          <t>SÖDERMANLANDS LÄN</t>
        </is>
      </c>
      <c r="E939" t="inlineStr">
        <is>
          <t>ESKILSTUNA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6558-2024</t>
        </is>
      </c>
      <c r="B940" s="1" t="n">
        <v>45341</v>
      </c>
      <c r="C940" s="1" t="n">
        <v>45473</v>
      </c>
      <c r="D940" t="inlineStr">
        <is>
          <t>SÖDERMANLANDS LÄN</t>
        </is>
      </c>
      <c r="E940" t="inlineStr">
        <is>
          <t>ESKILSTUNA</t>
        </is>
      </c>
      <c r="G940" t="n">
        <v>12.6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6562-2024</t>
        </is>
      </c>
      <c r="B941" s="1" t="n">
        <v>45341</v>
      </c>
      <c r="C941" s="1" t="n">
        <v>45473</v>
      </c>
      <c r="D941" t="inlineStr">
        <is>
          <t>SÖDERMANLANDS LÄN</t>
        </is>
      </c>
      <c r="E941" t="inlineStr">
        <is>
          <t>ESKILSTUNA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6659-2024</t>
        </is>
      </c>
      <c r="B942" s="1" t="n">
        <v>45341</v>
      </c>
      <c r="C942" s="1" t="n">
        <v>45473</v>
      </c>
      <c r="D942" t="inlineStr">
        <is>
          <t>SÖDERMANLANDS LÄN</t>
        </is>
      </c>
      <c r="E942" t="inlineStr">
        <is>
          <t>ESKILSTUNA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7000-2024</t>
        </is>
      </c>
      <c r="B943" s="1" t="n">
        <v>45343</v>
      </c>
      <c r="C943" s="1" t="n">
        <v>45473</v>
      </c>
      <c r="D943" t="inlineStr">
        <is>
          <t>SÖDERMANLANDS LÄN</t>
        </is>
      </c>
      <c r="E943" t="inlineStr">
        <is>
          <t>ESKILSTUNA</t>
        </is>
      </c>
      <c r="G943" t="n">
        <v>5.5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6991-2024</t>
        </is>
      </c>
      <c r="B944" s="1" t="n">
        <v>45343</v>
      </c>
      <c r="C944" s="1" t="n">
        <v>45473</v>
      </c>
      <c r="D944" t="inlineStr">
        <is>
          <t>SÖDERMANLANDS LÄN</t>
        </is>
      </c>
      <c r="E944" t="inlineStr">
        <is>
          <t>ESKILSTUNA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6953-2024</t>
        </is>
      </c>
      <c r="B945" s="1" t="n">
        <v>45343</v>
      </c>
      <c r="C945" s="1" t="n">
        <v>45473</v>
      </c>
      <c r="D945" t="inlineStr">
        <is>
          <t>SÖDERMANLANDS LÄN</t>
        </is>
      </c>
      <c r="E945" t="inlineStr">
        <is>
          <t>ESKILSTUNA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7406-2024</t>
        </is>
      </c>
      <c r="B946" s="1" t="n">
        <v>45345</v>
      </c>
      <c r="C946" s="1" t="n">
        <v>45473</v>
      </c>
      <c r="D946" t="inlineStr">
        <is>
          <t>SÖDERMANLANDS LÄN</t>
        </is>
      </c>
      <c r="E946" t="inlineStr">
        <is>
          <t>ESKILSTUNA</t>
        </is>
      </c>
      <c r="G946" t="n">
        <v>3.7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7331-2024</t>
        </is>
      </c>
      <c r="B947" s="1" t="n">
        <v>45345</v>
      </c>
      <c r="C947" s="1" t="n">
        <v>45473</v>
      </c>
      <c r="D947" t="inlineStr">
        <is>
          <t>SÖDERMANLANDS LÄN</t>
        </is>
      </c>
      <c r="E947" t="inlineStr">
        <is>
          <t>ESKILSTUNA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7409-2024</t>
        </is>
      </c>
      <c r="B948" s="1" t="n">
        <v>45345</v>
      </c>
      <c r="C948" s="1" t="n">
        <v>45473</v>
      </c>
      <c r="D948" t="inlineStr">
        <is>
          <t>SÖDERMANLANDS LÄN</t>
        </is>
      </c>
      <c r="E948" t="inlineStr">
        <is>
          <t>ESKILSTUNA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8143-2024</t>
        </is>
      </c>
      <c r="B949" s="1" t="n">
        <v>45351</v>
      </c>
      <c r="C949" s="1" t="n">
        <v>45473</v>
      </c>
      <c r="D949" t="inlineStr">
        <is>
          <t>SÖDERMANLANDS LÄN</t>
        </is>
      </c>
      <c r="E949" t="inlineStr">
        <is>
          <t>ESKILSTUNA</t>
        </is>
      </c>
      <c r="F949" t="inlineStr">
        <is>
          <t>Sveaskog</t>
        </is>
      </c>
      <c r="G949" t="n">
        <v>9.5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8464-2024</t>
        </is>
      </c>
      <c r="B950" s="1" t="n">
        <v>45355</v>
      </c>
      <c r="C950" s="1" t="n">
        <v>45473</v>
      </c>
      <c r="D950" t="inlineStr">
        <is>
          <t>SÖDERMANLANDS LÄN</t>
        </is>
      </c>
      <c r="E950" t="inlineStr">
        <is>
          <t>ESKILSTUNA</t>
        </is>
      </c>
      <c r="F950" t="inlineStr">
        <is>
          <t>Sveaskog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8604-2024</t>
        </is>
      </c>
      <c r="B951" s="1" t="n">
        <v>45355</v>
      </c>
      <c r="C951" s="1" t="n">
        <v>45473</v>
      </c>
      <c r="D951" t="inlineStr">
        <is>
          <t>SÖDERMANLANDS LÄN</t>
        </is>
      </c>
      <c r="E951" t="inlineStr">
        <is>
          <t>ESKILSTUNA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8463-2024</t>
        </is>
      </c>
      <c r="B952" s="1" t="n">
        <v>45355</v>
      </c>
      <c r="C952" s="1" t="n">
        <v>45473</v>
      </c>
      <c r="D952" t="inlineStr">
        <is>
          <t>SÖDERMANLANDS LÄN</t>
        </is>
      </c>
      <c r="E952" t="inlineStr">
        <is>
          <t>ESKILSTUNA</t>
        </is>
      </c>
      <c r="G952" t="n">
        <v>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9948-2024</t>
        </is>
      </c>
      <c r="B953" s="1" t="n">
        <v>45363</v>
      </c>
      <c r="C953" s="1" t="n">
        <v>45473</v>
      </c>
      <c r="D953" t="inlineStr">
        <is>
          <t>SÖDERMANLANDS LÄN</t>
        </is>
      </c>
      <c r="E953" t="inlineStr">
        <is>
          <t>ESKILSTUNA</t>
        </is>
      </c>
      <c r="F953" t="inlineStr">
        <is>
          <t>Allmännings- och besparingsskogar</t>
        </is>
      </c>
      <c r="G953" t="n">
        <v>3.8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9875-2024</t>
        </is>
      </c>
      <c r="B954" s="1" t="n">
        <v>45363</v>
      </c>
      <c r="C954" s="1" t="n">
        <v>45473</v>
      </c>
      <c r="D954" t="inlineStr">
        <is>
          <t>SÖDERMANLANDS LÄN</t>
        </is>
      </c>
      <c r="E954" t="inlineStr">
        <is>
          <t>ESKILSTUNA</t>
        </is>
      </c>
      <c r="F954" t="inlineStr">
        <is>
          <t>Allmännings- och besparingsskogar</t>
        </is>
      </c>
      <c r="G954" t="n">
        <v>4.3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9997-2024</t>
        </is>
      </c>
      <c r="B955" s="1" t="n">
        <v>45363</v>
      </c>
      <c r="C955" s="1" t="n">
        <v>45473</v>
      </c>
      <c r="D955" t="inlineStr">
        <is>
          <t>SÖDERMANLANDS LÄN</t>
        </is>
      </c>
      <c r="E955" t="inlineStr">
        <is>
          <t>ESKILSTUNA</t>
        </is>
      </c>
      <c r="F955" t="inlineStr">
        <is>
          <t>Allmännings- och besparingsskogar</t>
        </is>
      </c>
      <c r="G955" t="n">
        <v>2.7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10019-2024</t>
        </is>
      </c>
      <c r="B956" s="1" t="n">
        <v>45363</v>
      </c>
      <c r="C956" s="1" t="n">
        <v>45473</v>
      </c>
      <c r="D956" t="inlineStr">
        <is>
          <t>SÖDERMANLANDS LÄN</t>
        </is>
      </c>
      <c r="E956" t="inlineStr">
        <is>
          <t>ESKILSTUNA</t>
        </is>
      </c>
      <c r="F956" t="inlineStr">
        <is>
          <t>Allmännings- och besparingsskogar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10010-2024</t>
        </is>
      </c>
      <c r="B957" s="1" t="n">
        <v>45363</v>
      </c>
      <c r="C957" s="1" t="n">
        <v>45473</v>
      </c>
      <c r="D957" t="inlineStr">
        <is>
          <t>SÖDERMANLANDS LÄN</t>
        </is>
      </c>
      <c r="E957" t="inlineStr">
        <is>
          <t>ESKILSTUNA</t>
        </is>
      </c>
      <c r="F957" t="inlineStr">
        <is>
          <t>Allmännings- och besparingsskogar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10065-2024</t>
        </is>
      </c>
      <c r="B958" s="1" t="n">
        <v>45364</v>
      </c>
      <c r="C958" s="1" t="n">
        <v>45473</v>
      </c>
      <c r="D958" t="inlineStr">
        <is>
          <t>SÖDERMANLANDS LÄN</t>
        </is>
      </c>
      <c r="E958" t="inlineStr">
        <is>
          <t>ESKILSTUNA</t>
        </is>
      </c>
      <c r="F958" t="inlineStr">
        <is>
          <t>Allmännings- och besparingsskogar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10097-2024</t>
        </is>
      </c>
      <c r="B959" s="1" t="n">
        <v>45364</v>
      </c>
      <c r="C959" s="1" t="n">
        <v>45473</v>
      </c>
      <c r="D959" t="inlineStr">
        <is>
          <t>SÖDERMANLANDS LÄN</t>
        </is>
      </c>
      <c r="E959" t="inlineStr">
        <is>
          <t>ESKILSTUNA</t>
        </is>
      </c>
      <c r="F959" t="inlineStr">
        <is>
          <t>Allmännings- och besparingsskogar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10144-2024</t>
        </is>
      </c>
      <c r="B960" s="1" t="n">
        <v>45364</v>
      </c>
      <c r="C960" s="1" t="n">
        <v>45473</v>
      </c>
      <c r="D960" t="inlineStr">
        <is>
          <t>SÖDERMANLANDS LÄN</t>
        </is>
      </c>
      <c r="E960" t="inlineStr">
        <is>
          <t>ESKILSTUNA</t>
        </is>
      </c>
      <c r="F960" t="inlineStr">
        <is>
          <t>Allmännings- och besparingsskogar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10156-2024</t>
        </is>
      </c>
      <c r="B961" s="1" t="n">
        <v>45364</v>
      </c>
      <c r="C961" s="1" t="n">
        <v>45473</v>
      </c>
      <c r="D961" t="inlineStr">
        <is>
          <t>SÖDERMANLANDS LÄN</t>
        </is>
      </c>
      <c r="E961" t="inlineStr">
        <is>
          <t>ESKILSTUNA</t>
        </is>
      </c>
      <c r="F961" t="inlineStr">
        <is>
          <t>Kommuner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10078-2024</t>
        </is>
      </c>
      <c r="B962" s="1" t="n">
        <v>45364</v>
      </c>
      <c r="C962" s="1" t="n">
        <v>45473</v>
      </c>
      <c r="D962" t="inlineStr">
        <is>
          <t>SÖDERMANLANDS LÄN</t>
        </is>
      </c>
      <c r="E962" t="inlineStr">
        <is>
          <t>ESKILSTUNA</t>
        </is>
      </c>
      <c r="F962" t="inlineStr">
        <is>
          <t>Allmännings- och besparingsskogar</t>
        </is>
      </c>
      <c r="G962" t="n">
        <v>4.8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10063-2024</t>
        </is>
      </c>
      <c r="B963" s="1" t="n">
        <v>45364</v>
      </c>
      <c r="C963" s="1" t="n">
        <v>45473</v>
      </c>
      <c r="D963" t="inlineStr">
        <is>
          <t>SÖDERMANLANDS LÄN</t>
        </is>
      </c>
      <c r="E963" t="inlineStr">
        <is>
          <t>ESKILSTUNA</t>
        </is>
      </c>
      <c r="F963" t="inlineStr">
        <is>
          <t>Allmännings- och besparingsskogar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10154-2024</t>
        </is>
      </c>
      <c r="B964" s="1" t="n">
        <v>45364</v>
      </c>
      <c r="C964" s="1" t="n">
        <v>45473</v>
      </c>
      <c r="D964" t="inlineStr">
        <is>
          <t>SÖDERMANLANDS LÄN</t>
        </is>
      </c>
      <c r="E964" t="inlineStr">
        <is>
          <t>ESKILSTUNA</t>
        </is>
      </c>
      <c r="F964" t="inlineStr">
        <is>
          <t>Kommuner</t>
        </is>
      </c>
      <c r="G964" t="n">
        <v>9.199999999999999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10088-2024</t>
        </is>
      </c>
      <c r="B965" s="1" t="n">
        <v>45364</v>
      </c>
      <c r="C965" s="1" t="n">
        <v>45473</v>
      </c>
      <c r="D965" t="inlineStr">
        <is>
          <t>SÖDERMANLANDS LÄN</t>
        </is>
      </c>
      <c r="E965" t="inlineStr">
        <is>
          <t>ESKILSTUNA</t>
        </is>
      </c>
      <c r="F965" t="inlineStr">
        <is>
          <t>Allmännings- och besparingsskogar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10104-2024</t>
        </is>
      </c>
      <c r="B966" s="1" t="n">
        <v>45364</v>
      </c>
      <c r="C966" s="1" t="n">
        <v>45473</v>
      </c>
      <c r="D966" t="inlineStr">
        <is>
          <t>SÖDERMANLANDS LÄN</t>
        </is>
      </c>
      <c r="E966" t="inlineStr">
        <is>
          <t>ESKILSTUNA</t>
        </is>
      </c>
      <c r="F966" t="inlineStr">
        <is>
          <t>Allmännings- och besparingsskogar</t>
        </is>
      </c>
      <c r="G966" t="n">
        <v>10.3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10272-2024</t>
        </is>
      </c>
      <c r="B967" s="1" t="n">
        <v>45365</v>
      </c>
      <c r="C967" s="1" t="n">
        <v>45473</v>
      </c>
      <c r="D967" t="inlineStr">
        <is>
          <t>SÖDERMANLANDS LÄN</t>
        </is>
      </c>
      <c r="E967" t="inlineStr">
        <is>
          <t>ESKILSTUNA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10271-2024</t>
        </is>
      </c>
      <c r="B968" s="1" t="n">
        <v>45365</v>
      </c>
      <c r="C968" s="1" t="n">
        <v>45473</v>
      </c>
      <c r="D968" t="inlineStr">
        <is>
          <t>SÖDERMANLANDS LÄN</t>
        </is>
      </c>
      <c r="E968" t="inlineStr">
        <is>
          <t>ESKILSTUNA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10352-2024</t>
        </is>
      </c>
      <c r="B969" s="1" t="n">
        <v>45365</v>
      </c>
      <c r="C969" s="1" t="n">
        <v>45473</v>
      </c>
      <c r="D969" t="inlineStr">
        <is>
          <t>SÖDERMANLANDS LÄN</t>
        </is>
      </c>
      <c r="E969" t="inlineStr">
        <is>
          <t>ESKILSTUNA</t>
        </is>
      </c>
      <c r="G969" t="n">
        <v>5.3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10661-2024</t>
        </is>
      </c>
      <c r="B970" s="1" t="n">
        <v>45369</v>
      </c>
      <c r="C970" s="1" t="n">
        <v>45473</v>
      </c>
      <c r="D970" t="inlineStr">
        <is>
          <t>SÖDERMANLANDS LÄN</t>
        </is>
      </c>
      <c r="E970" t="inlineStr">
        <is>
          <t>ESKILSTUNA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10692-2024</t>
        </is>
      </c>
      <c r="B971" s="1" t="n">
        <v>45369</v>
      </c>
      <c r="C971" s="1" t="n">
        <v>45473</v>
      </c>
      <c r="D971" t="inlineStr">
        <is>
          <t>SÖDERMANLANDS LÄN</t>
        </is>
      </c>
      <c r="E971" t="inlineStr">
        <is>
          <t>ESKILSTUNA</t>
        </is>
      </c>
      <c r="G971" t="n">
        <v>5.2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11928-2024</t>
        </is>
      </c>
      <c r="B972" s="1" t="n">
        <v>45376</v>
      </c>
      <c r="C972" s="1" t="n">
        <v>45473</v>
      </c>
      <c r="D972" t="inlineStr">
        <is>
          <t>SÖDERMANLANDS LÄN</t>
        </is>
      </c>
      <c r="E972" t="inlineStr">
        <is>
          <t>ESKILSTUNA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12153-2024</t>
        </is>
      </c>
      <c r="B973" s="1" t="n">
        <v>45377</v>
      </c>
      <c r="C973" s="1" t="n">
        <v>45473</v>
      </c>
      <c r="D973" t="inlineStr">
        <is>
          <t>SÖDERMANLANDS LÄN</t>
        </is>
      </c>
      <c r="E973" t="inlineStr">
        <is>
          <t>ESKILSTUNA</t>
        </is>
      </c>
      <c r="F973" t="inlineStr">
        <is>
          <t>Allmännings- och besparingsskogar</t>
        </is>
      </c>
      <c r="G973" t="n">
        <v>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12451-2024</t>
        </is>
      </c>
      <c r="B974" s="1" t="n">
        <v>45379</v>
      </c>
      <c r="C974" s="1" t="n">
        <v>45473</v>
      </c>
      <c r="D974" t="inlineStr">
        <is>
          <t>SÖDERMANLANDS LÄN</t>
        </is>
      </c>
      <c r="E974" t="inlineStr">
        <is>
          <t>ESKILSTUNA</t>
        </is>
      </c>
      <c r="F974" t="inlineStr">
        <is>
          <t>Allmännings- och besparingsskogar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12665-2024</t>
        </is>
      </c>
      <c r="B975" s="1" t="n">
        <v>45384</v>
      </c>
      <c r="C975" s="1" t="n">
        <v>45473</v>
      </c>
      <c r="D975" t="inlineStr">
        <is>
          <t>SÖDERMANLANDS LÄN</t>
        </is>
      </c>
      <c r="E975" t="inlineStr">
        <is>
          <t>ESKILSTUNA</t>
        </is>
      </c>
      <c r="F975" t="inlineStr">
        <is>
          <t>Allmännings- och besparingsskogar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12984-2024</t>
        </is>
      </c>
      <c r="B976" s="1" t="n">
        <v>45385</v>
      </c>
      <c r="C976" s="1" t="n">
        <v>45473</v>
      </c>
      <c r="D976" t="inlineStr">
        <is>
          <t>SÖDERMANLANDS LÄN</t>
        </is>
      </c>
      <c r="E976" t="inlineStr">
        <is>
          <t>ESKILSTUNA</t>
        </is>
      </c>
      <c r="F976" t="inlineStr">
        <is>
          <t>Allmännings- och besparingsskogar</t>
        </is>
      </c>
      <c r="G976" t="n">
        <v>6.4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13428-2024</t>
        </is>
      </c>
      <c r="B977" s="1" t="n">
        <v>45387</v>
      </c>
      <c r="C977" s="1" t="n">
        <v>45473</v>
      </c>
      <c r="D977" t="inlineStr">
        <is>
          <t>SÖDERMANLANDS LÄN</t>
        </is>
      </c>
      <c r="E977" t="inlineStr">
        <is>
          <t>ESKILSTUNA</t>
        </is>
      </c>
      <c r="G977" t="n">
        <v>7.8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13495-2024</t>
        </is>
      </c>
      <c r="B978" s="1" t="n">
        <v>45387</v>
      </c>
      <c r="C978" s="1" t="n">
        <v>45473</v>
      </c>
      <c r="D978" t="inlineStr">
        <is>
          <t>SÖDERMANLANDS LÄN</t>
        </is>
      </c>
      <c r="E978" t="inlineStr">
        <is>
          <t>ESKILSTUNA</t>
        </is>
      </c>
      <c r="F978" t="inlineStr">
        <is>
          <t>Kyrkan</t>
        </is>
      </c>
      <c r="G978" t="n">
        <v>6.9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13426-2024</t>
        </is>
      </c>
      <c r="B979" s="1" t="n">
        <v>45387</v>
      </c>
      <c r="C979" s="1" t="n">
        <v>45473</v>
      </c>
      <c r="D979" t="inlineStr">
        <is>
          <t>SÖDERMANLANDS LÄN</t>
        </is>
      </c>
      <c r="E979" t="inlineStr">
        <is>
          <t>ESKILSTUNA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13422-2024</t>
        </is>
      </c>
      <c r="B980" s="1" t="n">
        <v>45387</v>
      </c>
      <c r="C980" s="1" t="n">
        <v>45473</v>
      </c>
      <c r="D980" t="inlineStr">
        <is>
          <t>SÖDERMANLANDS LÄN</t>
        </is>
      </c>
      <c r="E980" t="inlineStr">
        <is>
          <t>ESKILSTUNA</t>
        </is>
      </c>
      <c r="G980" t="n">
        <v>3.7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13429-2024</t>
        </is>
      </c>
      <c r="B981" s="1" t="n">
        <v>45387</v>
      </c>
      <c r="C981" s="1" t="n">
        <v>45473</v>
      </c>
      <c r="D981" t="inlineStr">
        <is>
          <t>SÖDERMANLANDS LÄN</t>
        </is>
      </c>
      <c r="E981" t="inlineStr">
        <is>
          <t>ESKILSTUNA</t>
        </is>
      </c>
      <c r="G981" t="n">
        <v>7.8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14082-2024</t>
        </is>
      </c>
      <c r="B982" s="1" t="n">
        <v>45392</v>
      </c>
      <c r="C982" s="1" t="n">
        <v>45473</v>
      </c>
      <c r="D982" t="inlineStr">
        <is>
          <t>SÖDERMANLANDS LÄN</t>
        </is>
      </c>
      <c r="E982" t="inlineStr">
        <is>
          <t>ESKILSTUNA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16178-2024</t>
        </is>
      </c>
      <c r="B983" s="1" t="n">
        <v>45406</v>
      </c>
      <c r="C983" s="1" t="n">
        <v>45473</v>
      </c>
      <c r="D983" t="inlineStr">
        <is>
          <t>SÖDERMANLANDS LÄN</t>
        </is>
      </c>
      <c r="E983" t="inlineStr">
        <is>
          <t>ESKILSTUNA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16191-2024</t>
        </is>
      </c>
      <c r="B984" s="1" t="n">
        <v>45406</v>
      </c>
      <c r="C984" s="1" t="n">
        <v>45473</v>
      </c>
      <c r="D984" t="inlineStr">
        <is>
          <t>SÖDERMANLANDS LÄN</t>
        </is>
      </c>
      <c r="E984" t="inlineStr">
        <is>
          <t>ESKILSTUNA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16182-2024</t>
        </is>
      </c>
      <c r="B985" s="1" t="n">
        <v>45406</v>
      </c>
      <c r="C985" s="1" t="n">
        <v>45473</v>
      </c>
      <c r="D985" t="inlineStr">
        <is>
          <t>SÖDERMANLANDS LÄN</t>
        </is>
      </c>
      <c r="E985" t="inlineStr">
        <is>
          <t>ESKILSTUNA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16194-2024</t>
        </is>
      </c>
      <c r="B986" s="1" t="n">
        <v>45406</v>
      </c>
      <c r="C986" s="1" t="n">
        <v>45473</v>
      </c>
      <c r="D986" t="inlineStr">
        <is>
          <t>SÖDERMANLANDS LÄN</t>
        </is>
      </c>
      <c r="E986" t="inlineStr">
        <is>
          <t>ESKILSTUNA</t>
        </is>
      </c>
      <c r="G986" t="n">
        <v>5.3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16188-2024</t>
        </is>
      </c>
      <c r="B987" s="1" t="n">
        <v>45406</v>
      </c>
      <c r="C987" s="1" t="n">
        <v>45473</v>
      </c>
      <c r="D987" t="inlineStr">
        <is>
          <t>SÖDERMANLANDS LÄN</t>
        </is>
      </c>
      <c r="E987" t="inlineStr">
        <is>
          <t>ESKILSTUNA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16339-2024</t>
        </is>
      </c>
      <c r="B988" s="1" t="n">
        <v>45407</v>
      </c>
      <c r="C988" s="1" t="n">
        <v>45473</v>
      </c>
      <c r="D988" t="inlineStr">
        <is>
          <t>SÖDERMANLANDS LÄN</t>
        </is>
      </c>
      <c r="E988" t="inlineStr">
        <is>
          <t>ESKILSTUNA</t>
        </is>
      </c>
      <c r="G988" t="n">
        <v>3.9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16337-2024</t>
        </is>
      </c>
      <c r="B989" s="1" t="n">
        <v>45407</v>
      </c>
      <c r="C989" s="1" t="n">
        <v>45473</v>
      </c>
      <c r="D989" t="inlineStr">
        <is>
          <t>SÖDERMANLANDS LÄN</t>
        </is>
      </c>
      <c r="E989" t="inlineStr">
        <is>
          <t>ESKILSTUNA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16941-2024</t>
        </is>
      </c>
      <c r="B990" s="1" t="n">
        <v>45411</v>
      </c>
      <c r="C990" s="1" t="n">
        <v>45473</v>
      </c>
      <c r="D990" t="inlineStr">
        <is>
          <t>SÖDERMANLANDS LÄN</t>
        </is>
      </c>
      <c r="E990" t="inlineStr">
        <is>
          <t>ESKILSTUNA</t>
        </is>
      </c>
      <c r="F990" t="inlineStr">
        <is>
          <t>Kyrkan</t>
        </is>
      </c>
      <c r="G990" t="n">
        <v>3.2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17350-2024</t>
        </is>
      </c>
      <c r="B991" s="1" t="n">
        <v>45414</v>
      </c>
      <c r="C991" s="1" t="n">
        <v>45473</v>
      </c>
      <c r="D991" t="inlineStr">
        <is>
          <t>SÖDERMANLANDS LÄN</t>
        </is>
      </c>
      <c r="E991" t="inlineStr">
        <is>
          <t>ESKILSTUNA</t>
        </is>
      </c>
      <c r="F991" t="inlineStr">
        <is>
          <t>Sveaskog</t>
        </is>
      </c>
      <c r="G991" t="n">
        <v>5.9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  <c r="U991">
        <f>HYPERLINK("https://klasma.github.io/Logging_0484/knärot/A 17350-2024 karta knärot.png", "A 17350-2024")</f>
        <v/>
      </c>
      <c r="V991">
        <f>HYPERLINK("https://klasma.github.io/Logging_0484/klagomål/A 17350-2024 FSC-klagomål.docx", "A 17350-2024")</f>
        <v/>
      </c>
      <c r="W991">
        <f>HYPERLINK("https://klasma.github.io/Logging_0484/klagomålsmail/A 17350-2024 FSC-klagomål mail.docx", "A 17350-2024")</f>
        <v/>
      </c>
      <c r="X991">
        <f>HYPERLINK("https://klasma.github.io/Logging_0484/tillsyn/A 17350-2024 tillsynsbegäran.docx", "A 17350-2024")</f>
        <v/>
      </c>
      <c r="Y991">
        <f>HYPERLINK("https://klasma.github.io/Logging_0484/tillsynsmail/A 17350-2024 tillsynsbegäran mail.docx", "A 17350-2024")</f>
        <v/>
      </c>
    </row>
    <row r="992" ht="15" customHeight="1">
      <c r="A992" t="inlineStr">
        <is>
          <t>A 17362-2024</t>
        </is>
      </c>
      <c r="B992" s="1" t="n">
        <v>45414</v>
      </c>
      <c r="C992" s="1" t="n">
        <v>45473</v>
      </c>
      <c r="D992" t="inlineStr">
        <is>
          <t>SÖDERMANLANDS LÄN</t>
        </is>
      </c>
      <c r="E992" t="inlineStr">
        <is>
          <t>ESKILSTUNA</t>
        </is>
      </c>
      <c r="F992" t="inlineStr">
        <is>
          <t>Sveaskog</t>
        </is>
      </c>
      <c r="G992" t="n">
        <v>3.4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19501-2024</t>
        </is>
      </c>
      <c r="B993" s="1" t="n">
        <v>45429</v>
      </c>
      <c r="C993" s="1" t="n">
        <v>45473</v>
      </c>
      <c r="D993" t="inlineStr">
        <is>
          <t>SÖDERMANLANDS LÄN</t>
        </is>
      </c>
      <c r="E993" t="inlineStr">
        <is>
          <t>ESKILSTUNA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19494-2024</t>
        </is>
      </c>
      <c r="B994" s="1" t="n">
        <v>45429</v>
      </c>
      <c r="C994" s="1" t="n">
        <v>45473</v>
      </c>
      <c r="D994" t="inlineStr">
        <is>
          <t>SÖDERMANLANDS LÄN</t>
        </is>
      </c>
      <c r="E994" t="inlineStr">
        <is>
          <t>ESKILSTUNA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19502-2024</t>
        </is>
      </c>
      <c r="B995" s="1" t="n">
        <v>45429</v>
      </c>
      <c r="C995" s="1" t="n">
        <v>45473</v>
      </c>
      <c r="D995" t="inlineStr">
        <is>
          <t>SÖDERMANLANDS LÄN</t>
        </is>
      </c>
      <c r="E995" t="inlineStr">
        <is>
          <t>ESKILSTUNA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19504-2024</t>
        </is>
      </c>
      <c r="B996" s="1" t="n">
        <v>45429</v>
      </c>
      <c r="C996" s="1" t="n">
        <v>45473</v>
      </c>
      <c r="D996" t="inlineStr">
        <is>
          <t>SÖDERMANLANDS LÄN</t>
        </is>
      </c>
      <c r="E996" t="inlineStr">
        <is>
          <t>ESKILSTUNA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19523-2024</t>
        </is>
      </c>
      <c r="B997" s="1" t="n">
        <v>45429</v>
      </c>
      <c r="C997" s="1" t="n">
        <v>45473</v>
      </c>
      <c r="D997" t="inlineStr">
        <is>
          <t>SÖDERMANLANDS LÄN</t>
        </is>
      </c>
      <c r="E997" t="inlineStr">
        <is>
          <t>ESKILSTUNA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19735-2024</t>
        </is>
      </c>
      <c r="B998" s="1" t="n">
        <v>45432</v>
      </c>
      <c r="C998" s="1" t="n">
        <v>45473</v>
      </c>
      <c r="D998" t="inlineStr">
        <is>
          <t>SÖDERMANLANDS LÄN</t>
        </is>
      </c>
      <c r="E998" t="inlineStr">
        <is>
          <t>ESKILSTUNA</t>
        </is>
      </c>
      <c r="F998" t="inlineStr">
        <is>
          <t>Sveaskog</t>
        </is>
      </c>
      <c r="G998" t="n">
        <v>7.6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20355-2024</t>
        </is>
      </c>
      <c r="B999" s="1" t="n">
        <v>45435</v>
      </c>
      <c r="C999" s="1" t="n">
        <v>45473</v>
      </c>
      <c r="D999" t="inlineStr">
        <is>
          <t>SÖDERMANLANDS LÄN</t>
        </is>
      </c>
      <c r="E999" t="inlineStr">
        <is>
          <t>ESKILSTUNA</t>
        </is>
      </c>
      <c r="G999" t="n">
        <v>0.4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24034-2024</t>
        </is>
      </c>
      <c r="B1000" s="1" t="n">
        <v>45456</v>
      </c>
      <c r="C1000" s="1" t="n">
        <v>45473</v>
      </c>
      <c r="D1000" t="inlineStr">
        <is>
          <t>SÖDERMANLANDS LÄN</t>
        </is>
      </c>
      <c r="E1000" t="inlineStr">
        <is>
          <t>ESKILSTUNA</t>
        </is>
      </c>
      <c r="G1000" t="n">
        <v>5.4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24519-2024</t>
        </is>
      </c>
      <c r="B1001" s="1" t="n">
        <v>45460</v>
      </c>
      <c r="C1001" s="1" t="n">
        <v>45473</v>
      </c>
      <c r="D1001" t="inlineStr">
        <is>
          <t>SÖDERMANLANDS LÄN</t>
        </is>
      </c>
      <c r="E1001" t="inlineStr">
        <is>
          <t>ESKILSTUNA</t>
        </is>
      </c>
      <c r="G1001" t="n">
        <v>3.6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24857-2024</t>
        </is>
      </c>
      <c r="B1002" s="1" t="n">
        <v>45461</v>
      </c>
      <c r="C1002" s="1" t="n">
        <v>45473</v>
      </c>
      <c r="D1002" t="inlineStr">
        <is>
          <t>SÖDERMANLANDS LÄN</t>
        </is>
      </c>
      <c r="E1002" t="inlineStr">
        <is>
          <t>ESKILSTUNA</t>
        </is>
      </c>
      <c r="G1002" t="n">
        <v>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25673-2024</t>
        </is>
      </c>
      <c r="B1003" s="1" t="n">
        <v>45463</v>
      </c>
      <c r="C1003" s="1" t="n">
        <v>45473</v>
      </c>
      <c r="D1003" t="inlineStr">
        <is>
          <t>SÖDERMANLANDS LÄN</t>
        </is>
      </c>
      <c r="E1003" t="inlineStr">
        <is>
          <t>ESKILSTUNA</t>
        </is>
      </c>
      <c r="F1003" t="inlineStr">
        <is>
          <t>Övriga Aktiebolag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25674-2024</t>
        </is>
      </c>
      <c r="B1004" s="1" t="n">
        <v>45463</v>
      </c>
      <c r="C1004" s="1" t="n">
        <v>45473</v>
      </c>
      <c r="D1004" t="inlineStr">
        <is>
          <t>SÖDERMANLANDS LÄN</t>
        </is>
      </c>
      <c r="E1004" t="inlineStr">
        <is>
          <t>ESKILSTUNA</t>
        </is>
      </c>
      <c r="F1004" t="inlineStr">
        <is>
          <t>Övriga Aktiebolag</t>
        </is>
      </c>
      <c r="G1004" t="n">
        <v>3.4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25730-2024</t>
        </is>
      </c>
      <c r="B1005" s="1" t="n">
        <v>45464</v>
      </c>
      <c r="C1005" s="1" t="n">
        <v>45473</v>
      </c>
      <c r="D1005" t="inlineStr">
        <is>
          <t>SÖDERMANLANDS LÄN</t>
        </is>
      </c>
      <c r="E1005" t="inlineStr">
        <is>
          <t>ESKILSTUNA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25732-2024</t>
        </is>
      </c>
      <c r="B1006" s="1" t="n">
        <v>45464</v>
      </c>
      <c r="C1006" s="1" t="n">
        <v>45473</v>
      </c>
      <c r="D1006" t="inlineStr">
        <is>
          <t>SÖDERMANLANDS LÄN</t>
        </is>
      </c>
      <c r="E1006" t="inlineStr">
        <is>
          <t>ESKILSTUNA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25731-2024</t>
        </is>
      </c>
      <c r="B1007" s="1" t="n">
        <v>45464</v>
      </c>
      <c r="C1007" s="1" t="n">
        <v>45473</v>
      </c>
      <c r="D1007" t="inlineStr">
        <is>
          <t>SÖDERMANLANDS LÄN</t>
        </is>
      </c>
      <c r="E1007" t="inlineStr">
        <is>
          <t>ESKILSTUNA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25908-2024</t>
        </is>
      </c>
      <c r="B1008" s="1" t="n">
        <v>45467</v>
      </c>
      <c r="C1008" s="1" t="n">
        <v>45473</v>
      </c>
      <c r="D1008" t="inlineStr">
        <is>
          <t>SÖDERMANLANDS LÄN</t>
        </is>
      </c>
      <c r="E1008" t="inlineStr">
        <is>
          <t>ESKILSTUNA</t>
        </is>
      </c>
      <c r="G1008" t="n">
        <v>12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>
      <c r="A1009" t="inlineStr">
        <is>
          <t>A 25912-2024</t>
        </is>
      </c>
      <c r="B1009" s="1" t="n">
        <v>45467</v>
      </c>
      <c r="C1009" s="1" t="n">
        <v>45473</v>
      </c>
      <c r="D1009" t="inlineStr">
        <is>
          <t>SÖDERMANLANDS LÄN</t>
        </is>
      </c>
      <c r="E1009" t="inlineStr">
        <is>
          <t>ESKILSTUNA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2024-06-30T10:01:22Z</dcterms:created>
  <dcterms:modified xmlns:dcterms="http://purl.org/dc/terms/" xmlns:xsi="http://www.w3.org/2001/XMLSchema-instance" xsi:type="dcterms:W3CDTF">2024-06-30T10:01:22Z</dcterms:modified>
</cp:coreProperties>
</file>