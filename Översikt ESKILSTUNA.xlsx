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45825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45825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45825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45825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45825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45825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45825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45825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45825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45825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45825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45825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45825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45825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45825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45825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45825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45825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45825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45825</v>
      </c>
      <c r="D21" t="inlineStr">
        <is>
          <t>SÖDERMANLANDS LÄN</t>
        </is>
      </c>
      <c r="E21" t="inlineStr">
        <is>
          <t>ESKILSTUNA</t>
        </is>
      </c>
      <c r="G21" t="n">
        <v>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Mindre hackspett
Spillkråka
Tallticka
Gullgröppa
Mindre märgborre
Kungsfågel</t>
        </is>
      </c>
      <c r="S21">
        <f>HYPERLINK("https://klasma.github.io/Logging_040484/artfynd/A 18484-2025 artfynd.xlsx", "A 18484-2025")</f>
        <v/>
      </c>
      <c r="T21">
        <f>HYPERLINK("https://klasma.github.io/Logging_040484/kartor/A 18484-2025 karta.png", "A 18484-2025")</f>
        <v/>
      </c>
      <c r="V21">
        <f>HYPERLINK("https://klasma.github.io/Logging_040484/klagomål/A 18484-2025 FSC-klagomål.docx", "A 18484-2025")</f>
        <v/>
      </c>
      <c r="W21">
        <f>HYPERLINK("https://klasma.github.io/Logging_040484/klagomålsmail/A 18484-2025 FSC-klagomål mail.docx", "A 18484-2025")</f>
        <v/>
      </c>
      <c r="X21">
        <f>HYPERLINK("https://klasma.github.io/Logging_040484/tillsyn/A 18484-2025 tillsynsbegäran.docx", "A 18484-2025")</f>
        <v/>
      </c>
      <c r="Y21">
        <f>HYPERLINK("https://klasma.github.io/Logging_040484/tillsynsmail/A 18484-2025 tillsynsbegäran mail.docx", "A 18484-2025")</f>
        <v/>
      </c>
      <c r="Z21">
        <f>HYPERLINK("https://klasma.github.io/Logging_040484/fåglar/A 18484-2025 prioriterade fågelarter.docx", "A 18484-2025")</f>
        <v/>
      </c>
    </row>
    <row r="22" ht="15" customHeight="1">
      <c r="A22" t="inlineStr">
        <is>
          <t>A 49457-2020</t>
        </is>
      </c>
      <c r="B22" s="1" t="n">
        <v>44105</v>
      </c>
      <c r="C22" s="1" t="n">
        <v>45825</v>
      </c>
      <c r="D22" t="inlineStr">
        <is>
          <t>SÖDERMANLANDS LÄN</t>
        </is>
      </c>
      <c r="E22" t="inlineStr">
        <is>
          <t>ESKILSTUNA</t>
        </is>
      </c>
      <c r="G22" t="n">
        <v>11.6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Leptoporus erubescens
Spillkråka
Tallticka
Blodticka
Mindre märgborre</t>
        </is>
      </c>
      <c r="S22">
        <f>HYPERLINK("https://klasma.github.io/Logging_0484/artfynd/A 49457-2020 artfynd.xlsx", "A 49457-2020")</f>
        <v/>
      </c>
      <c r="T22">
        <f>HYPERLINK("https://klasma.github.io/Logging_0484/kartor/A 49457-2020 karta.png", "A 49457-2020")</f>
        <v/>
      </c>
      <c r="V22">
        <f>HYPERLINK("https://klasma.github.io/Logging_0484/klagomål/A 49457-2020 FSC-klagomål.docx", "A 49457-2020")</f>
        <v/>
      </c>
      <c r="W22">
        <f>HYPERLINK("https://klasma.github.io/Logging_0484/klagomålsmail/A 49457-2020 FSC-klagomål mail.docx", "A 49457-2020")</f>
        <v/>
      </c>
      <c r="X22">
        <f>HYPERLINK("https://klasma.github.io/Logging_0484/tillsyn/A 49457-2020 tillsynsbegäran.docx", "A 49457-2020")</f>
        <v/>
      </c>
      <c r="Y22">
        <f>HYPERLINK("https://klasma.github.io/Logging_0484/tillsynsmail/A 49457-2020 tillsynsbegäran mail.docx", "A 49457-2020")</f>
        <v/>
      </c>
      <c r="Z22">
        <f>HYPERLINK("https://klasma.github.io/Logging_0484/fåglar/A 49457-2020 prioriterade fågelarter.docx", "A 49457-2020")</f>
        <v/>
      </c>
    </row>
    <row r="23" ht="15" customHeight="1">
      <c r="A23" t="inlineStr">
        <is>
          <t>A 37981-2022</t>
        </is>
      </c>
      <c r="B23" s="1" t="n">
        <v>44811</v>
      </c>
      <c r="C23" s="1" t="n">
        <v>45825</v>
      </c>
      <c r="D23" t="inlineStr">
        <is>
          <t>SÖDERMANLANDS LÄN</t>
        </is>
      </c>
      <c r="E23" t="inlineStr">
        <is>
          <t>ESKILSTUNA</t>
        </is>
      </c>
      <c r="G23" t="n">
        <v>3.7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Vippärt
Ängsskära
Vårärt
Blåsippa
Gullviva</t>
        </is>
      </c>
      <c r="S23">
        <f>HYPERLINK("https://klasma.github.io/Logging_0484/artfynd/A 37981-2022 artfynd.xlsx", "A 37981-2022")</f>
        <v/>
      </c>
      <c r="T23">
        <f>HYPERLINK("https://klasma.github.io/Logging_0484/kartor/A 37981-2022 karta.png", "A 37981-2022")</f>
        <v/>
      </c>
      <c r="V23">
        <f>HYPERLINK("https://klasma.github.io/Logging_0484/klagomål/A 37981-2022 FSC-klagomål.docx", "A 37981-2022")</f>
        <v/>
      </c>
      <c r="W23">
        <f>HYPERLINK("https://klasma.github.io/Logging_0484/klagomålsmail/A 37981-2022 FSC-klagomål mail.docx", "A 37981-2022")</f>
        <v/>
      </c>
      <c r="X23">
        <f>HYPERLINK("https://klasma.github.io/Logging_0484/tillsyn/A 37981-2022 tillsynsbegäran.docx", "A 37981-2022")</f>
        <v/>
      </c>
      <c r="Y23">
        <f>HYPERLINK("https://klasma.github.io/Logging_0484/tillsynsmail/A 37981-2022 tillsynsbegäran mail.docx", "A 37981-2022")</f>
        <v/>
      </c>
    </row>
    <row r="24" ht="15" customHeight="1">
      <c r="A24" t="inlineStr">
        <is>
          <t>A 40382-2022</t>
        </is>
      </c>
      <c r="B24" s="1" t="n">
        <v>44819</v>
      </c>
      <c r="C24" s="1" t="n">
        <v>45825</v>
      </c>
      <c r="D24" t="inlineStr">
        <is>
          <t>SÖDERMANLANDS LÄN</t>
        </is>
      </c>
      <c r="E24" t="inlineStr">
        <is>
          <t>ESKILSTUNA</t>
        </is>
      </c>
      <c r="G24" t="n">
        <v>2.5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Brunlångöra
Nordfladdermus
Dvärgpipistrell
Gråskimlig fladdermus
Större brunfladdermus</t>
        </is>
      </c>
      <c r="S24">
        <f>HYPERLINK("https://klasma.github.io/Logging_0484/artfynd/A 40382-2022 artfynd.xlsx", "A 40382-2022")</f>
        <v/>
      </c>
      <c r="T24">
        <f>HYPERLINK("https://klasma.github.io/Logging_0484/kartor/A 40382-2022 karta.png", "A 40382-2022")</f>
        <v/>
      </c>
      <c r="V24">
        <f>HYPERLINK("https://klasma.github.io/Logging_0484/klagomål/A 40382-2022 FSC-klagomål.docx", "A 40382-2022")</f>
        <v/>
      </c>
      <c r="W24">
        <f>HYPERLINK("https://klasma.github.io/Logging_0484/klagomålsmail/A 40382-2022 FSC-klagomål mail.docx", "A 40382-2022")</f>
        <v/>
      </c>
      <c r="X24">
        <f>HYPERLINK("https://klasma.github.io/Logging_0484/tillsyn/A 40382-2022 tillsynsbegäran.docx", "A 40382-2022")</f>
        <v/>
      </c>
      <c r="Y24">
        <f>HYPERLINK("https://klasma.github.io/Logging_0484/tillsynsmail/A 40382-2022 tillsynsbegäran mail.docx", "A 40382-2022")</f>
        <v/>
      </c>
    </row>
    <row r="25" ht="15" customHeight="1">
      <c r="A25" t="inlineStr">
        <is>
          <t>A 17144-2023</t>
        </is>
      </c>
      <c r="B25" s="1" t="n">
        <v>45034</v>
      </c>
      <c r="C25" s="1" t="n">
        <v>45825</v>
      </c>
      <c r="D25" t="inlineStr">
        <is>
          <t>SÖDERMANLANDS LÄN</t>
        </is>
      </c>
      <c r="E25" t="inlineStr">
        <is>
          <t>ESKILSTUNA</t>
        </is>
      </c>
      <c r="G25" t="n">
        <v>3.8</v>
      </c>
      <c r="H25" t="n">
        <v>2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Grantaggsvamp
Motaggsvamp
Spillkråka
Mindre märgborre</t>
        </is>
      </c>
      <c r="S25">
        <f>HYPERLINK("https://klasma.github.io/Logging_0484/artfynd/A 17144-2023 artfynd.xlsx", "A 17144-2023")</f>
        <v/>
      </c>
      <c r="T25">
        <f>HYPERLINK("https://klasma.github.io/Logging_0484/kartor/A 17144-2023 karta.png", "A 17144-2023")</f>
        <v/>
      </c>
      <c r="U25">
        <f>HYPERLINK("https://klasma.github.io/Logging_0484/knärot/A 17144-2023 karta knärot.png", "A 17144-2023")</f>
        <v/>
      </c>
      <c r="V25">
        <f>HYPERLINK("https://klasma.github.io/Logging_0484/klagomål/A 17144-2023 FSC-klagomål.docx", "A 17144-2023")</f>
        <v/>
      </c>
      <c r="W25">
        <f>HYPERLINK("https://klasma.github.io/Logging_0484/klagomålsmail/A 17144-2023 FSC-klagomål mail.docx", "A 17144-2023")</f>
        <v/>
      </c>
      <c r="X25">
        <f>HYPERLINK("https://klasma.github.io/Logging_0484/tillsyn/A 17144-2023 tillsynsbegäran.docx", "A 17144-2023")</f>
        <v/>
      </c>
      <c r="Y25">
        <f>HYPERLINK("https://klasma.github.io/Logging_0484/tillsynsmail/A 17144-2023 tillsynsbegäran mail.docx", "A 17144-2023")</f>
        <v/>
      </c>
      <c r="Z25">
        <f>HYPERLINK("https://klasma.github.io/Logging_0484/fåglar/A 17144-2023 prioriterade fågelarter.docx", "A 17144-2023")</f>
        <v/>
      </c>
    </row>
    <row r="26" ht="15" customHeight="1">
      <c r="A26" t="inlineStr">
        <is>
          <t>A 48387-2023</t>
        </is>
      </c>
      <c r="B26" s="1" t="n">
        <v>45205</v>
      </c>
      <c r="C26" s="1" t="n">
        <v>45825</v>
      </c>
      <c r="D26" t="inlineStr">
        <is>
          <t>SÖDERMANLANDS LÄN</t>
        </is>
      </c>
      <c r="E26" t="inlineStr">
        <is>
          <t>ESKILSTUNA</t>
        </is>
      </c>
      <c r="G26" t="n">
        <v>8.9</v>
      </c>
      <c r="H26" t="n">
        <v>4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Havsörn
Spillkråka
Tallticka
Blåsippa</t>
        </is>
      </c>
      <c r="S26">
        <f>HYPERLINK("https://klasma.github.io/Logging_0484/artfynd/A 48387-2023 artfynd.xlsx", "A 48387-2023")</f>
        <v/>
      </c>
      <c r="T26">
        <f>HYPERLINK("https://klasma.github.io/Logging_0484/kartor/A 48387-2023 karta.png", "A 48387-2023")</f>
        <v/>
      </c>
      <c r="U26">
        <f>HYPERLINK("https://klasma.github.io/Logging_0484/knärot/A 48387-2023 karta knärot.png", "A 48387-2023")</f>
        <v/>
      </c>
      <c r="V26">
        <f>HYPERLINK("https://klasma.github.io/Logging_0484/klagomål/A 48387-2023 FSC-klagomål.docx", "A 48387-2023")</f>
        <v/>
      </c>
      <c r="W26">
        <f>HYPERLINK("https://klasma.github.io/Logging_0484/klagomålsmail/A 48387-2023 FSC-klagomål mail.docx", "A 48387-2023")</f>
        <v/>
      </c>
      <c r="X26">
        <f>HYPERLINK("https://klasma.github.io/Logging_0484/tillsyn/A 48387-2023 tillsynsbegäran.docx", "A 48387-2023")</f>
        <v/>
      </c>
      <c r="Y26">
        <f>HYPERLINK("https://klasma.github.io/Logging_0484/tillsynsmail/A 48387-2023 tillsynsbegäran mail.docx", "A 48387-2023")</f>
        <v/>
      </c>
      <c r="Z26">
        <f>HYPERLINK("https://klasma.github.io/Logging_0484/fåglar/A 48387-2023 prioriterade fågelarter.docx", "A 48387-2023")</f>
        <v/>
      </c>
    </row>
    <row r="27" ht="15" customHeight="1">
      <c r="A27" t="inlineStr">
        <is>
          <t>A 30617-2024</t>
        </is>
      </c>
      <c r="B27" s="1" t="n">
        <v>45495</v>
      </c>
      <c r="C27" s="1" t="n">
        <v>45825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Ullticka
Hasselticka
Svart trolldruva
Blåsippa</t>
        </is>
      </c>
      <c r="S27">
        <f>HYPERLINK("https://klasma.github.io/Logging_0484/artfynd/A 30617-2024 artfynd.xlsx", "A 30617-2024")</f>
        <v/>
      </c>
      <c r="T27">
        <f>HYPERLINK("https://klasma.github.io/Logging_0484/kartor/A 30617-2024 karta.png", "A 30617-2024")</f>
        <v/>
      </c>
      <c r="V27">
        <f>HYPERLINK("https://klasma.github.io/Logging_0484/klagomål/A 30617-2024 FSC-klagomål.docx", "A 30617-2024")</f>
        <v/>
      </c>
      <c r="W27">
        <f>HYPERLINK("https://klasma.github.io/Logging_0484/klagomålsmail/A 30617-2024 FSC-klagomål mail.docx", "A 30617-2024")</f>
        <v/>
      </c>
      <c r="X27">
        <f>HYPERLINK("https://klasma.github.io/Logging_0484/tillsyn/A 30617-2024 tillsynsbegäran.docx", "A 30617-2024")</f>
        <v/>
      </c>
      <c r="Y27">
        <f>HYPERLINK("https://klasma.github.io/Logging_0484/tillsynsmail/A 30617-2024 tillsynsbegäran mail.docx", "A 30617-2024")</f>
        <v/>
      </c>
      <c r="Z27">
        <f>HYPERLINK("https://klasma.github.io/Logging_0484/fåglar/A 30617-2024 prioriterade fågelarter.docx", "A 30617-2024")</f>
        <v/>
      </c>
    </row>
    <row r="28" ht="15" customHeight="1">
      <c r="A28" t="inlineStr">
        <is>
          <t>A 44820-2019</t>
        </is>
      </c>
      <c r="B28" s="1" t="n">
        <v>43712</v>
      </c>
      <c r="C28" s="1" t="n">
        <v>45825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16.1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Jättesvampmal
Revlummer</t>
        </is>
      </c>
      <c r="S28">
        <f>HYPERLINK("https://klasma.github.io/Logging_0484/artfynd/A 44820-2019 artfynd.xlsx", "A 44820-2019")</f>
        <v/>
      </c>
      <c r="T28">
        <f>HYPERLINK("https://klasma.github.io/Logging_0484/kartor/A 44820-2019 karta.png", "A 44820-2019")</f>
        <v/>
      </c>
      <c r="V28">
        <f>HYPERLINK("https://klasma.github.io/Logging_0484/klagomål/A 44820-2019 FSC-klagomål.docx", "A 44820-2019")</f>
        <v/>
      </c>
      <c r="W28">
        <f>HYPERLINK("https://klasma.github.io/Logging_0484/klagomålsmail/A 44820-2019 FSC-klagomål mail.docx", "A 44820-2019")</f>
        <v/>
      </c>
      <c r="X28">
        <f>HYPERLINK("https://klasma.github.io/Logging_0484/tillsyn/A 44820-2019 tillsynsbegäran.docx", "A 44820-2019")</f>
        <v/>
      </c>
      <c r="Y28">
        <f>HYPERLINK("https://klasma.github.io/Logging_0484/tillsynsmail/A 44820-2019 tillsynsbegäran mail.docx", "A 44820-2019")</f>
        <v/>
      </c>
      <c r="Z28">
        <f>HYPERLINK("https://klasma.github.io/Logging_0484/fåglar/A 44820-2019 prioriterade fågelarter.docx", "A 44820-2019")</f>
        <v/>
      </c>
    </row>
    <row r="29" ht="15" customHeight="1">
      <c r="A29" t="inlineStr">
        <is>
          <t>A 5068-2020</t>
        </is>
      </c>
      <c r="B29" s="1" t="n">
        <v>43859</v>
      </c>
      <c r="C29" s="1" t="n">
        <v>45825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5.6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Talltita
Svart trolldruva
Kungsfågel</t>
        </is>
      </c>
      <c r="S29">
        <f>HYPERLINK("https://klasma.github.io/Logging_0484/artfynd/A 5068-2020 artfynd.xlsx", "A 5068-2020")</f>
        <v/>
      </c>
      <c r="T29">
        <f>HYPERLINK("https://klasma.github.io/Logging_0484/kartor/A 5068-2020 karta.png", "A 5068-2020")</f>
        <v/>
      </c>
      <c r="U29">
        <f>HYPERLINK("https://klasma.github.io/Logging_0484/knärot/A 5068-2020 karta knärot.png", "A 5068-2020")</f>
        <v/>
      </c>
      <c r="V29">
        <f>HYPERLINK("https://klasma.github.io/Logging_0484/klagomål/A 5068-2020 FSC-klagomål.docx", "A 5068-2020")</f>
        <v/>
      </c>
      <c r="W29">
        <f>HYPERLINK("https://klasma.github.io/Logging_0484/klagomålsmail/A 5068-2020 FSC-klagomål mail.docx", "A 5068-2020")</f>
        <v/>
      </c>
      <c r="X29">
        <f>HYPERLINK("https://klasma.github.io/Logging_0484/tillsyn/A 5068-2020 tillsynsbegäran.docx", "A 5068-2020")</f>
        <v/>
      </c>
      <c r="Y29">
        <f>HYPERLINK("https://klasma.github.io/Logging_0484/tillsynsmail/A 5068-2020 tillsynsbegäran mail.docx", "A 5068-2020")</f>
        <v/>
      </c>
      <c r="Z29">
        <f>HYPERLINK("https://klasma.github.io/Logging_0484/fåglar/A 5068-2020 prioriterade fågelarter.docx", "A 5068-2020")</f>
        <v/>
      </c>
    </row>
    <row r="30" ht="15" customHeight="1">
      <c r="A30" t="inlineStr">
        <is>
          <t>A 57266-2020</t>
        </is>
      </c>
      <c r="B30" s="1" t="n">
        <v>44139</v>
      </c>
      <c r="C30" s="1" t="n">
        <v>45825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11.9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Tallticka
Ullticka
Blåmossa</t>
        </is>
      </c>
      <c r="S30">
        <f>HYPERLINK("https://klasma.github.io/Logging_0484/artfynd/A 57266-2020 artfynd.xlsx", "A 57266-2020")</f>
        <v/>
      </c>
      <c r="T30">
        <f>HYPERLINK("https://klasma.github.io/Logging_0484/kartor/A 57266-2020 karta.png", "A 57266-2020")</f>
        <v/>
      </c>
      <c r="U30">
        <f>HYPERLINK("https://klasma.github.io/Logging_0484/knärot/A 57266-2020 karta knärot.png", "A 57266-2020")</f>
        <v/>
      </c>
      <c r="V30">
        <f>HYPERLINK("https://klasma.github.io/Logging_0484/klagomål/A 57266-2020 FSC-klagomål.docx", "A 57266-2020")</f>
        <v/>
      </c>
      <c r="W30">
        <f>HYPERLINK("https://klasma.github.io/Logging_0484/klagomålsmail/A 57266-2020 FSC-klagomål mail.docx", "A 57266-2020")</f>
        <v/>
      </c>
      <c r="X30">
        <f>HYPERLINK("https://klasma.github.io/Logging_0484/tillsyn/A 57266-2020 tillsynsbegäran.docx", "A 57266-2020")</f>
        <v/>
      </c>
      <c r="Y30">
        <f>HYPERLINK("https://klasma.github.io/Logging_0484/tillsynsmail/A 57266-2020 tillsynsbegäran mail.docx", "A 57266-2020")</f>
        <v/>
      </c>
    </row>
    <row r="31" ht="15" customHeight="1">
      <c r="A31" t="inlineStr">
        <is>
          <t>A 6861-2021</t>
        </is>
      </c>
      <c r="B31" s="1" t="n">
        <v>44237</v>
      </c>
      <c r="C31" s="1" t="n">
        <v>45825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Blodticka
Grönpyrola
Blåsippa</t>
        </is>
      </c>
      <c r="S31">
        <f>HYPERLINK("https://klasma.github.io/Logging_0484/artfynd/A 6861-2021 artfynd.xlsx", "A 6861-2021")</f>
        <v/>
      </c>
      <c r="T31">
        <f>HYPERLINK("https://klasma.github.io/Logging_0484/kartor/A 6861-2021 karta.png", "A 6861-2021")</f>
        <v/>
      </c>
      <c r="U31">
        <f>HYPERLINK("https://klasma.github.io/Logging_0484/knärot/A 6861-2021 karta knärot.png", "A 6861-2021")</f>
        <v/>
      </c>
      <c r="V31">
        <f>HYPERLINK("https://klasma.github.io/Logging_0484/klagomål/A 6861-2021 FSC-klagomål.docx", "A 6861-2021")</f>
        <v/>
      </c>
      <c r="W31">
        <f>HYPERLINK("https://klasma.github.io/Logging_0484/klagomålsmail/A 6861-2021 FSC-klagomål mail.docx", "A 6861-2021")</f>
        <v/>
      </c>
      <c r="X31">
        <f>HYPERLINK("https://klasma.github.io/Logging_0484/tillsyn/A 6861-2021 tillsynsbegäran.docx", "A 6861-2021")</f>
        <v/>
      </c>
      <c r="Y31">
        <f>HYPERLINK("https://klasma.github.io/Logging_0484/tillsynsmail/A 6861-2021 tillsynsbegäran mail.docx", "A 6861-2021")</f>
        <v/>
      </c>
    </row>
    <row r="32" ht="15" customHeight="1">
      <c r="A32" t="inlineStr">
        <is>
          <t>A 24111-2021</t>
        </is>
      </c>
      <c r="B32" s="1" t="n">
        <v>44336</v>
      </c>
      <c r="C32" s="1" t="n">
        <v>45825</v>
      </c>
      <c r="D32" t="inlineStr">
        <is>
          <t>SÖDERMANLANDS LÄN</t>
        </is>
      </c>
      <c r="E32" t="inlineStr">
        <is>
          <t>ESKILSTUNA</t>
        </is>
      </c>
      <c r="G32" t="n">
        <v>5.7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Svinrot
Svart trolldruva
Blåsippa
Gullviva</t>
        </is>
      </c>
      <c r="S32">
        <f>HYPERLINK("https://klasma.github.io/Logging_0484/artfynd/A 24111-2021 artfynd.xlsx", "A 24111-2021")</f>
        <v/>
      </c>
      <c r="T32">
        <f>HYPERLINK("https://klasma.github.io/Logging_0484/kartor/A 24111-2021 karta.png", "A 24111-2021")</f>
        <v/>
      </c>
      <c r="V32">
        <f>HYPERLINK("https://klasma.github.io/Logging_0484/klagomål/A 24111-2021 FSC-klagomål.docx", "A 24111-2021")</f>
        <v/>
      </c>
      <c r="W32">
        <f>HYPERLINK("https://klasma.github.io/Logging_0484/klagomålsmail/A 24111-2021 FSC-klagomål mail.docx", "A 24111-2021")</f>
        <v/>
      </c>
      <c r="X32">
        <f>HYPERLINK("https://klasma.github.io/Logging_0484/tillsyn/A 24111-2021 tillsynsbegäran.docx", "A 24111-2021")</f>
        <v/>
      </c>
      <c r="Y32">
        <f>HYPERLINK("https://klasma.github.io/Logging_0484/tillsynsmail/A 24111-2021 tillsynsbegäran mail.docx", "A 24111-2021")</f>
        <v/>
      </c>
    </row>
    <row r="33" ht="15" customHeight="1">
      <c r="A33" t="inlineStr">
        <is>
          <t>A 2968-2022</t>
        </is>
      </c>
      <c r="B33" s="1" t="n">
        <v>44581</v>
      </c>
      <c r="C33" s="1" t="n">
        <v>45825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Bronshjon
Dropptaggsvamp
Vedticka
Blåsippa</t>
        </is>
      </c>
      <c r="S33">
        <f>HYPERLINK("https://klasma.github.io/Logging_0484/artfynd/A 2968-2022 artfynd.xlsx", "A 2968-2022")</f>
        <v/>
      </c>
      <c r="T33">
        <f>HYPERLINK("https://klasma.github.io/Logging_0484/kartor/A 2968-2022 karta.png", "A 2968-2022")</f>
        <v/>
      </c>
      <c r="V33">
        <f>HYPERLINK("https://klasma.github.io/Logging_0484/klagomål/A 2968-2022 FSC-klagomål.docx", "A 2968-2022")</f>
        <v/>
      </c>
      <c r="W33">
        <f>HYPERLINK("https://klasma.github.io/Logging_0484/klagomålsmail/A 2968-2022 FSC-klagomål mail.docx", "A 2968-2022")</f>
        <v/>
      </c>
      <c r="X33">
        <f>HYPERLINK("https://klasma.github.io/Logging_0484/tillsyn/A 2968-2022 tillsynsbegäran.docx", "A 2968-2022")</f>
        <v/>
      </c>
      <c r="Y33">
        <f>HYPERLINK("https://klasma.github.io/Logging_0484/tillsynsmail/A 2968-2022 tillsynsbegäran mail.docx", "A 2968-2022")</f>
        <v/>
      </c>
    </row>
    <row r="34" ht="15" customHeight="1">
      <c r="A34" t="inlineStr">
        <is>
          <t>A 33699-2022</t>
        </is>
      </c>
      <c r="B34" s="1" t="n">
        <v>44789</v>
      </c>
      <c r="C34" s="1" t="n">
        <v>45825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3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Mindre märgborre
Blåsippa
Mattlummer</t>
        </is>
      </c>
      <c r="S34">
        <f>HYPERLINK("https://klasma.github.io/Logging_0484/artfynd/A 33699-2022 artfynd.xlsx", "A 33699-2022")</f>
        <v/>
      </c>
      <c r="T34">
        <f>HYPERLINK("https://klasma.github.io/Logging_0484/kartor/A 33699-2022 karta.png", "A 33699-2022")</f>
        <v/>
      </c>
      <c r="U34">
        <f>HYPERLINK("https://klasma.github.io/Logging_0484/knärot/A 33699-2022 karta knärot.png", "A 33699-2022")</f>
        <v/>
      </c>
      <c r="V34">
        <f>HYPERLINK("https://klasma.github.io/Logging_0484/klagomål/A 33699-2022 FSC-klagomål.docx", "A 33699-2022")</f>
        <v/>
      </c>
      <c r="W34">
        <f>HYPERLINK("https://klasma.github.io/Logging_0484/klagomålsmail/A 33699-2022 FSC-klagomål mail.docx", "A 33699-2022")</f>
        <v/>
      </c>
      <c r="X34">
        <f>HYPERLINK("https://klasma.github.io/Logging_0484/tillsyn/A 33699-2022 tillsynsbegäran.docx", "A 33699-2022")</f>
        <v/>
      </c>
      <c r="Y34">
        <f>HYPERLINK("https://klasma.github.io/Logging_0484/tillsynsmail/A 33699-2022 tillsynsbegäran mail.docx", "A 33699-2022")</f>
        <v/>
      </c>
    </row>
    <row r="35" ht="15" customHeight="1">
      <c r="A35" t="inlineStr">
        <is>
          <t>A 4219-2023</t>
        </is>
      </c>
      <c r="B35" s="1" t="n">
        <v>44953</v>
      </c>
      <c r="C35" s="1" t="n">
        <v>45825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0.6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Leptoporus erubescens
Talltita
Mindre märgborre</t>
        </is>
      </c>
      <c r="S35">
        <f>HYPERLINK("https://klasma.github.io/Logging_0484/artfynd/A 4219-2023 artfynd.xlsx", "A 4219-2023")</f>
        <v/>
      </c>
      <c r="T35">
        <f>HYPERLINK("https://klasma.github.io/Logging_0484/kartor/A 4219-2023 karta.png", "A 4219-2023")</f>
        <v/>
      </c>
      <c r="U35">
        <f>HYPERLINK("https://klasma.github.io/Logging_0484/knärot/A 4219-2023 karta knärot.png", "A 4219-2023")</f>
        <v/>
      </c>
      <c r="V35">
        <f>HYPERLINK("https://klasma.github.io/Logging_0484/klagomål/A 4219-2023 FSC-klagomål.docx", "A 4219-2023")</f>
        <v/>
      </c>
      <c r="W35">
        <f>HYPERLINK("https://klasma.github.io/Logging_0484/klagomålsmail/A 4219-2023 FSC-klagomål mail.docx", "A 4219-2023")</f>
        <v/>
      </c>
      <c r="X35">
        <f>HYPERLINK("https://klasma.github.io/Logging_0484/tillsyn/A 4219-2023 tillsynsbegäran.docx", "A 4219-2023")</f>
        <v/>
      </c>
      <c r="Y35">
        <f>HYPERLINK("https://klasma.github.io/Logging_0484/tillsynsmail/A 4219-2023 tillsynsbegäran mail.docx", "A 4219-2023")</f>
        <v/>
      </c>
      <c r="Z35">
        <f>HYPERLINK("https://klasma.github.io/Logging_0484/fåglar/A 4219-2023 prioriterade fågelarter.docx", "A 4219-2023")</f>
        <v/>
      </c>
    </row>
    <row r="36" ht="15" customHeight="1">
      <c r="A36" t="inlineStr">
        <is>
          <t>A 21734-2023</t>
        </is>
      </c>
      <c r="B36" s="1" t="n">
        <v>45063</v>
      </c>
      <c r="C36" s="1" t="n">
        <v>45825</v>
      </c>
      <c r="D36" t="inlineStr">
        <is>
          <t>SÖDERMANLANDS LÄN</t>
        </is>
      </c>
      <c r="E36" t="inlineStr">
        <is>
          <t>ESKILSTUNA</t>
        </is>
      </c>
      <c r="G36" t="n">
        <v>10.5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Dropptaggsvamp
Grönpyrola
Kryddspindling
Skarp dropptaggsvamp</t>
        </is>
      </c>
      <c r="S36">
        <f>HYPERLINK("https://klasma.github.io/Logging_0484/artfynd/A 21734-2023 artfynd.xlsx", "A 21734-2023")</f>
        <v/>
      </c>
      <c r="T36">
        <f>HYPERLINK("https://klasma.github.io/Logging_0484/kartor/A 21734-2023 karta.png", "A 21734-2023")</f>
        <v/>
      </c>
      <c r="V36">
        <f>HYPERLINK("https://klasma.github.io/Logging_0484/klagomål/A 21734-2023 FSC-klagomål.docx", "A 21734-2023")</f>
        <v/>
      </c>
      <c r="W36">
        <f>HYPERLINK("https://klasma.github.io/Logging_0484/klagomålsmail/A 21734-2023 FSC-klagomål mail.docx", "A 21734-2023")</f>
        <v/>
      </c>
      <c r="X36">
        <f>HYPERLINK("https://klasma.github.io/Logging_0484/tillsyn/A 21734-2023 tillsynsbegäran.docx", "A 21734-2023")</f>
        <v/>
      </c>
      <c r="Y36">
        <f>HYPERLINK("https://klasma.github.io/Logging_0484/tillsynsmail/A 21734-2023 tillsynsbegäran mail.docx", "A 21734-2023")</f>
        <v/>
      </c>
    </row>
    <row r="37" ht="15" customHeight="1">
      <c r="A37" t="inlineStr">
        <is>
          <t>A 52802-2023</t>
        </is>
      </c>
      <c r="B37" s="1" t="n">
        <v>45226</v>
      </c>
      <c r="C37" s="1" t="n">
        <v>45825</v>
      </c>
      <c r="D37" t="inlineStr">
        <is>
          <t>SÖDERMANLANDS LÄN</t>
        </is>
      </c>
      <c r="E37" t="inlineStr">
        <is>
          <t>ESKILSTUNA</t>
        </is>
      </c>
      <c r="G37" t="n">
        <v>4.8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Klasefibbla
Skogsklocka
Talltita
Bronshjon</t>
        </is>
      </c>
      <c r="S37">
        <f>HYPERLINK("https://klasma.github.io/Logging_0484/artfynd/A 52802-2023 artfynd.xlsx", "A 52802-2023")</f>
        <v/>
      </c>
      <c r="T37">
        <f>HYPERLINK("https://klasma.github.io/Logging_0484/kartor/A 52802-2023 karta.png", "A 52802-2023")</f>
        <v/>
      </c>
      <c r="V37">
        <f>HYPERLINK("https://klasma.github.io/Logging_0484/klagomål/A 52802-2023 FSC-klagomål.docx", "A 52802-2023")</f>
        <v/>
      </c>
      <c r="W37">
        <f>HYPERLINK("https://klasma.github.io/Logging_0484/klagomålsmail/A 52802-2023 FSC-klagomål mail.docx", "A 52802-2023")</f>
        <v/>
      </c>
      <c r="X37">
        <f>HYPERLINK("https://klasma.github.io/Logging_0484/tillsyn/A 52802-2023 tillsynsbegäran.docx", "A 52802-2023")</f>
        <v/>
      </c>
      <c r="Y37">
        <f>HYPERLINK("https://klasma.github.io/Logging_0484/tillsynsmail/A 52802-2023 tillsynsbegäran mail.docx", "A 52802-2023")</f>
        <v/>
      </c>
      <c r="Z37">
        <f>HYPERLINK("https://klasma.github.io/Logging_0484/fåglar/A 52802-2023 prioriterade fågelarter.docx", "A 52802-2023")</f>
        <v/>
      </c>
    </row>
    <row r="38" ht="15" customHeight="1">
      <c r="A38" t="inlineStr">
        <is>
          <t>A 30618-2024</t>
        </is>
      </c>
      <c r="B38" s="1" t="n">
        <v>45495</v>
      </c>
      <c r="C38" s="1" t="n">
        <v>45825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Svinrot
Brandticka
Svart trolldruva
Blåsippa</t>
        </is>
      </c>
      <c r="S38">
        <f>HYPERLINK("https://klasma.github.io/Logging_0484/artfynd/A 30618-2024 artfynd.xlsx", "A 30618-2024")</f>
        <v/>
      </c>
      <c r="T38">
        <f>HYPERLINK("https://klasma.github.io/Logging_0484/kartor/A 30618-2024 karta.png", "A 30618-2024")</f>
        <v/>
      </c>
      <c r="V38">
        <f>HYPERLINK("https://klasma.github.io/Logging_0484/klagomål/A 30618-2024 FSC-klagomål.docx", "A 30618-2024")</f>
        <v/>
      </c>
      <c r="W38">
        <f>HYPERLINK("https://klasma.github.io/Logging_0484/klagomålsmail/A 30618-2024 FSC-klagomål mail.docx", "A 30618-2024")</f>
        <v/>
      </c>
      <c r="X38">
        <f>HYPERLINK("https://klasma.github.io/Logging_0484/tillsyn/A 30618-2024 tillsynsbegäran.docx", "A 30618-2024")</f>
        <v/>
      </c>
      <c r="Y38">
        <f>HYPERLINK("https://klasma.github.io/Logging_0484/tillsynsmail/A 30618-2024 tillsynsbegäran mail.docx", "A 30618-2024")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45825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45825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45825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45825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45825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45825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45825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45825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45825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45825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45825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45825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45825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45825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45825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45825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45825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45825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45825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45825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45825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45825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45825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45825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45825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45825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45825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45825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45825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45825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45825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45825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45825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45825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45825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45825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45825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45825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45825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45825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45825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45825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45825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45825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45825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45825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45825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45825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45825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45825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45825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45825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45825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45825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45825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45825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45825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45825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45825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45825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45825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45825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45825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45825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45825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45825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45825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45825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45825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45825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45825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45825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45825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45825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45825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45825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45825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45825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45825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45825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45825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45825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45825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12984-2024</t>
        </is>
      </c>
      <c r="B122" s="1" t="n">
        <v>45385</v>
      </c>
      <c r="C122" s="1" t="n">
        <v>45825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HYPERLINK("https://klasma.github.io/Logging_0484/artfynd/A 12984-2024 artfynd.xlsx", "A 12984-2024")</f>
        <v/>
      </c>
      <c r="T122">
        <f>HYPERLINK("https://klasma.github.io/Logging_0484/kartor/A 12984-2024 karta.png", "A 12984-2024")</f>
        <v/>
      </c>
      <c r="V122">
        <f>HYPERLINK("https://klasma.github.io/Logging_0484/klagomål/A 12984-2024 FSC-klagomål.docx", "A 12984-2024")</f>
        <v/>
      </c>
      <c r="W122">
        <f>HYPERLINK("https://klasma.github.io/Logging_0484/klagomålsmail/A 12984-2024 FSC-klagomål mail.docx", "A 12984-2024")</f>
        <v/>
      </c>
      <c r="X122">
        <f>HYPERLINK("https://klasma.github.io/Logging_0484/tillsyn/A 12984-2024 tillsynsbegäran.docx", "A 12984-2024")</f>
        <v/>
      </c>
      <c r="Y122">
        <f>HYPERLINK("https://klasma.github.io/Logging_0484/tillsynsmail/A 12984-2024 tillsynsbegäran mail.docx", "A 12984-2024")</f>
        <v/>
      </c>
    </row>
    <row r="123" ht="15" customHeight="1">
      <c r="A123" t="inlineStr">
        <is>
          <t>A 15547-2024</t>
        </is>
      </c>
      <c r="B123" s="1" t="n">
        <v>45401</v>
      </c>
      <c r="C123" s="1" t="n">
        <v>45825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15547-2024 artfynd.xlsx", "A 15547-2024")</f>
        <v/>
      </c>
      <c r="T123">
        <f>HYPERLINK("https://klasma.github.io/Logging_0484/kartor/A 15547-2024 karta.png", "A 15547-2024")</f>
        <v/>
      </c>
      <c r="V123">
        <f>HYPERLINK("https://klasma.github.io/Logging_0484/klagomål/A 15547-2024 FSC-klagomål.docx", "A 15547-2024")</f>
        <v/>
      </c>
      <c r="W123">
        <f>HYPERLINK("https://klasma.github.io/Logging_0484/klagomålsmail/A 15547-2024 FSC-klagomål mail.docx", "A 15547-2024")</f>
        <v/>
      </c>
      <c r="X123">
        <f>HYPERLINK("https://klasma.github.io/Logging_0484/tillsyn/A 15547-2024 tillsynsbegäran.docx", "A 15547-2024")</f>
        <v/>
      </c>
      <c r="Y123">
        <f>HYPERLINK("https://klasma.github.io/Logging_0484/tillsynsmail/A 15547-2024 tillsynsbegäran mail.docx", "A 15547-2024")</f>
        <v/>
      </c>
      <c r="Z123">
        <f>HYPERLINK("https://klasma.github.io/Logging_0484/fåglar/A 15547-2024 prioriterade fågelarter.docx", "A 15547-2024")</f>
        <v/>
      </c>
    </row>
    <row r="124" ht="15" customHeight="1">
      <c r="A124" t="inlineStr">
        <is>
          <t>A 15543-2024</t>
        </is>
      </c>
      <c r="B124" s="1" t="n">
        <v>45401</v>
      </c>
      <c r="C124" s="1" t="n">
        <v>45825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5.3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15543-2024 artfynd.xlsx", "A 15543-2024")</f>
        <v/>
      </c>
      <c r="T124">
        <f>HYPERLINK("https://klasma.github.io/Logging_0484/kartor/A 15543-2024 karta.png", "A 15543-2024")</f>
        <v/>
      </c>
      <c r="V124">
        <f>HYPERLINK("https://klasma.github.io/Logging_0484/klagomål/A 15543-2024 FSC-klagomål.docx", "A 15543-2024")</f>
        <v/>
      </c>
      <c r="W124">
        <f>HYPERLINK("https://klasma.github.io/Logging_0484/klagomålsmail/A 15543-2024 FSC-klagomål mail.docx", "A 15543-2024")</f>
        <v/>
      </c>
      <c r="X124">
        <f>HYPERLINK("https://klasma.github.io/Logging_0484/tillsyn/A 15543-2024 tillsynsbegäran.docx", "A 15543-2024")</f>
        <v/>
      </c>
      <c r="Y124">
        <f>HYPERLINK("https://klasma.github.io/Logging_0484/tillsynsmail/A 15543-2024 tillsynsbegäran mail.docx", "A 15543-2024")</f>
        <v/>
      </c>
    </row>
    <row r="125" ht="15" customHeight="1">
      <c r="A125" t="inlineStr">
        <is>
          <t>A 25919-2024</t>
        </is>
      </c>
      <c r="B125" s="1" t="n">
        <v>45467</v>
      </c>
      <c r="C125" s="1" t="n">
        <v>45825</v>
      </c>
      <c r="D125" t="inlineStr">
        <is>
          <t>SÖDERMANLANDS LÄN</t>
        </is>
      </c>
      <c r="E125" t="inlineStr">
        <is>
          <t>ESKILSTUNA</t>
        </is>
      </c>
      <c r="G125" t="n">
        <v>10.1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25919-2024 artfynd.xlsx", "A 25919-2024")</f>
        <v/>
      </c>
      <c r="T125">
        <f>HYPERLINK("https://klasma.github.io/Logging_0484/kartor/A 25919-2024 karta.png", "A 25919-2024")</f>
        <v/>
      </c>
      <c r="V125">
        <f>HYPERLINK("https://klasma.github.io/Logging_0484/klagomål/A 25919-2024 FSC-klagomål.docx", "A 25919-2024")</f>
        <v/>
      </c>
      <c r="W125">
        <f>HYPERLINK("https://klasma.github.io/Logging_0484/klagomålsmail/A 25919-2024 FSC-klagomål mail.docx", "A 25919-2024")</f>
        <v/>
      </c>
      <c r="X125">
        <f>HYPERLINK("https://klasma.github.io/Logging_0484/tillsyn/A 25919-2024 tillsynsbegäran.docx", "A 25919-2024")</f>
        <v/>
      </c>
      <c r="Y125">
        <f>HYPERLINK("https://klasma.github.io/Logging_0484/tillsynsmail/A 25919-2024 tillsynsbegäran mail.docx", "A 25919-2024")</f>
        <v/>
      </c>
    </row>
    <row r="126" ht="15" customHeight="1">
      <c r="A126" t="inlineStr">
        <is>
          <t>A 33202-2024</t>
        </is>
      </c>
      <c r="B126" s="1" t="n">
        <v>45518</v>
      </c>
      <c r="C126" s="1" t="n">
        <v>45825</v>
      </c>
      <c r="D126" t="inlineStr">
        <is>
          <t>SÖDERMANLANDS LÄN</t>
        </is>
      </c>
      <c r="E126" t="inlineStr">
        <is>
          <t>ESKILSTUNA</t>
        </is>
      </c>
      <c r="G126" t="n">
        <v>6.3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HYPERLINK("https://klasma.github.io/Logging_0484/artfynd/A 33202-2024 artfynd.xlsx", "A 33202-2024")</f>
        <v/>
      </c>
      <c r="T126">
        <f>HYPERLINK("https://klasma.github.io/Logging_0484/kartor/A 33202-2024 karta.png", "A 33202-2024")</f>
        <v/>
      </c>
      <c r="V126">
        <f>HYPERLINK("https://klasma.github.io/Logging_0484/klagomål/A 33202-2024 FSC-klagomål.docx", "A 33202-2024")</f>
        <v/>
      </c>
      <c r="W126">
        <f>HYPERLINK("https://klasma.github.io/Logging_0484/klagomålsmail/A 33202-2024 FSC-klagomål mail.docx", "A 33202-2024")</f>
        <v/>
      </c>
      <c r="X126">
        <f>HYPERLINK("https://klasma.github.io/Logging_0484/tillsyn/A 33202-2024 tillsynsbegäran.docx", "A 33202-2024")</f>
        <v/>
      </c>
      <c r="Y126">
        <f>HYPERLINK("https://klasma.github.io/Logging_0484/tillsynsmail/A 33202-2024 tillsynsbegäran mail.docx", "A 33202-2024")</f>
        <v/>
      </c>
      <c r="Z126">
        <f>HYPERLINK("https://klasma.github.io/Logging_0484/fåglar/A 33202-2024 prioriterade fågelarter.docx", "A 33202-2024")</f>
        <v/>
      </c>
    </row>
    <row r="127" ht="15" customHeight="1">
      <c r="A127" t="inlineStr">
        <is>
          <t>A 38013-2024</t>
        </is>
      </c>
      <c r="B127" s="1" t="n">
        <v>45544</v>
      </c>
      <c r="C127" s="1" t="n">
        <v>45825</v>
      </c>
      <c r="D127" t="inlineStr">
        <is>
          <t>SÖDERMANLANDS LÄN</t>
        </is>
      </c>
      <c r="E127" t="inlineStr">
        <is>
          <t>ESKILSTUNA</t>
        </is>
      </c>
      <c r="G127" t="n">
        <v>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sköldmossa</t>
        </is>
      </c>
      <c r="S127">
        <f>HYPERLINK("https://klasma.github.io/Logging_0484/artfynd/A 38013-2024 artfynd.xlsx", "A 38013-2024")</f>
        <v/>
      </c>
      <c r="T127">
        <f>HYPERLINK("https://klasma.github.io/Logging_0484/kartor/A 38013-2024 karta.png", "A 38013-2024")</f>
        <v/>
      </c>
      <c r="V127">
        <f>HYPERLINK("https://klasma.github.io/Logging_0484/klagomål/A 38013-2024 FSC-klagomål.docx", "A 38013-2024")</f>
        <v/>
      </c>
      <c r="W127">
        <f>HYPERLINK("https://klasma.github.io/Logging_0484/klagomålsmail/A 38013-2024 FSC-klagomål mail.docx", "A 38013-2024")</f>
        <v/>
      </c>
      <c r="X127">
        <f>HYPERLINK("https://klasma.github.io/Logging_0484/tillsyn/A 38013-2024 tillsynsbegäran.docx", "A 38013-2024")</f>
        <v/>
      </c>
      <c r="Y127">
        <f>HYPERLINK("https://klasma.github.io/Logging_0484/tillsynsmail/A 38013-2024 tillsynsbegäran mail.docx", "A 38013-2024")</f>
        <v/>
      </c>
    </row>
    <row r="128" ht="15" customHeight="1">
      <c r="A128" t="inlineStr">
        <is>
          <t>A 51345-2024</t>
        </is>
      </c>
      <c r="B128" s="1" t="n">
        <v>45603</v>
      </c>
      <c r="C128" s="1" t="n">
        <v>45825</v>
      </c>
      <c r="D128" t="inlineStr">
        <is>
          <t>SÖDERMANLANDS LÄN</t>
        </is>
      </c>
      <c r="E128" t="inlineStr">
        <is>
          <t>ESKILSTUNA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HYPERLINK("https://klasma.github.io/Logging_0484/artfynd/A 51345-2024 artfynd.xlsx", "A 51345-2024")</f>
        <v/>
      </c>
      <c r="T128">
        <f>HYPERLINK("https://klasma.github.io/Logging_0484/kartor/A 51345-2024 karta.png", "A 51345-2024")</f>
        <v/>
      </c>
      <c r="V128">
        <f>HYPERLINK("https://klasma.github.io/Logging_0484/klagomål/A 51345-2024 FSC-klagomål.docx", "A 51345-2024")</f>
        <v/>
      </c>
      <c r="W128">
        <f>HYPERLINK("https://klasma.github.io/Logging_0484/klagomålsmail/A 51345-2024 FSC-klagomål mail.docx", "A 51345-2024")</f>
        <v/>
      </c>
      <c r="X128">
        <f>HYPERLINK("https://klasma.github.io/Logging_0484/tillsyn/A 51345-2024 tillsynsbegäran.docx", "A 51345-2024")</f>
        <v/>
      </c>
      <c r="Y128">
        <f>HYPERLINK("https://klasma.github.io/Logging_0484/tillsynsmail/A 51345-2024 tillsynsbegäran mail.docx", "A 51345-2024")</f>
        <v/>
      </c>
    </row>
    <row r="129" ht="15" customHeight="1">
      <c r="A129" t="inlineStr">
        <is>
          <t>A 2515-2025</t>
        </is>
      </c>
      <c r="B129" s="1" t="n">
        <v>45674</v>
      </c>
      <c r="C129" s="1" t="n">
        <v>45825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HYPERLINK("https://klasma.github.io/Logging_0484/artfynd/A 2515-2025 artfynd.xlsx", "A 2515-2025")</f>
        <v/>
      </c>
      <c r="T129">
        <f>HYPERLINK("https://klasma.github.io/Logging_0484/kartor/A 2515-2025 karta.png", "A 2515-2025")</f>
        <v/>
      </c>
      <c r="U129">
        <f>HYPERLINK("https://klasma.github.io/Logging_0484/knärot/A 2515-2025 karta knärot.png", "A 2515-2025")</f>
        <v/>
      </c>
      <c r="V129">
        <f>HYPERLINK("https://klasma.github.io/Logging_0484/klagomål/A 2515-2025 FSC-klagomål.docx", "A 2515-2025")</f>
        <v/>
      </c>
      <c r="W129">
        <f>HYPERLINK("https://klasma.github.io/Logging_0484/klagomålsmail/A 2515-2025 FSC-klagomål mail.docx", "A 2515-2025")</f>
        <v/>
      </c>
      <c r="X129">
        <f>HYPERLINK("https://klasma.github.io/Logging_0484/tillsyn/A 2515-2025 tillsynsbegäran.docx", "A 2515-2025")</f>
        <v/>
      </c>
      <c r="Y129">
        <f>HYPERLINK("https://klasma.github.io/Logging_0484/tillsynsmail/A 2515-2025 tillsynsbegäran mail.docx", "A 2515-2025")</f>
        <v/>
      </c>
      <c r="Z129">
        <f>HYPERLINK("https://klasma.github.io/Logging_0484/fåglar/A 2515-2025 prioriterade fågelarter.docx", "A 2515-2025")</f>
        <v/>
      </c>
    </row>
    <row r="130" ht="15" customHeight="1">
      <c r="A130" t="inlineStr">
        <is>
          <t>A 4149-2025</t>
        </is>
      </c>
      <c r="B130" s="1" t="n">
        <v>45685</v>
      </c>
      <c r="C130" s="1" t="n">
        <v>45825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8.800000000000001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HYPERLINK("https://klasma.github.io/Logging_0484/artfynd/A 4149-2025 artfynd.xlsx", "A 4149-2025")</f>
        <v/>
      </c>
      <c r="T130">
        <f>HYPERLINK("https://klasma.github.io/Logging_0484/kartor/A 4149-2025 karta.png", "A 4149-2025")</f>
        <v/>
      </c>
      <c r="V130">
        <f>HYPERLINK("https://klasma.github.io/Logging_0484/klagomål/A 4149-2025 FSC-klagomål.docx", "A 4149-2025")</f>
        <v/>
      </c>
      <c r="W130">
        <f>HYPERLINK("https://klasma.github.io/Logging_0484/klagomålsmail/A 4149-2025 FSC-klagomål mail.docx", "A 4149-2025")</f>
        <v/>
      </c>
      <c r="X130">
        <f>HYPERLINK("https://klasma.github.io/Logging_0484/tillsyn/A 4149-2025 tillsynsbegäran.docx", "A 4149-2025")</f>
        <v/>
      </c>
      <c r="Y130">
        <f>HYPERLINK("https://klasma.github.io/Logging_0484/tillsynsmail/A 4149-2025 tillsynsbegäran mail.docx", "A 4149-2025")</f>
        <v/>
      </c>
    </row>
    <row r="131" ht="15" customHeight="1">
      <c r="A131" t="inlineStr">
        <is>
          <t>A 4889-2025</t>
        </is>
      </c>
      <c r="B131" s="1" t="n">
        <v>45688</v>
      </c>
      <c r="C131" s="1" t="n">
        <v>45825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HYPERLINK("https://klasma.github.io/Logging_0484/artfynd/A 4889-2025 artfynd.xlsx", "A 4889-2025")</f>
        <v/>
      </c>
      <c r="T131">
        <f>HYPERLINK("https://klasma.github.io/Logging_0484/kartor/A 4889-2025 karta.png", "A 4889-2025")</f>
        <v/>
      </c>
      <c r="V131">
        <f>HYPERLINK("https://klasma.github.io/Logging_0484/klagomål/A 4889-2025 FSC-klagomål.docx", "A 4889-2025")</f>
        <v/>
      </c>
      <c r="W131">
        <f>HYPERLINK("https://klasma.github.io/Logging_0484/klagomålsmail/A 4889-2025 FSC-klagomål mail.docx", "A 4889-2025")</f>
        <v/>
      </c>
      <c r="X131">
        <f>HYPERLINK("https://klasma.github.io/Logging_0484/tillsyn/A 4889-2025 tillsynsbegäran.docx", "A 4889-2025")</f>
        <v/>
      </c>
      <c r="Y131">
        <f>HYPERLINK("https://klasma.github.io/Logging_0484/tillsynsmail/A 4889-2025 tillsynsbegäran mail.docx", "A 4889-2025")</f>
        <v/>
      </c>
    </row>
    <row r="132" ht="15" customHeight="1">
      <c r="A132" t="inlineStr">
        <is>
          <t>A 5203-2025</t>
        </is>
      </c>
      <c r="B132" s="1" t="n">
        <v>45691</v>
      </c>
      <c r="C132" s="1" t="n">
        <v>45825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Nattskärra</t>
        </is>
      </c>
      <c r="S132">
        <f>HYPERLINK("https://klasma.github.io/Logging_0484/artfynd/A 5203-2025 artfynd.xlsx", "A 5203-2025")</f>
        <v/>
      </c>
      <c r="T132">
        <f>HYPERLINK("https://klasma.github.io/Logging_0484/kartor/A 5203-2025 karta.png", "A 5203-2025")</f>
        <v/>
      </c>
      <c r="V132">
        <f>HYPERLINK("https://klasma.github.io/Logging_0484/klagomål/A 5203-2025 FSC-klagomål.docx", "A 5203-2025")</f>
        <v/>
      </c>
      <c r="W132">
        <f>HYPERLINK("https://klasma.github.io/Logging_0484/klagomålsmail/A 5203-2025 FSC-klagomål mail.docx", "A 5203-2025")</f>
        <v/>
      </c>
      <c r="X132">
        <f>HYPERLINK("https://klasma.github.io/Logging_0484/tillsyn/A 5203-2025 tillsynsbegäran.docx", "A 5203-2025")</f>
        <v/>
      </c>
      <c r="Y132">
        <f>HYPERLINK("https://klasma.github.io/Logging_0484/tillsynsmail/A 5203-2025 tillsynsbegäran mail.docx", "A 5203-2025")</f>
        <v/>
      </c>
      <c r="Z132">
        <f>HYPERLINK("https://klasma.github.io/Logging_0484/fåglar/A 5203-2025 prioriterade fågelarter.docx", "A 5203-2025")</f>
        <v/>
      </c>
    </row>
    <row r="133" ht="15" customHeight="1">
      <c r="A133" t="inlineStr">
        <is>
          <t>A 17953-2019</t>
        </is>
      </c>
      <c r="B133" s="1" t="n">
        <v>43557</v>
      </c>
      <c r="C133" s="1" t="n">
        <v>45825</v>
      </c>
      <c r="D133" t="inlineStr">
        <is>
          <t>SÖDERMANLANDS LÄN</t>
        </is>
      </c>
      <c r="E133" t="inlineStr">
        <is>
          <t>ESKILSTUNA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18224-2019</t>
        </is>
      </c>
      <c r="B134" s="1" t="n">
        <v>43558</v>
      </c>
      <c r="C134" s="1" t="n">
        <v>45825</v>
      </c>
      <c r="D134" t="inlineStr">
        <is>
          <t>SÖDERMANLANDS LÄN</t>
        </is>
      </c>
      <c r="E134" t="inlineStr">
        <is>
          <t>ESKILSTUNA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18493-2019</t>
        </is>
      </c>
      <c r="B135" s="1" t="n">
        <v>43558</v>
      </c>
      <c r="C135" s="1" t="n">
        <v>45825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18698-2019</t>
        </is>
      </c>
      <c r="B136" s="1" t="n">
        <v>43559</v>
      </c>
      <c r="C136" s="1" t="n">
        <v>45825</v>
      </c>
      <c r="D136" t="inlineStr">
        <is>
          <t>SÖDERMANLANDS LÄN</t>
        </is>
      </c>
      <c r="E136" t="inlineStr">
        <is>
          <t>ESKILSTUNA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18423-2019</t>
        </is>
      </c>
      <c r="B137" s="1" t="n">
        <v>43559</v>
      </c>
      <c r="C137" s="1" t="n">
        <v>45825</v>
      </c>
      <c r="D137" t="inlineStr">
        <is>
          <t>SÖDERMANLANDS LÄN</t>
        </is>
      </c>
      <c r="E137" t="inlineStr">
        <is>
          <t>ESKILSTUNA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18704-2019</t>
        </is>
      </c>
      <c r="B138" s="1" t="n">
        <v>43559</v>
      </c>
      <c r="C138" s="1" t="n">
        <v>45825</v>
      </c>
      <c r="D138" t="inlineStr">
        <is>
          <t>SÖDERMANLANDS LÄN</t>
        </is>
      </c>
      <c r="E138" t="inlineStr">
        <is>
          <t>ESKILSTUNA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18950-2019</t>
        </is>
      </c>
      <c r="B139" s="1" t="n">
        <v>43563</v>
      </c>
      <c r="C139" s="1" t="n">
        <v>45825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19122-2019</t>
        </is>
      </c>
      <c r="B140" s="1" t="n">
        <v>43564</v>
      </c>
      <c r="C140" s="1" t="n">
        <v>45825</v>
      </c>
      <c r="D140" t="inlineStr">
        <is>
          <t>SÖDERMANLANDS LÄN</t>
        </is>
      </c>
      <c r="E140" t="inlineStr">
        <is>
          <t>ESKILSTUNA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19291-2019</t>
        </is>
      </c>
      <c r="B141" s="1" t="n">
        <v>43565</v>
      </c>
      <c r="C141" s="1" t="n">
        <v>45825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20179-2019</t>
        </is>
      </c>
      <c r="B142" s="1" t="n">
        <v>43570</v>
      </c>
      <c r="C142" s="1" t="n">
        <v>45825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21555-2019</t>
        </is>
      </c>
      <c r="B143" s="1" t="n">
        <v>43580</v>
      </c>
      <c r="C143" s="1" t="n">
        <v>45825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21472-2019</t>
        </is>
      </c>
      <c r="B144" s="1" t="n">
        <v>43580</v>
      </c>
      <c r="C144" s="1" t="n">
        <v>45825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22217-2019</t>
        </is>
      </c>
      <c r="B145" s="1" t="n">
        <v>43585</v>
      </c>
      <c r="C145" s="1" t="n">
        <v>45825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23769-2019</t>
        </is>
      </c>
      <c r="B146" s="1" t="n">
        <v>43595</v>
      </c>
      <c r="C146" s="1" t="n">
        <v>45825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27151-2019</t>
        </is>
      </c>
      <c r="B147" s="1" t="n">
        <v>43614</v>
      </c>
      <c r="C147" s="1" t="n">
        <v>45825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27620-2019</t>
        </is>
      </c>
      <c r="B148" s="1" t="n">
        <v>43619</v>
      </c>
      <c r="C148" s="1" t="n">
        <v>45825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29084-2019</t>
        </is>
      </c>
      <c r="B149" s="1" t="n">
        <v>43628</v>
      </c>
      <c r="C149" s="1" t="n">
        <v>45825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29449-2019</t>
        </is>
      </c>
      <c r="B150" s="1" t="n">
        <v>43629</v>
      </c>
      <c r="C150" s="1" t="n">
        <v>45825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29235-2019</t>
        </is>
      </c>
      <c r="B151" s="1" t="n">
        <v>43629</v>
      </c>
      <c r="C151" s="1" t="n">
        <v>45825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31492-2019</t>
        </is>
      </c>
      <c r="B152" s="1" t="n">
        <v>43640</v>
      </c>
      <c r="C152" s="1" t="n">
        <v>45825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32047-2019</t>
        </is>
      </c>
      <c r="B153" s="1" t="n">
        <v>43643</v>
      </c>
      <c r="C153" s="1" t="n">
        <v>45825</v>
      </c>
      <c r="D153" t="inlineStr">
        <is>
          <t>SÖDERMANLANDS LÄN</t>
        </is>
      </c>
      <c r="E153" t="inlineStr">
        <is>
          <t>ESKILSTUNA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33489-2019</t>
        </is>
      </c>
      <c r="B154" s="1" t="n">
        <v>43651</v>
      </c>
      <c r="C154" s="1" t="n">
        <v>45825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33490-2019</t>
        </is>
      </c>
      <c r="B155" s="1" t="n">
        <v>43651</v>
      </c>
      <c r="C155" s="1" t="n">
        <v>45825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35864-2019</t>
        </is>
      </c>
      <c r="B156" s="1" t="n">
        <v>43656</v>
      </c>
      <c r="C156" s="1" t="n">
        <v>45825</v>
      </c>
      <c r="D156" t="inlineStr">
        <is>
          <t>SÖDERMANLANDS LÄN</t>
        </is>
      </c>
      <c r="E156" t="inlineStr">
        <is>
          <t>ESKILSTUNA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35293-2019</t>
        </is>
      </c>
      <c r="B157" s="1" t="n">
        <v>43662</v>
      </c>
      <c r="C157" s="1" t="n">
        <v>45825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36478-2019</t>
        </is>
      </c>
      <c r="B158" s="1" t="n">
        <v>43664</v>
      </c>
      <c r="C158" s="1" t="n">
        <v>45825</v>
      </c>
      <c r="D158" t="inlineStr">
        <is>
          <t>SÖDERMANLANDS LÄN</t>
        </is>
      </c>
      <c r="E158" t="inlineStr">
        <is>
          <t>ESKILSTUNA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35982-2019</t>
        </is>
      </c>
      <c r="B159" s="1" t="n">
        <v>43667</v>
      </c>
      <c r="C159" s="1" t="n">
        <v>45825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35985-2019</t>
        </is>
      </c>
      <c r="B160" s="1" t="n">
        <v>43667</v>
      </c>
      <c r="C160" s="1" t="n">
        <v>45825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37255-2019</t>
        </is>
      </c>
      <c r="B161" s="1" t="n">
        <v>43677</v>
      </c>
      <c r="C161" s="1" t="n">
        <v>45825</v>
      </c>
      <c r="D161" t="inlineStr">
        <is>
          <t>SÖDERMANLANDS LÄN</t>
        </is>
      </c>
      <c r="E161" t="inlineStr">
        <is>
          <t>ESKILSTUNA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37504-2019</t>
        </is>
      </c>
      <c r="B162" s="1" t="n">
        <v>43678</v>
      </c>
      <c r="C162" s="1" t="n">
        <v>45825</v>
      </c>
      <c r="D162" t="inlineStr">
        <is>
          <t>SÖDERMANLANDS LÄN</t>
        </is>
      </c>
      <c r="E162" t="inlineStr">
        <is>
          <t>ESKILSTUNA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37627-2019</t>
        </is>
      </c>
      <c r="B163" s="1" t="n">
        <v>43679</v>
      </c>
      <c r="C163" s="1" t="n">
        <v>45825</v>
      </c>
      <c r="D163" t="inlineStr">
        <is>
          <t>SÖDERMANLANDS LÄN</t>
        </is>
      </c>
      <c r="E163" t="inlineStr">
        <is>
          <t>ESKILSTUNA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38107-2019</t>
        </is>
      </c>
      <c r="B164" s="1" t="n">
        <v>43683</v>
      </c>
      <c r="C164" s="1" t="n">
        <v>45825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38177-2019</t>
        </is>
      </c>
      <c r="B165" s="1" t="n">
        <v>43683</v>
      </c>
      <c r="C165" s="1" t="n">
        <v>45825</v>
      </c>
      <c r="D165" t="inlineStr">
        <is>
          <t>SÖDERMANLANDS LÄN</t>
        </is>
      </c>
      <c r="E165" t="inlineStr">
        <is>
          <t>ESKILSTUNA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38008-2019</t>
        </is>
      </c>
      <c r="B166" s="1" t="n">
        <v>43683</v>
      </c>
      <c r="C166" s="1" t="n">
        <v>45825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38213-2019</t>
        </is>
      </c>
      <c r="B167" s="1" t="n">
        <v>43684</v>
      </c>
      <c r="C167" s="1" t="n">
        <v>45825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38217-2019</t>
        </is>
      </c>
      <c r="B168" s="1" t="n">
        <v>43684</v>
      </c>
      <c r="C168" s="1" t="n">
        <v>45825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38303-2019</t>
        </is>
      </c>
      <c r="B169" s="1" t="n">
        <v>43684</v>
      </c>
      <c r="C169" s="1" t="n">
        <v>45825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38589-2019</t>
        </is>
      </c>
      <c r="B170" s="1" t="n">
        <v>43684</v>
      </c>
      <c r="C170" s="1" t="n">
        <v>45825</v>
      </c>
      <c r="D170" t="inlineStr">
        <is>
          <t>SÖDERMANLANDS LÄN</t>
        </is>
      </c>
      <c r="E170" t="inlineStr">
        <is>
          <t>ESKILSTUNA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38436-2019</t>
        </is>
      </c>
      <c r="B171" s="1" t="n">
        <v>43685</v>
      </c>
      <c r="C171" s="1" t="n">
        <v>45825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39219-2019</t>
        </is>
      </c>
      <c r="B172" s="1" t="n">
        <v>43690</v>
      </c>
      <c r="C172" s="1" t="n">
        <v>45825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39942-2019</t>
        </is>
      </c>
      <c r="B173" s="1" t="n">
        <v>43690</v>
      </c>
      <c r="C173" s="1" t="n">
        <v>45825</v>
      </c>
      <c r="D173" t="inlineStr">
        <is>
          <t>SÖDERMANLANDS LÄN</t>
        </is>
      </c>
      <c r="E173" t="inlineStr">
        <is>
          <t>ESKILSTUNA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40020-2019</t>
        </is>
      </c>
      <c r="B174" s="1" t="n">
        <v>43693</v>
      </c>
      <c r="C174" s="1" t="n">
        <v>45825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40017-2019</t>
        </is>
      </c>
      <c r="B175" s="1" t="n">
        <v>43693</v>
      </c>
      <c r="C175" s="1" t="n">
        <v>45825</v>
      </c>
      <c r="D175" t="inlineStr">
        <is>
          <t>SÖDERMANLANDS LÄN</t>
        </is>
      </c>
      <c r="E175" t="inlineStr">
        <is>
          <t>ESKILSTUNA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40552-2019</t>
        </is>
      </c>
      <c r="B176" s="1" t="n">
        <v>43696</v>
      </c>
      <c r="C176" s="1" t="n">
        <v>45825</v>
      </c>
      <c r="D176" t="inlineStr">
        <is>
          <t>SÖDERMANLANDS LÄN</t>
        </is>
      </c>
      <c r="E176" t="inlineStr">
        <is>
          <t>ESKILSTUNA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41476-2019</t>
        </is>
      </c>
      <c r="B177" s="1" t="n">
        <v>43696</v>
      </c>
      <c r="C177" s="1" t="n">
        <v>45825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41481-2019</t>
        </is>
      </c>
      <c r="B178" s="1" t="n">
        <v>43696</v>
      </c>
      <c r="C178" s="1" t="n">
        <v>45825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41442-2019</t>
        </is>
      </c>
      <c r="B179" s="1" t="n">
        <v>43698</v>
      </c>
      <c r="C179" s="1" t="n">
        <v>45825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42056-2019</t>
        </is>
      </c>
      <c r="B180" s="1" t="n">
        <v>43700</v>
      </c>
      <c r="C180" s="1" t="n">
        <v>45825</v>
      </c>
      <c r="D180" t="inlineStr">
        <is>
          <t>SÖDERMANLANDS LÄN</t>
        </is>
      </c>
      <c r="E180" t="inlineStr">
        <is>
          <t>ESKILSTUNA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44364-2019</t>
        </is>
      </c>
      <c r="B181" s="1" t="n">
        <v>43705</v>
      </c>
      <c r="C181" s="1" t="n">
        <v>45825</v>
      </c>
      <c r="D181" t="inlineStr">
        <is>
          <t>SÖDERMANLANDS LÄN</t>
        </is>
      </c>
      <c r="E181" t="inlineStr">
        <is>
          <t>ESKILSTUNA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43312-2019</t>
        </is>
      </c>
      <c r="B182" s="1" t="n">
        <v>43706</v>
      </c>
      <c r="C182" s="1" t="n">
        <v>45825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43301-2019</t>
        </is>
      </c>
      <c r="B183" s="1" t="n">
        <v>43706</v>
      </c>
      <c r="C183" s="1" t="n">
        <v>45825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44742-2019</t>
        </is>
      </c>
      <c r="B184" s="1" t="n">
        <v>43712</v>
      </c>
      <c r="C184" s="1" t="n">
        <v>45825</v>
      </c>
      <c r="D184" t="inlineStr">
        <is>
          <t>SÖDERMANLANDS LÄN</t>
        </is>
      </c>
      <c r="E184" t="inlineStr">
        <is>
          <t>ESKILSTUNA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44698-2019</t>
        </is>
      </c>
      <c r="B185" s="1" t="n">
        <v>43712</v>
      </c>
      <c r="C185" s="1" t="n">
        <v>45825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45181-2019</t>
        </is>
      </c>
      <c r="B186" s="1" t="n">
        <v>43713</v>
      </c>
      <c r="C186" s="1" t="n">
        <v>45825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45988-2019</t>
        </is>
      </c>
      <c r="B187" s="1" t="n">
        <v>43718</v>
      </c>
      <c r="C187" s="1" t="n">
        <v>45825</v>
      </c>
      <c r="D187" t="inlineStr">
        <is>
          <t>SÖDERMANLANDS LÄN</t>
        </is>
      </c>
      <c r="E187" t="inlineStr">
        <is>
          <t>ESKILSTUNA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47280-2019</t>
        </is>
      </c>
      <c r="B188" s="1" t="n">
        <v>43721</v>
      </c>
      <c r="C188" s="1" t="n">
        <v>45825</v>
      </c>
      <c r="D188" t="inlineStr">
        <is>
          <t>SÖDERMANLANDS LÄN</t>
        </is>
      </c>
      <c r="E188" t="inlineStr">
        <is>
          <t>ESKILSTUNA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48943-2019</t>
        </is>
      </c>
      <c r="B189" s="1" t="n">
        <v>43728</v>
      </c>
      <c r="C189" s="1" t="n">
        <v>45825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Naturvårdsverket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49628-2019</t>
        </is>
      </c>
      <c r="B190" s="1" t="n">
        <v>43732</v>
      </c>
      <c r="C190" s="1" t="n">
        <v>45825</v>
      </c>
      <c r="D190" t="inlineStr">
        <is>
          <t>SÖDERMANLANDS LÄN</t>
        </is>
      </c>
      <c r="E190" t="inlineStr">
        <is>
          <t>ESKILSTUNA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49630-2019</t>
        </is>
      </c>
      <c r="B191" s="1" t="n">
        <v>43732</v>
      </c>
      <c r="C191" s="1" t="n">
        <v>45825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51608-2019</t>
        </is>
      </c>
      <c r="B192" s="1" t="n">
        <v>43733</v>
      </c>
      <c r="C192" s="1" t="n">
        <v>45825</v>
      </c>
      <c r="D192" t="inlineStr">
        <is>
          <t>SÖDERMANLANDS LÄN</t>
        </is>
      </c>
      <c r="E192" t="inlineStr">
        <is>
          <t>ESKILSTUNA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50339-2019</t>
        </is>
      </c>
      <c r="B193" s="1" t="n">
        <v>43735</v>
      </c>
      <c r="C193" s="1" t="n">
        <v>45825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50951-2019</t>
        </is>
      </c>
      <c r="B194" s="1" t="n">
        <v>43738</v>
      </c>
      <c r="C194" s="1" t="n">
        <v>45825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51292-2019</t>
        </is>
      </c>
      <c r="B195" s="1" t="n">
        <v>43739</v>
      </c>
      <c r="C195" s="1" t="n">
        <v>45825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51648-2019</t>
        </is>
      </c>
      <c r="B196" s="1" t="n">
        <v>43740</v>
      </c>
      <c r="C196" s="1" t="n">
        <v>45825</v>
      </c>
      <c r="D196" t="inlineStr">
        <is>
          <t>SÖDERMANLANDS LÄN</t>
        </is>
      </c>
      <c r="E196" t="inlineStr">
        <is>
          <t>ESKILSTUNA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52717-2019</t>
        </is>
      </c>
      <c r="B197" s="1" t="n">
        <v>43746</v>
      </c>
      <c r="C197" s="1" t="n">
        <v>45825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52720-2019</t>
        </is>
      </c>
      <c r="B198" s="1" t="n">
        <v>43746</v>
      </c>
      <c r="C198" s="1" t="n">
        <v>45825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53876-2019</t>
        </is>
      </c>
      <c r="B199" s="1" t="n">
        <v>43752</v>
      </c>
      <c r="C199" s="1" t="n">
        <v>45825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53872-2019</t>
        </is>
      </c>
      <c r="B200" s="1" t="n">
        <v>43752</v>
      </c>
      <c r="C200" s="1" t="n">
        <v>45825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54527-2019</t>
        </is>
      </c>
      <c r="B201" s="1" t="n">
        <v>43754</v>
      </c>
      <c r="C201" s="1" t="n">
        <v>45825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56435-2019</t>
        </is>
      </c>
      <c r="B202" s="1" t="n">
        <v>43756</v>
      </c>
      <c r="C202" s="1" t="n">
        <v>45825</v>
      </c>
      <c r="D202" t="inlineStr">
        <is>
          <t>SÖDERMANLANDS LÄN</t>
        </is>
      </c>
      <c r="E202" t="inlineStr">
        <is>
          <t>ESKILSTUNA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56260-2019</t>
        </is>
      </c>
      <c r="B203" s="1" t="n">
        <v>43762</v>
      </c>
      <c r="C203" s="1" t="n">
        <v>45825</v>
      </c>
      <c r="D203" t="inlineStr">
        <is>
          <t>SÖDERMANLANDS LÄN</t>
        </is>
      </c>
      <c r="E203" t="inlineStr">
        <is>
          <t>ESKILSTUNA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56658-2019</t>
        </is>
      </c>
      <c r="B204" s="1" t="n">
        <v>43763</v>
      </c>
      <c r="C204" s="1" t="n">
        <v>45825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56745-2019</t>
        </is>
      </c>
      <c r="B205" s="1" t="n">
        <v>43763</v>
      </c>
      <c r="C205" s="1" t="n">
        <v>45825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56759-2019</t>
        </is>
      </c>
      <c r="B206" s="1" t="n">
        <v>43763</v>
      </c>
      <c r="C206" s="1" t="n">
        <v>45825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57137-2019</t>
        </is>
      </c>
      <c r="B207" s="1" t="n">
        <v>43766</v>
      </c>
      <c r="C207" s="1" t="n">
        <v>45825</v>
      </c>
      <c r="D207" t="inlineStr">
        <is>
          <t>SÖDERMANLANDS LÄN</t>
        </is>
      </c>
      <c r="E207" t="inlineStr">
        <is>
          <t>ESKILSTUNA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57795-2019</t>
        </is>
      </c>
      <c r="B208" s="1" t="n">
        <v>43768</v>
      </c>
      <c r="C208" s="1" t="n">
        <v>45825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57800-2019</t>
        </is>
      </c>
      <c r="B209" s="1" t="n">
        <v>43768</v>
      </c>
      <c r="C209" s="1" t="n">
        <v>45825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57992-2019</t>
        </is>
      </c>
      <c r="B210" s="1" t="n">
        <v>43769</v>
      </c>
      <c r="C210" s="1" t="n">
        <v>45825</v>
      </c>
      <c r="D210" t="inlineStr">
        <is>
          <t>SÖDERMANLANDS LÄN</t>
        </is>
      </c>
      <c r="E210" t="inlineStr">
        <is>
          <t>ESKILSTUNA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58378-2019</t>
        </is>
      </c>
      <c r="B211" s="1" t="n">
        <v>43771</v>
      </c>
      <c r="C211" s="1" t="n">
        <v>45825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59547-2019</t>
        </is>
      </c>
      <c r="B212" s="1" t="n">
        <v>43776</v>
      </c>
      <c r="C212" s="1" t="n">
        <v>45825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59529-2019</t>
        </is>
      </c>
      <c r="B213" s="1" t="n">
        <v>43776</v>
      </c>
      <c r="C213" s="1" t="n">
        <v>45825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60731-2019</t>
        </is>
      </c>
      <c r="B214" s="1" t="n">
        <v>43781</v>
      </c>
      <c r="C214" s="1" t="n">
        <v>45825</v>
      </c>
      <c r="D214" t="inlineStr">
        <is>
          <t>SÖDERMANLANDS LÄN</t>
        </is>
      </c>
      <c r="E214" t="inlineStr">
        <is>
          <t>ESKILSTUNA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60860-2019</t>
        </is>
      </c>
      <c r="B215" s="1" t="n">
        <v>43781</v>
      </c>
      <c r="C215" s="1" t="n">
        <v>45825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60852-2019</t>
        </is>
      </c>
      <c r="B216" s="1" t="n">
        <v>43781</v>
      </c>
      <c r="C216" s="1" t="n">
        <v>45825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61653-2019</t>
        </is>
      </c>
      <c r="B217" s="1" t="n">
        <v>43784</v>
      </c>
      <c r="C217" s="1" t="n">
        <v>45825</v>
      </c>
      <c r="D217" t="inlineStr">
        <is>
          <t>SÖDERMANLANDS LÄN</t>
        </is>
      </c>
      <c r="E217" t="inlineStr">
        <is>
          <t>ESKILSTUNA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61713-2019</t>
        </is>
      </c>
      <c r="B218" s="1" t="n">
        <v>43784</v>
      </c>
      <c r="C218" s="1" t="n">
        <v>45825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61809-2019</t>
        </is>
      </c>
      <c r="B219" s="1" t="n">
        <v>43786</v>
      </c>
      <c r="C219" s="1" t="n">
        <v>45825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61863-2019</t>
        </is>
      </c>
      <c r="B220" s="1" t="n">
        <v>43787</v>
      </c>
      <c r="C220" s="1" t="n">
        <v>45825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61980-2019</t>
        </is>
      </c>
      <c r="B221" s="1" t="n">
        <v>43787</v>
      </c>
      <c r="C221" s="1" t="n">
        <v>45825</v>
      </c>
      <c r="D221" t="inlineStr">
        <is>
          <t>SÖDERMANLANDS LÄN</t>
        </is>
      </c>
      <c r="E221" t="inlineStr">
        <is>
          <t>ESKILSTUNA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62271-2019</t>
        </is>
      </c>
      <c r="B222" s="1" t="n">
        <v>43788</v>
      </c>
      <c r="C222" s="1" t="n">
        <v>45825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62257-2019</t>
        </is>
      </c>
      <c r="B223" s="1" t="n">
        <v>43788</v>
      </c>
      <c r="C223" s="1" t="n">
        <v>45825</v>
      </c>
      <c r="D223" t="inlineStr">
        <is>
          <t>SÖDERMANLANDS LÄN</t>
        </is>
      </c>
      <c r="E223" t="inlineStr">
        <is>
          <t>ESKILSTUNA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62315-2019</t>
        </is>
      </c>
      <c r="B224" s="1" t="n">
        <v>43788</v>
      </c>
      <c r="C224" s="1" t="n">
        <v>45825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62471-2019</t>
        </is>
      </c>
      <c r="B225" s="1" t="n">
        <v>43788</v>
      </c>
      <c r="C225" s="1" t="n">
        <v>45825</v>
      </c>
      <c r="D225" t="inlineStr">
        <is>
          <t>SÖDERMANLANDS LÄN</t>
        </is>
      </c>
      <c r="E225" t="inlineStr">
        <is>
          <t>ESKILSTUNA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62510-2019</t>
        </is>
      </c>
      <c r="B226" s="1" t="n">
        <v>43788</v>
      </c>
      <c r="C226" s="1" t="n">
        <v>45825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62467-2019</t>
        </is>
      </c>
      <c r="B227" s="1" t="n">
        <v>43788</v>
      </c>
      <c r="C227" s="1" t="n">
        <v>45825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62469-2019</t>
        </is>
      </c>
      <c r="B228" s="1" t="n">
        <v>43788</v>
      </c>
      <c r="C228" s="1" t="n">
        <v>45825</v>
      </c>
      <c r="D228" t="inlineStr">
        <is>
          <t>SÖDERMANLANDS LÄN</t>
        </is>
      </c>
      <c r="E228" t="inlineStr">
        <is>
          <t>ESKILSTUNA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62676-2019</t>
        </is>
      </c>
      <c r="B229" s="1" t="n">
        <v>43789</v>
      </c>
      <c r="C229" s="1" t="n">
        <v>45825</v>
      </c>
      <c r="D229" t="inlineStr">
        <is>
          <t>SÖDERMANLANDS LÄN</t>
        </is>
      </c>
      <c r="E229" t="inlineStr">
        <is>
          <t>ESKILSTUNA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62977-2019</t>
        </is>
      </c>
      <c r="B230" s="1" t="n">
        <v>43790</v>
      </c>
      <c r="C230" s="1" t="n">
        <v>45825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62982-2019</t>
        </is>
      </c>
      <c r="B231" s="1" t="n">
        <v>43790</v>
      </c>
      <c r="C231" s="1" t="n">
        <v>45825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63001-2019</t>
        </is>
      </c>
      <c r="B232" s="1" t="n">
        <v>43790</v>
      </c>
      <c r="C232" s="1" t="n">
        <v>45825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62995-2019</t>
        </is>
      </c>
      <c r="B233" s="1" t="n">
        <v>43790</v>
      </c>
      <c r="C233" s="1" t="n">
        <v>45825</v>
      </c>
      <c r="D233" t="inlineStr">
        <is>
          <t>SÖDERMANLANDS LÄN</t>
        </is>
      </c>
      <c r="E233" t="inlineStr">
        <is>
          <t>ESKILSTUNA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63120-2019</t>
        </is>
      </c>
      <c r="B234" s="1" t="n">
        <v>43791</v>
      </c>
      <c r="C234" s="1" t="n">
        <v>45825</v>
      </c>
      <c r="D234" t="inlineStr">
        <is>
          <t>SÖDERMANLANDS LÄN</t>
        </is>
      </c>
      <c r="E234" t="inlineStr">
        <is>
          <t>ESKILSTUNA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63566-2019</t>
        </is>
      </c>
      <c r="B235" s="1" t="n">
        <v>43795</v>
      </c>
      <c r="C235" s="1" t="n">
        <v>45825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63580-2019</t>
        </is>
      </c>
      <c r="B236" s="1" t="n">
        <v>43795</v>
      </c>
      <c r="C236" s="1" t="n">
        <v>45825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63575-2019</t>
        </is>
      </c>
      <c r="B237" s="1" t="n">
        <v>43795</v>
      </c>
      <c r="C237" s="1" t="n">
        <v>45825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63586-2019</t>
        </is>
      </c>
      <c r="B238" s="1" t="n">
        <v>43795</v>
      </c>
      <c r="C238" s="1" t="n">
        <v>45825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64222-2019</t>
        </is>
      </c>
      <c r="B239" s="1" t="n">
        <v>43797</v>
      </c>
      <c r="C239" s="1" t="n">
        <v>45825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65523-2019</t>
        </is>
      </c>
      <c r="B240" s="1" t="n">
        <v>43803</v>
      </c>
      <c r="C240" s="1" t="n">
        <v>45825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65657-2019</t>
        </is>
      </c>
      <c r="B241" s="1" t="n">
        <v>43804</v>
      </c>
      <c r="C241" s="1" t="n">
        <v>45825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65747-2019</t>
        </is>
      </c>
      <c r="B242" s="1" t="n">
        <v>43804</v>
      </c>
      <c r="C242" s="1" t="n">
        <v>45825</v>
      </c>
      <c r="D242" t="inlineStr">
        <is>
          <t>SÖDERMANLANDS LÄN</t>
        </is>
      </c>
      <c r="E242" t="inlineStr">
        <is>
          <t>ESKILSTUNA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65766-2019</t>
        </is>
      </c>
      <c r="B243" s="1" t="n">
        <v>43804</v>
      </c>
      <c r="C243" s="1" t="n">
        <v>45825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66876-2019</t>
        </is>
      </c>
      <c r="B244" s="1" t="n">
        <v>43804</v>
      </c>
      <c r="C244" s="1" t="n">
        <v>45825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67164-2019</t>
        </is>
      </c>
      <c r="B245" s="1" t="n">
        <v>43804</v>
      </c>
      <c r="C245" s="1" t="n">
        <v>45825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65961-2019</t>
        </is>
      </c>
      <c r="B246" s="1" t="n">
        <v>43805</v>
      </c>
      <c r="C246" s="1" t="n">
        <v>45825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66901-2019</t>
        </is>
      </c>
      <c r="B247" s="1" t="n">
        <v>43805</v>
      </c>
      <c r="C247" s="1" t="n">
        <v>45825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66285-2019</t>
        </is>
      </c>
      <c r="B248" s="1" t="n">
        <v>43808</v>
      </c>
      <c r="C248" s="1" t="n">
        <v>45825</v>
      </c>
      <c r="D248" t="inlineStr">
        <is>
          <t>SÖDERMANLANDS LÄN</t>
        </is>
      </c>
      <c r="E248" t="inlineStr">
        <is>
          <t>ESKILSTUNA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66363-2019</t>
        </is>
      </c>
      <c r="B249" s="1" t="n">
        <v>43808</v>
      </c>
      <c r="C249" s="1" t="n">
        <v>45825</v>
      </c>
      <c r="D249" t="inlineStr">
        <is>
          <t>SÖDERMANLANDS LÄN</t>
        </is>
      </c>
      <c r="E249" t="inlineStr">
        <is>
          <t>ESKILSTUNA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67320-2019</t>
        </is>
      </c>
      <c r="B250" s="1" t="n">
        <v>43808</v>
      </c>
      <c r="C250" s="1" t="n">
        <v>45825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66360-2019</t>
        </is>
      </c>
      <c r="B251" s="1" t="n">
        <v>43808</v>
      </c>
      <c r="C251" s="1" t="n">
        <v>45825</v>
      </c>
      <c r="D251" t="inlineStr">
        <is>
          <t>SÖDERMANLANDS LÄN</t>
        </is>
      </c>
      <c r="E251" t="inlineStr">
        <is>
          <t>ESKILSTUNA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67307-2019</t>
        </is>
      </c>
      <c r="B252" s="1" t="n">
        <v>43808</v>
      </c>
      <c r="C252" s="1" t="n">
        <v>45825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67311-2019</t>
        </is>
      </c>
      <c r="B253" s="1" t="n">
        <v>43812</v>
      </c>
      <c r="C253" s="1" t="n">
        <v>45825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67327-2019</t>
        </is>
      </c>
      <c r="B254" s="1" t="n">
        <v>43812</v>
      </c>
      <c r="C254" s="1" t="n">
        <v>45825</v>
      </c>
      <c r="D254" t="inlineStr">
        <is>
          <t>SÖDERMANLANDS LÄN</t>
        </is>
      </c>
      <c r="E254" t="inlineStr">
        <is>
          <t>ESKILSTUNA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67306-2019</t>
        </is>
      </c>
      <c r="B255" s="1" t="n">
        <v>43812</v>
      </c>
      <c r="C255" s="1" t="n">
        <v>45825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67321-2019</t>
        </is>
      </c>
      <c r="B256" s="1" t="n">
        <v>43812</v>
      </c>
      <c r="C256" s="1" t="n">
        <v>45825</v>
      </c>
      <c r="D256" t="inlineStr">
        <is>
          <t>SÖDERMANLANDS LÄN</t>
        </is>
      </c>
      <c r="E256" t="inlineStr">
        <is>
          <t>ESKILSTUNA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67955-2019</t>
        </is>
      </c>
      <c r="B257" s="1" t="n">
        <v>43816</v>
      </c>
      <c r="C257" s="1" t="n">
        <v>45825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68984-2019</t>
        </is>
      </c>
      <c r="B258" s="1" t="n">
        <v>43825</v>
      </c>
      <c r="C258" s="1" t="n">
        <v>45825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1720-2020</t>
        </is>
      </c>
      <c r="B259" s="1" t="n">
        <v>43844</v>
      </c>
      <c r="C259" s="1" t="n">
        <v>45825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3687-2020</t>
        </is>
      </c>
      <c r="B260" s="1" t="n">
        <v>43845</v>
      </c>
      <c r="C260" s="1" t="n">
        <v>45825</v>
      </c>
      <c r="D260" t="inlineStr">
        <is>
          <t>SÖDERMANLANDS LÄN</t>
        </is>
      </c>
      <c r="E260" t="inlineStr">
        <is>
          <t>ESKILSTUNA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2113-2020</t>
        </is>
      </c>
      <c r="B261" s="1" t="n">
        <v>43846</v>
      </c>
      <c r="C261" s="1" t="n">
        <v>45825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2486-2020</t>
        </is>
      </c>
      <c r="B262" s="1" t="n">
        <v>43847</v>
      </c>
      <c r="C262" s="1" t="n">
        <v>45825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2502-2020</t>
        </is>
      </c>
      <c r="B263" s="1" t="n">
        <v>43847</v>
      </c>
      <c r="C263" s="1" t="n">
        <v>45825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2509-2020</t>
        </is>
      </c>
      <c r="B264" s="1" t="n">
        <v>43847</v>
      </c>
      <c r="C264" s="1" t="n">
        <v>45825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2661-2020</t>
        </is>
      </c>
      <c r="B265" s="1" t="n">
        <v>43848</v>
      </c>
      <c r="C265" s="1" t="n">
        <v>45825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2879-2020</t>
        </is>
      </c>
      <c r="B266" s="1" t="n">
        <v>43850</v>
      </c>
      <c r="C266" s="1" t="n">
        <v>45825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2975-2020</t>
        </is>
      </c>
      <c r="B267" s="1" t="n">
        <v>43850</v>
      </c>
      <c r="C267" s="1" t="n">
        <v>45825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3931-2020</t>
        </is>
      </c>
      <c r="B268" s="1" t="n">
        <v>43851</v>
      </c>
      <c r="C268" s="1" t="n">
        <v>45825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4805-2020</t>
        </is>
      </c>
      <c r="B269" s="1" t="n">
        <v>43852</v>
      </c>
      <c r="C269" s="1" t="n">
        <v>45825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4845-2020</t>
        </is>
      </c>
      <c r="B270" s="1" t="n">
        <v>43852</v>
      </c>
      <c r="C270" s="1" t="n">
        <v>45825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3667-2020</t>
        </is>
      </c>
      <c r="B271" s="1" t="n">
        <v>43853</v>
      </c>
      <c r="C271" s="1" t="n">
        <v>45825</v>
      </c>
      <c r="D271" t="inlineStr">
        <is>
          <t>SÖDERMANLANDS LÄN</t>
        </is>
      </c>
      <c r="E271" t="inlineStr">
        <is>
          <t>ESKILSTUNA</t>
        </is>
      </c>
      <c r="G271" t="n">
        <v>50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3718-2020</t>
        </is>
      </c>
      <c r="B272" s="1" t="n">
        <v>43853</v>
      </c>
      <c r="C272" s="1" t="n">
        <v>45825</v>
      </c>
      <c r="D272" t="inlineStr">
        <is>
          <t>SÖDERMANLANDS LÄN</t>
        </is>
      </c>
      <c r="E272" t="inlineStr">
        <is>
          <t>ESKILSTUNA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5258-2020</t>
        </is>
      </c>
      <c r="B273" s="1" t="n">
        <v>43860</v>
      </c>
      <c r="C273" s="1" t="n">
        <v>45825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5700-2020</t>
        </is>
      </c>
      <c r="B274" s="1" t="n">
        <v>43861</v>
      </c>
      <c r="C274" s="1" t="n">
        <v>45825</v>
      </c>
      <c r="D274" t="inlineStr">
        <is>
          <t>SÖDERMANLANDS LÄN</t>
        </is>
      </c>
      <c r="E274" t="inlineStr">
        <is>
          <t>ESKILSTUNA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5719-2020</t>
        </is>
      </c>
      <c r="B275" s="1" t="n">
        <v>43862</v>
      </c>
      <c r="C275" s="1" t="n">
        <v>45825</v>
      </c>
      <c r="D275" t="inlineStr">
        <is>
          <t>SÖDERMANLANDS LÄN</t>
        </is>
      </c>
      <c r="E275" t="inlineStr">
        <is>
          <t>ESKILSTUNA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6439-2020</t>
        </is>
      </c>
      <c r="B276" s="1" t="n">
        <v>43866</v>
      </c>
      <c r="C276" s="1" t="n">
        <v>45825</v>
      </c>
      <c r="D276" t="inlineStr">
        <is>
          <t>SÖDERMANLANDS LÄN</t>
        </is>
      </c>
      <c r="E276" t="inlineStr">
        <is>
          <t>ESKILSTUNA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10087-2020</t>
        </is>
      </c>
      <c r="B277" s="1" t="n">
        <v>43885</v>
      </c>
      <c r="C277" s="1" t="n">
        <v>45825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11896-2020</t>
        </is>
      </c>
      <c r="B278" s="1" t="n">
        <v>43894</v>
      </c>
      <c r="C278" s="1" t="n">
        <v>45825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12510-2020</t>
        </is>
      </c>
      <c r="B279" s="1" t="n">
        <v>43896</v>
      </c>
      <c r="C279" s="1" t="n">
        <v>45825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13538-2020</t>
        </is>
      </c>
      <c r="B280" s="1" t="n">
        <v>43902</v>
      </c>
      <c r="C280" s="1" t="n">
        <v>45825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13843-2020</t>
        </is>
      </c>
      <c r="B281" s="1" t="n">
        <v>43903</v>
      </c>
      <c r="C281" s="1" t="n">
        <v>45825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14394-2020</t>
        </is>
      </c>
      <c r="B282" s="1" t="n">
        <v>43908</v>
      </c>
      <c r="C282" s="1" t="n">
        <v>45825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14893-2020</t>
        </is>
      </c>
      <c r="B283" s="1" t="n">
        <v>43910</v>
      </c>
      <c r="C283" s="1" t="n">
        <v>45825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15394-2020</t>
        </is>
      </c>
      <c r="B284" s="1" t="n">
        <v>43913</v>
      </c>
      <c r="C284" s="1" t="n">
        <v>45825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16846-2020</t>
        </is>
      </c>
      <c r="B285" s="1" t="n">
        <v>43921</v>
      </c>
      <c r="C285" s="1" t="n">
        <v>45825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16835-2020</t>
        </is>
      </c>
      <c r="B286" s="1" t="n">
        <v>43921</v>
      </c>
      <c r="C286" s="1" t="n">
        <v>45825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19227-2020</t>
        </is>
      </c>
      <c r="B287" s="1" t="n">
        <v>43937</v>
      </c>
      <c r="C287" s="1" t="n">
        <v>45825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19418-2020</t>
        </is>
      </c>
      <c r="B288" s="1" t="n">
        <v>43938</v>
      </c>
      <c r="C288" s="1" t="n">
        <v>45825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19475-2020</t>
        </is>
      </c>
      <c r="B289" s="1" t="n">
        <v>43938</v>
      </c>
      <c r="C289" s="1" t="n">
        <v>45825</v>
      </c>
      <c r="D289" t="inlineStr">
        <is>
          <t>SÖDERMANLANDS LÄN</t>
        </is>
      </c>
      <c r="E289" t="inlineStr">
        <is>
          <t>ESKILSTUNA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19490-2020</t>
        </is>
      </c>
      <c r="B290" s="1" t="n">
        <v>43938</v>
      </c>
      <c r="C290" s="1" t="n">
        <v>45825</v>
      </c>
      <c r="D290" t="inlineStr">
        <is>
          <t>SÖDERMANLANDS LÄN</t>
        </is>
      </c>
      <c r="E290" t="inlineStr">
        <is>
          <t>ESKILSTUNA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19562-2020</t>
        </is>
      </c>
      <c r="B291" s="1" t="n">
        <v>43941</v>
      </c>
      <c r="C291" s="1" t="n">
        <v>45825</v>
      </c>
      <c r="D291" t="inlineStr">
        <is>
          <t>SÖDERMANLANDS LÄN</t>
        </is>
      </c>
      <c r="E291" t="inlineStr">
        <is>
          <t>ESKILSTUNA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22398-2020</t>
        </is>
      </c>
      <c r="B292" s="1" t="n">
        <v>43962</v>
      </c>
      <c r="C292" s="1" t="n">
        <v>45825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23450-2020</t>
        </is>
      </c>
      <c r="B293" s="1" t="n">
        <v>43966</v>
      </c>
      <c r="C293" s="1" t="n">
        <v>45825</v>
      </c>
      <c r="D293" t="inlineStr">
        <is>
          <t>SÖDERMANLANDS LÄN</t>
        </is>
      </c>
      <c r="E293" t="inlineStr">
        <is>
          <t>ESKILSTUNA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23451-2020</t>
        </is>
      </c>
      <c r="B294" s="1" t="n">
        <v>43966</v>
      </c>
      <c r="C294" s="1" t="n">
        <v>45825</v>
      </c>
      <c r="D294" t="inlineStr">
        <is>
          <t>SÖDERMANLANDS LÄN</t>
        </is>
      </c>
      <c r="E294" t="inlineStr">
        <is>
          <t>ESKILSTUNA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26008-2020</t>
        </is>
      </c>
      <c r="B295" s="1" t="n">
        <v>43985</v>
      </c>
      <c r="C295" s="1" t="n">
        <v>45825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26007-2020</t>
        </is>
      </c>
      <c r="B296" s="1" t="n">
        <v>43985</v>
      </c>
      <c r="C296" s="1" t="n">
        <v>45825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26340-2020</t>
        </is>
      </c>
      <c r="B297" s="1" t="n">
        <v>43986</v>
      </c>
      <c r="C297" s="1" t="n">
        <v>45825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26336-2020</t>
        </is>
      </c>
      <c r="B298" s="1" t="n">
        <v>43986</v>
      </c>
      <c r="C298" s="1" t="n">
        <v>45825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27238-2020</t>
        </is>
      </c>
      <c r="B299" s="1" t="n">
        <v>43992</v>
      </c>
      <c r="C299" s="1" t="n">
        <v>45825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27250-2020</t>
        </is>
      </c>
      <c r="B300" s="1" t="n">
        <v>43992</v>
      </c>
      <c r="C300" s="1" t="n">
        <v>45825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27229-2020</t>
        </is>
      </c>
      <c r="B301" s="1" t="n">
        <v>43992</v>
      </c>
      <c r="C301" s="1" t="n">
        <v>45825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28324-2020</t>
        </is>
      </c>
      <c r="B302" s="1" t="n">
        <v>43997</v>
      </c>
      <c r="C302" s="1" t="n">
        <v>45825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28331-2020</t>
        </is>
      </c>
      <c r="B303" s="1" t="n">
        <v>43997</v>
      </c>
      <c r="C303" s="1" t="n">
        <v>45825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29015-2020</t>
        </is>
      </c>
      <c r="B304" s="1" t="n">
        <v>44000</v>
      </c>
      <c r="C304" s="1" t="n">
        <v>45825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29021-2020</t>
        </is>
      </c>
      <c r="B305" s="1" t="n">
        <v>44000</v>
      </c>
      <c r="C305" s="1" t="n">
        <v>45825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30133-2020</t>
        </is>
      </c>
      <c r="B306" s="1" t="n">
        <v>44006</v>
      </c>
      <c r="C306" s="1" t="n">
        <v>45825</v>
      </c>
      <c r="D306" t="inlineStr">
        <is>
          <t>SÖDERMANLANDS LÄN</t>
        </is>
      </c>
      <c r="E306" t="inlineStr">
        <is>
          <t>ESKILSTUNA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31619-2020</t>
        </is>
      </c>
      <c r="B307" s="1" t="n">
        <v>44013</v>
      </c>
      <c r="C307" s="1" t="n">
        <v>45825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31950-2020</t>
        </is>
      </c>
      <c r="B308" s="1" t="n">
        <v>44014</v>
      </c>
      <c r="C308" s="1" t="n">
        <v>45825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32626-2020</t>
        </is>
      </c>
      <c r="B309" s="1" t="n">
        <v>44019</v>
      </c>
      <c r="C309" s="1" t="n">
        <v>45825</v>
      </c>
      <c r="D309" t="inlineStr">
        <is>
          <t>SÖDERMANLANDS LÄN</t>
        </is>
      </c>
      <c r="E309" t="inlineStr">
        <is>
          <t>ESKILSTUNA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34709-2020</t>
        </is>
      </c>
      <c r="B310" s="1" t="n">
        <v>44035</v>
      </c>
      <c r="C310" s="1" t="n">
        <v>45825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35054-2020</t>
        </is>
      </c>
      <c r="B311" s="1" t="n">
        <v>44039</v>
      </c>
      <c r="C311" s="1" t="n">
        <v>45825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35302-2020</t>
        </is>
      </c>
      <c r="B312" s="1" t="n">
        <v>44041</v>
      </c>
      <c r="C312" s="1" t="n">
        <v>45825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35398-2020</t>
        </is>
      </c>
      <c r="B313" s="1" t="n">
        <v>44042</v>
      </c>
      <c r="C313" s="1" t="n">
        <v>45825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35506-2020</t>
        </is>
      </c>
      <c r="B314" s="1" t="n">
        <v>44042</v>
      </c>
      <c r="C314" s="1" t="n">
        <v>45825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36120-2020</t>
        </is>
      </c>
      <c r="B315" s="1" t="n">
        <v>44048</v>
      </c>
      <c r="C315" s="1" t="n">
        <v>45825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36236-2020</t>
        </is>
      </c>
      <c r="B316" s="1" t="n">
        <v>44048</v>
      </c>
      <c r="C316" s="1" t="n">
        <v>45825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37267-2020</t>
        </is>
      </c>
      <c r="B317" s="1" t="n">
        <v>44055</v>
      </c>
      <c r="C317" s="1" t="n">
        <v>45825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37272-2020</t>
        </is>
      </c>
      <c r="B318" s="1" t="n">
        <v>44055</v>
      </c>
      <c r="C318" s="1" t="n">
        <v>45825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37261-2020</t>
        </is>
      </c>
      <c r="B319" s="1" t="n">
        <v>44055</v>
      </c>
      <c r="C319" s="1" t="n">
        <v>45825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38450-2020</t>
        </is>
      </c>
      <c r="B320" s="1" t="n">
        <v>44060</v>
      </c>
      <c r="C320" s="1" t="n">
        <v>45825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40358-2020</t>
        </is>
      </c>
      <c r="B321" s="1" t="n">
        <v>44068</v>
      </c>
      <c r="C321" s="1" t="n">
        <v>45825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40362-2020</t>
        </is>
      </c>
      <c r="B322" s="1" t="n">
        <v>44068</v>
      </c>
      <c r="C322" s="1" t="n">
        <v>45825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41266-2020</t>
        </is>
      </c>
      <c r="B323" s="1" t="n">
        <v>44069</v>
      </c>
      <c r="C323" s="1" t="n">
        <v>45825</v>
      </c>
      <c r="D323" t="inlineStr">
        <is>
          <t>SÖDERMANLANDS LÄN</t>
        </is>
      </c>
      <c r="E323" t="inlineStr">
        <is>
          <t>ESKILSTUNA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40710-2020</t>
        </is>
      </c>
      <c r="B324" s="1" t="n">
        <v>44069</v>
      </c>
      <c r="C324" s="1" t="n">
        <v>45825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41293-2020</t>
        </is>
      </c>
      <c r="B325" s="1" t="n">
        <v>44069</v>
      </c>
      <c r="C325" s="1" t="n">
        <v>45825</v>
      </c>
      <c r="D325" t="inlineStr">
        <is>
          <t>SÖDERMANLANDS LÄN</t>
        </is>
      </c>
      <c r="E325" t="inlineStr">
        <is>
          <t>ESKILSTUNA</t>
        </is>
      </c>
      <c r="G325" t="n">
        <v>29.8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40922-2020</t>
        </is>
      </c>
      <c r="B326" s="1" t="n">
        <v>44070</v>
      </c>
      <c r="C326" s="1" t="n">
        <v>45825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41597-2020</t>
        </is>
      </c>
      <c r="B327" s="1" t="n">
        <v>44074</v>
      </c>
      <c r="C327" s="1" t="n">
        <v>45825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41950-2020</t>
        </is>
      </c>
      <c r="B328" s="1" t="n">
        <v>44075</v>
      </c>
      <c r="C328" s="1" t="n">
        <v>45825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43411-2020</t>
        </is>
      </c>
      <c r="B329" s="1" t="n">
        <v>44081</v>
      </c>
      <c r="C329" s="1" t="n">
        <v>45825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44768-2020</t>
        </is>
      </c>
      <c r="B330" s="1" t="n">
        <v>44085</v>
      </c>
      <c r="C330" s="1" t="n">
        <v>45825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44870-2020</t>
        </is>
      </c>
      <c r="B331" s="1" t="n">
        <v>44087</v>
      </c>
      <c r="C331" s="1" t="n">
        <v>45825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44951-2020</t>
        </is>
      </c>
      <c r="B332" s="1" t="n">
        <v>44088</v>
      </c>
      <c r="C332" s="1" t="n">
        <v>45825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45144-2020</t>
        </is>
      </c>
      <c r="B333" s="1" t="n">
        <v>44088</v>
      </c>
      <c r="C333" s="1" t="n">
        <v>45825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45474-2020</t>
        </is>
      </c>
      <c r="B334" s="1" t="n">
        <v>44089</v>
      </c>
      <c r="C334" s="1" t="n">
        <v>45825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45759-2020</t>
        </is>
      </c>
      <c r="B335" s="1" t="n">
        <v>44090</v>
      </c>
      <c r="C335" s="1" t="n">
        <v>45825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46408-2020</t>
        </is>
      </c>
      <c r="B336" s="1" t="n">
        <v>44094</v>
      </c>
      <c r="C336" s="1" t="n">
        <v>45825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47098-2020</t>
        </is>
      </c>
      <c r="B337" s="1" t="n">
        <v>44096</v>
      </c>
      <c r="C337" s="1" t="n">
        <v>45825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47886-2020</t>
        </is>
      </c>
      <c r="B338" s="1" t="n">
        <v>44099</v>
      </c>
      <c r="C338" s="1" t="n">
        <v>45825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47916-2020</t>
        </is>
      </c>
      <c r="B339" s="1" t="n">
        <v>44099</v>
      </c>
      <c r="C339" s="1" t="n">
        <v>45825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48727-2020</t>
        </is>
      </c>
      <c r="B340" s="1" t="n">
        <v>44099</v>
      </c>
      <c r="C340" s="1" t="n">
        <v>45825</v>
      </c>
      <c r="D340" t="inlineStr">
        <is>
          <t>SÖDERMANLANDS LÄN</t>
        </is>
      </c>
      <c r="E340" t="inlineStr">
        <is>
          <t>ESKILSTUNA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49450-2020</t>
        </is>
      </c>
      <c r="B341" s="1" t="n">
        <v>44105</v>
      </c>
      <c r="C341" s="1" t="n">
        <v>45825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49444-2020</t>
        </is>
      </c>
      <c r="B342" s="1" t="n">
        <v>44105</v>
      </c>
      <c r="C342" s="1" t="n">
        <v>45825</v>
      </c>
      <c r="D342" t="inlineStr">
        <is>
          <t>SÖDERMANLANDS LÄN</t>
        </is>
      </c>
      <c r="E342" t="inlineStr">
        <is>
          <t>ESKILSTUNA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HYPERLINK("https://klasma.github.io/Logging_0484/knärot/A 49444-2020 karta knärot.png", "A 49444-2020")</f>
        <v/>
      </c>
      <c r="V342">
        <f>HYPERLINK("https://klasma.github.io/Logging_0484/klagomål/A 49444-2020 FSC-klagomål.docx", "A 49444-2020")</f>
        <v/>
      </c>
      <c r="W342">
        <f>HYPERLINK("https://klasma.github.io/Logging_0484/klagomålsmail/A 49444-2020 FSC-klagomål mail.docx", "A 49444-2020")</f>
        <v/>
      </c>
      <c r="X342">
        <f>HYPERLINK("https://klasma.github.io/Logging_0484/tillsyn/A 49444-2020 tillsynsbegäran.docx", "A 49444-2020")</f>
        <v/>
      </c>
      <c r="Y342">
        <f>HYPERLINK("https://klasma.github.io/Logging_0484/tillsynsmail/A 49444-2020 tillsynsbegäran mail.docx", "A 49444-2020")</f>
        <v/>
      </c>
    </row>
    <row r="343" ht="15" customHeight="1">
      <c r="A343" t="inlineStr">
        <is>
          <t>A 49454-2020</t>
        </is>
      </c>
      <c r="B343" s="1" t="n">
        <v>44105</v>
      </c>
      <c r="C343" s="1" t="n">
        <v>45825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50165-2020</t>
        </is>
      </c>
      <c r="B344" s="1" t="n">
        <v>44109</v>
      </c>
      <c r="C344" s="1" t="n">
        <v>45825</v>
      </c>
      <c r="D344" t="inlineStr">
        <is>
          <t>SÖDERMANLANDS LÄN</t>
        </is>
      </c>
      <c r="E344" t="inlineStr">
        <is>
          <t>ESKILSTUNA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53085-2020</t>
        </is>
      </c>
      <c r="B345" s="1" t="n">
        <v>44120</v>
      </c>
      <c r="C345" s="1" t="n">
        <v>45825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53805-2020</t>
        </is>
      </c>
      <c r="B346" s="1" t="n">
        <v>44124</v>
      </c>
      <c r="C346" s="1" t="n">
        <v>45825</v>
      </c>
      <c r="D346" t="inlineStr">
        <is>
          <t>SÖDERMANLANDS LÄN</t>
        </is>
      </c>
      <c r="E346" t="inlineStr">
        <is>
          <t>ESKILSTUNA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55308-2020</t>
        </is>
      </c>
      <c r="B347" s="1" t="n">
        <v>44130</v>
      </c>
      <c r="C347" s="1" t="n">
        <v>45825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55914-2020</t>
        </is>
      </c>
      <c r="B348" s="1" t="n">
        <v>44132</v>
      </c>
      <c r="C348" s="1" t="n">
        <v>45825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55968-2020</t>
        </is>
      </c>
      <c r="B349" s="1" t="n">
        <v>44132</v>
      </c>
      <c r="C349" s="1" t="n">
        <v>45825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45825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55971-2020</t>
        </is>
      </c>
      <c r="B351" s="1" t="n">
        <v>44132</v>
      </c>
      <c r="C351" s="1" t="n">
        <v>45825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56556-2020</t>
        </is>
      </c>
      <c r="B352" s="1" t="n">
        <v>44134</v>
      </c>
      <c r="C352" s="1" t="n">
        <v>45825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56449-2020</t>
        </is>
      </c>
      <c r="B353" s="1" t="n">
        <v>44134</v>
      </c>
      <c r="C353" s="1" t="n">
        <v>45825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58475-2020</t>
        </is>
      </c>
      <c r="B354" s="1" t="n">
        <v>44144</v>
      </c>
      <c r="C354" s="1" t="n">
        <v>45825</v>
      </c>
      <c r="D354" t="inlineStr">
        <is>
          <t>SÖDERMANLANDS LÄN</t>
        </is>
      </c>
      <c r="E354" t="inlineStr">
        <is>
          <t>ESKILSTUNA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58620-2020</t>
        </is>
      </c>
      <c r="B355" s="1" t="n">
        <v>44145</v>
      </c>
      <c r="C355" s="1" t="n">
        <v>45825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45825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58622-2020</t>
        </is>
      </c>
      <c r="B357" s="1" t="n">
        <v>44145</v>
      </c>
      <c r="C357" s="1" t="n">
        <v>45825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59079-2020</t>
        </is>
      </c>
      <c r="B358" s="1" t="n">
        <v>44146</v>
      </c>
      <c r="C358" s="1" t="n">
        <v>45825</v>
      </c>
      <c r="D358" t="inlineStr">
        <is>
          <t>SÖDERMANLANDS LÄN</t>
        </is>
      </c>
      <c r="E358" t="inlineStr">
        <is>
          <t>ESKILSTUNA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59379-2020</t>
        </is>
      </c>
      <c r="B359" s="1" t="n">
        <v>44148</v>
      </c>
      <c r="C359" s="1" t="n">
        <v>45825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60576-2020</t>
        </is>
      </c>
      <c r="B360" s="1" t="n">
        <v>44152</v>
      </c>
      <c r="C360" s="1" t="n">
        <v>45825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61219-2020</t>
        </is>
      </c>
      <c r="B361" s="1" t="n">
        <v>44155</v>
      </c>
      <c r="C361" s="1" t="n">
        <v>45825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61162-2020</t>
        </is>
      </c>
      <c r="B362" s="1" t="n">
        <v>44155</v>
      </c>
      <c r="C362" s="1" t="n">
        <v>45825</v>
      </c>
      <c r="D362" t="inlineStr">
        <is>
          <t>SÖDERMANLANDS LÄN</t>
        </is>
      </c>
      <c r="E362" t="inlineStr">
        <is>
          <t>ESKILSTUNA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61348-2020</t>
        </is>
      </c>
      <c r="B363" s="1" t="n">
        <v>44155</v>
      </c>
      <c r="C363" s="1" t="n">
        <v>45825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45825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64360-2020</t>
        </is>
      </c>
      <c r="B365" s="1" t="n">
        <v>44166</v>
      </c>
      <c r="C365" s="1" t="n">
        <v>45825</v>
      </c>
      <c r="D365" t="inlineStr">
        <is>
          <t>SÖDERMANLANDS LÄN</t>
        </is>
      </c>
      <c r="E365" t="inlineStr">
        <is>
          <t>ESKILSTUNA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64177-2020</t>
        </is>
      </c>
      <c r="B366" s="1" t="n">
        <v>44167</v>
      </c>
      <c r="C366" s="1" t="n">
        <v>45825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65205-2020</t>
        </is>
      </c>
      <c r="B367" s="1" t="n">
        <v>44172</v>
      </c>
      <c r="C367" s="1" t="n">
        <v>45825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45825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65202-2020</t>
        </is>
      </c>
      <c r="B369" s="1" t="n">
        <v>44172</v>
      </c>
      <c r="C369" s="1" t="n">
        <v>45825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65212-2020</t>
        </is>
      </c>
      <c r="B370" s="1" t="n">
        <v>44172</v>
      </c>
      <c r="C370" s="1" t="n">
        <v>45825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45825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66312-2020</t>
        </is>
      </c>
      <c r="B372" s="1" t="n">
        <v>44174</v>
      </c>
      <c r="C372" s="1" t="n">
        <v>45825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66330-2020</t>
        </is>
      </c>
      <c r="B373" s="1" t="n">
        <v>44174</v>
      </c>
      <c r="C373" s="1" t="n">
        <v>45825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66041-2020</t>
        </is>
      </c>
      <c r="B374" s="1" t="n">
        <v>44175</v>
      </c>
      <c r="C374" s="1" t="n">
        <v>45825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66453-2020</t>
        </is>
      </c>
      <c r="B375" s="1" t="n">
        <v>44176</v>
      </c>
      <c r="C375" s="1" t="n">
        <v>45825</v>
      </c>
      <c r="D375" t="inlineStr">
        <is>
          <t>SÖDERMANLANDS LÄN</t>
        </is>
      </c>
      <c r="E375" t="inlineStr">
        <is>
          <t>ESKILSTUNA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66936-2020</t>
        </is>
      </c>
      <c r="B376" s="1" t="n">
        <v>44180</v>
      </c>
      <c r="C376" s="1" t="n">
        <v>45825</v>
      </c>
      <c r="D376" t="inlineStr">
        <is>
          <t>SÖDERMANLANDS LÄN</t>
        </is>
      </c>
      <c r="E376" t="inlineStr">
        <is>
          <t>ESKILSTUNA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66946-2020</t>
        </is>
      </c>
      <c r="B377" s="1" t="n">
        <v>44180</v>
      </c>
      <c r="C377" s="1" t="n">
        <v>45825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69143-2020</t>
        </is>
      </c>
      <c r="B378" s="1" t="n">
        <v>44188</v>
      </c>
      <c r="C378" s="1" t="n">
        <v>45825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69563-2020</t>
        </is>
      </c>
      <c r="B379" s="1" t="n">
        <v>44194</v>
      </c>
      <c r="C379" s="1" t="n">
        <v>45825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471-2021</t>
        </is>
      </c>
      <c r="B380" s="1" t="n">
        <v>44203</v>
      </c>
      <c r="C380" s="1" t="n">
        <v>45825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473-2021</t>
        </is>
      </c>
      <c r="B381" s="1" t="n">
        <v>44203</v>
      </c>
      <c r="C381" s="1" t="n">
        <v>45825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1655-2021</t>
        </is>
      </c>
      <c r="B382" s="1" t="n">
        <v>44209</v>
      </c>
      <c r="C382" s="1" t="n">
        <v>45825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1694-2021</t>
        </is>
      </c>
      <c r="B383" s="1" t="n">
        <v>44209</v>
      </c>
      <c r="C383" s="1" t="n">
        <v>45825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2071-2021</t>
        </is>
      </c>
      <c r="B384" s="1" t="n">
        <v>44211</v>
      </c>
      <c r="C384" s="1" t="n">
        <v>45825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2113-2021</t>
        </is>
      </c>
      <c r="B385" s="1" t="n">
        <v>44211</v>
      </c>
      <c r="C385" s="1" t="n">
        <v>45825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2362-2021</t>
        </is>
      </c>
      <c r="B386" s="1" t="n">
        <v>44214</v>
      </c>
      <c r="C386" s="1" t="n">
        <v>45825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45825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3720-2021</t>
        </is>
      </c>
      <c r="B388" s="1" t="n">
        <v>44221</v>
      </c>
      <c r="C388" s="1" t="n">
        <v>45825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3718-2021</t>
        </is>
      </c>
      <c r="B389" s="1" t="n">
        <v>44221</v>
      </c>
      <c r="C389" s="1" t="n">
        <v>45825</v>
      </c>
      <c r="D389" t="inlineStr">
        <is>
          <t>SÖDERMANLANDS LÄN</t>
        </is>
      </c>
      <c r="E389" t="inlineStr">
        <is>
          <t>ESKILSTUNA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3722-2021</t>
        </is>
      </c>
      <c r="B390" s="1" t="n">
        <v>44221</v>
      </c>
      <c r="C390" s="1" t="n">
        <v>45825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3721-2021</t>
        </is>
      </c>
      <c r="B391" s="1" t="n">
        <v>44221</v>
      </c>
      <c r="C391" s="1" t="n">
        <v>45825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4426-2021</t>
        </is>
      </c>
      <c r="B392" s="1" t="n">
        <v>44221</v>
      </c>
      <c r="C392" s="1" t="n">
        <v>45825</v>
      </c>
      <c r="D392" t="inlineStr">
        <is>
          <t>SÖDERMANLANDS LÄN</t>
        </is>
      </c>
      <c r="E392" t="inlineStr">
        <is>
          <t>ESKILSTUNA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4635-2021</t>
        </is>
      </c>
      <c r="B393" s="1" t="n">
        <v>44224</v>
      </c>
      <c r="C393" s="1" t="n">
        <v>45825</v>
      </c>
      <c r="D393" t="inlineStr">
        <is>
          <t>SÖDERMANLANDS LÄN</t>
        </is>
      </c>
      <c r="E393" t="inlineStr">
        <is>
          <t>ESKILSTUNA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5569-2021</t>
        </is>
      </c>
      <c r="B394" s="1" t="n">
        <v>44230</v>
      </c>
      <c r="C394" s="1" t="n">
        <v>45825</v>
      </c>
      <c r="D394" t="inlineStr">
        <is>
          <t>SÖDERMANLANDS LÄN</t>
        </is>
      </c>
      <c r="E394" t="inlineStr">
        <is>
          <t>ESKILSTUNA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7213-2021</t>
        </is>
      </c>
      <c r="B395" s="1" t="n">
        <v>44238</v>
      </c>
      <c r="C395" s="1" t="n">
        <v>45825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7237-2021</t>
        </is>
      </c>
      <c r="B396" s="1" t="n">
        <v>44238</v>
      </c>
      <c r="C396" s="1" t="n">
        <v>45825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7346-2021</t>
        </is>
      </c>
      <c r="B397" s="1" t="n">
        <v>44239</v>
      </c>
      <c r="C397" s="1" t="n">
        <v>45825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7671-2021</t>
        </is>
      </c>
      <c r="B398" s="1" t="n">
        <v>44239</v>
      </c>
      <c r="C398" s="1" t="n">
        <v>45825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8609-2021</t>
        </is>
      </c>
      <c r="B399" s="1" t="n">
        <v>44245</v>
      </c>
      <c r="C399" s="1" t="n">
        <v>45825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8619-2021</t>
        </is>
      </c>
      <c r="B400" s="1" t="n">
        <v>44245</v>
      </c>
      <c r="C400" s="1" t="n">
        <v>45825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8610-2021</t>
        </is>
      </c>
      <c r="B401" s="1" t="n">
        <v>44245</v>
      </c>
      <c r="C401" s="1" t="n">
        <v>45825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8616-2021</t>
        </is>
      </c>
      <c r="B402" s="1" t="n">
        <v>44245</v>
      </c>
      <c r="C402" s="1" t="n">
        <v>45825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8614-2021</t>
        </is>
      </c>
      <c r="B403" s="1" t="n">
        <v>44245</v>
      </c>
      <c r="C403" s="1" t="n">
        <v>45825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9374-2021</t>
        </is>
      </c>
      <c r="B404" s="1" t="n">
        <v>44250</v>
      </c>
      <c r="C404" s="1" t="n">
        <v>45825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9595-2021</t>
        </is>
      </c>
      <c r="B405" s="1" t="n">
        <v>44251</v>
      </c>
      <c r="C405" s="1" t="n">
        <v>45825</v>
      </c>
      <c r="D405" t="inlineStr">
        <is>
          <t>SÖDERMANLANDS LÄN</t>
        </is>
      </c>
      <c r="E405" t="inlineStr">
        <is>
          <t>ESKILSTUNA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9606-2021</t>
        </is>
      </c>
      <c r="B406" s="1" t="n">
        <v>44251</v>
      </c>
      <c r="C406" s="1" t="n">
        <v>45825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10748-2021</t>
        </is>
      </c>
      <c r="B407" s="1" t="n">
        <v>44258</v>
      </c>
      <c r="C407" s="1" t="n">
        <v>45825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10835-2021</t>
        </is>
      </c>
      <c r="B408" s="1" t="n">
        <v>44258</v>
      </c>
      <c r="C408" s="1" t="n">
        <v>45825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11169-2021</t>
        </is>
      </c>
      <c r="B409" s="1" t="n">
        <v>44262</v>
      </c>
      <c r="C409" s="1" t="n">
        <v>45825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11252-2021</t>
        </is>
      </c>
      <c r="B410" s="1" t="n">
        <v>44262</v>
      </c>
      <c r="C410" s="1" t="n">
        <v>45825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14641-2021</t>
        </is>
      </c>
      <c r="B411" s="1" t="n">
        <v>44280</v>
      </c>
      <c r="C411" s="1" t="n">
        <v>45825</v>
      </c>
      <c r="D411" t="inlineStr">
        <is>
          <t>SÖDERMANLANDS LÄN</t>
        </is>
      </c>
      <c r="E411" t="inlineStr">
        <is>
          <t>ESKILSTUNA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15397-2021</t>
        </is>
      </c>
      <c r="B412" s="1" t="n">
        <v>44284</v>
      </c>
      <c r="C412" s="1" t="n">
        <v>45825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15423-2021</t>
        </is>
      </c>
      <c r="B413" s="1" t="n">
        <v>44285</v>
      </c>
      <c r="C413" s="1" t="n">
        <v>45825</v>
      </c>
      <c r="D413" t="inlineStr">
        <is>
          <t>SÖDERMANLANDS LÄN</t>
        </is>
      </c>
      <c r="E413" t="inlineStr">
        <is>
          <t>ESKILSTUNA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16917-2021</t>
        </is>
      </c>
      <c r="B414" s="1" t="n">
        <v>44295</v>
      </c>
      <c r="C414" s="1" t="n">
        <v>45825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17244-2021</t>
        </is>
      </c>
      <c r="B415" s="1" t="n">
        <v>44298</v>
      </c>
      <c r="C415" s="1" t="n">
        <v>45825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18524-2021</t>
        </is>
      </c>
      <c r="B416" s="1" t="n">
        <v>44306</v>
      </c>
      <c r="C416" s="1" t="n">
        <v>45825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18954-2021</t>
        </is>
      </c>
      <c r="B417" s="1" t="n">
        <v>44307</v>
      </c>
      <c r="C417" s="1" t="n">
        <v>45825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18942-2021</t>
        </is>
      </c>
      <c r="B418" s="1" t="n">
        <v>44308</v>
      </c>
      <c r="C418" s="1" t="n">
        <v>45825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19888-2021</t>
        </is>
      </c>
      <c r="B419" s="1" t="n">
        <v>44312</v>
      </c>
      <c r="C419" s="1" t="n">
        <v>45825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19849-2021</t>
        </is>
      </c>
      <c r="B420" s="1" t="n">
        <v>44313</v>
      </c>
      <c r="C420" s="1" t="n">
        <v>45825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20030-2021</t>
        </is>
      </c>
      <c r="B421" s="1" t="n">
        <v>44313</v>
      </c>
      <c r="C421" s="1" t="n">
        <v>45825</v>
      </c>
      <c r="D421" t="inlineStr">
        <is>
          <t>SÖDERMANLANDS LÄN</t>
        </is>
      </c>
      <c r="E421" t="inlineStr">
        <is>
          <t>ESKILSTUNA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22922-2021</t>
        </is>
      </c>
      <c r="B422" s="1" t="n">
        <v>44328</v>
      </c>
      <c r="C422" s="1" t="n">
        <v>45825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23058-2021</t>
        </is>
      </c>
      <c r="B423" s="1" t="n">
        <v>44329</v>
      </c>
      <c r="C423" s="1" t="n">
        <v>45825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23371-2021</t>
        </is>
      </c>
      <c r="B424" s="1" t="n">
        <v>44333</v>
      </c>
      <c r="C424" s="1" t="n">
        <v>45825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24113-2021</t>
        </is>
      </c>
      <c r="B425" s="1" t="n">
        <v>44336</v>
      </c>
      <c r="C425" s="1" t="n">
        <v>45825</v>
      </c>
      <c r="D425" t="inlineStr">
        <is>
          <t>SÖDERMANLANDS LÄN</t>
        </is>
      </c>
      <c r="E425" t="inlineStr">
        <is>
          <t>ESKILSTUNA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26996-2021</t>
        </is>
      </c>
      <c r="B426" s="1" t="n">
        <v>44350</v>
      </c>
      <c r="C426" s="1" t="n">
        <v>45825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28039-2021</t>
        </is>
      </c>
      <c r="B427" s="1" t="n">
        <v>44355</v>
      </c>
      <c r="C427" s="1" t="n">
        <v>45825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28046-2021</t>
        </is>
      </c>
      <c r="B428" s="1" t="n">
        <v>44355</v>
      </c>
      <c r="C428" s="1" t="n">
        <v>45825</v>
      </c>
      <c r="D428" t="inlineStr">
        <is>
          <t>SÖDERMANLANDS LÄN</t>
        </is>
      </c>
      <c r="E428" t="inlineStr">
        <is>
          <t>ESKILSTUNA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29762-2021</t>
        </is>
      </c>
      <c r="B429" s="1" t="n">
        <v>44362</v>
      </c>
      <c r="C429" s="1" t="n">
        <v>45825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29745-2021</t>
        </is>
      </c>
      <c r="B430" s="1" t="n">
        <v>44362</v>
      </c>
      <c r="C430" s="1" t="n">
        <v>45825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34055-2021</t>
        </is>
      </c>
      <c r="B431" s="1" t="n">
        <v>44379</v>
      </c>
      <c r="C431" s="1" t="n">
        <v>45825</v>
      </c>
      <c r="D431" t="inlineStr">
        <is>
          <t>SÖDERMANLANDS LÄN</t>
        </is>
      </c>
      <c r="E431" t="inlineStr">
        <is>
          <t>ESKILSTUNA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34915-2021</t>
        </is>
      </c>
      <c r="B432" s="1" t="n">
        <v>44382</v>
      </c>
      <c r="C432" s="1" t="n">
        <v>45825</v>
      </c>
      <c r="D432" t="inlineStr">
        <is>
          <t>SÖDERMANLANDS LÄN</t>
        </is>
      </c>
      <c r="E432" t="inlineStr">
        <is>
          <t>ESKILSTUNA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36735-2021</t>
        </is>
      </c>
      <c r="B433" s="1" t="n">
        <v>44392</v>
      </c>
      <c r="C433" s="1" t="n">
        <v>45825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37908-2021</t>
        </is>
      </c>
      <c r="B434" s="1" t="n">
        <v>44403</v>
      </c>
      <c r="C434" s="1" t="n">
        <v>45825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38263-2021</t>
        </is>
      </c>
      <c r="B435" s="1" t="n">
        <v>44405</v>
      </c>
      <c r="C435" s="1" t="n">
        <v>45825</v>
      </c>
      <c r="D435" t="inlineStr">
        <is>
          <t>SÖDERMANLANDS LÄN</t>
        </is>
      </c>
      <c r="E435" t="inlineStr">
        <is>
          <t>ESKILSTUNA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38824-2021</t>
        </is>
      </c>
      <c r="B436" s="1" t="n">
        <v>44410</v>
      </c>
      <c r="C436" s="1" t="n">
        <v>45825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38866-2021</t>
        </is>
      </c>
      <c r="B437" s="1" t="n">
        <v>44410</v>
      </c>
      <c r="C437" s="1" t="n">
        <v>45825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38849-2021</t>
        </is>
      </c>
      <c r="B438" s="1" t="n">
        <v>44410</v>
      </c>
      <c r="C438" s="1" t="n">
        <v>45825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41997-2021</t>
        </is>
      </c>
      <c r="B439" s="1" t="n">
        <v>44426</v>
      </c>
      <c r="C439" s="1" t="n">
        <v>45825</v>
      </c>
      <c r="D439" t="inlineStr">
        <is>
          <t>SÖDERMANLANDS LÄN</t>
        </is>
      </c>
      <c r="E439" t="inlineStr">
        <is>
          <t>ESKILSTUNA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45825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42002-2021</t>
        </is>
      </c>
      <c r="B441" s="1" t="n">
        <v>44426</v>
      </c>
      <c r="C441" s="1" t="n">
        <v>45825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42016-2021</t>
        </is>
      </c>
      <c r="B442" s="1" t="n">
        <v>44426</v>
      </c>
      <c r="C442" s="1" t="n">
        <v>45825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43130-2021</t>
        </is>
      </c>
      <c r="B443" s="1" t="n">
        <v>44431</v>
      </c>
      <c r="C443" s="1" t="n">
        <v>45825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43156-2021</t>
        </is>
      </c>
      <c r="B444" s="1" t="n">
        <v>44431</v>
      </c>
      <c r="C444" s="1" t="n">
        <v>45825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43149-2021</t>
        </is>
      </c>
      <c r="B445" s="1" t="n">
        <v>44431</v>
      </c>
      <c r="C445" s="1" t="n">
        <v>45825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43397-2021</t>
        </is>
      </c>
      <c r="B446" s="1" t="n">
        <v>44432</v>
      </c>
      <c r="C446" s="1" t="n">
        <v>45825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43396-2021</t>
        </is>
      </c>
      <c r="B447" s="1" t="n">
        <v>44432</v>
      </c>
      <c r="C447" s="1" t="n">
        <v>45825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43403-2021</t>
        </is>
      </c>
      <c r="B448" s="1" t="n">
        <v>44432</v>
      </c>
      <c r="C448" s="1" t="n">
        <v>45825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43389-2021</t>
        </is>
      </c>
      <c r="B449" s="1" t="n">
        <v>44432</v>
      </c>
      <c r="C449" s="1" t="n">
        <v>45825</v>
      </c>
      <c r="D449" t="inlineStr">
        <is>
          <t>SÖDERMANLANDS LÄN</t>
        </is>
      </c>
      <c r="E449" t="inlineStr">
        <is>
          <t>ESKILSTUNA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45825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43606-2021</t>
        </is>
      </c>
      <c r="B451" s="1" t="n">
        <v>44433</v>
      </c>
      <c r="C451" s="1" t="n">
        <v>45825</v>
      </c>
      <c r="D451" t="inlineStr">
        <is>
          <t>SÖDERMANLANDS LÄN</t>
        </is>
      </c>
      <c r="E451" t="inlineStr">
        <is>
          <t>ESKILSTUNA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44019-2021</t>
        </is>
      </c>
      <c r="B452" s="1" t="n">
        <v>44434</v>
      </c>
      <c r="C452" s="1" t="n">
        <v>45825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44347-2021</t>
        </is>
      </c>
      <c r="B453" s="1" t="n">
        <v>44435</v>
      </c>
      <c r="C453" s="1" t="n">
        <v>45825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45852-2021</t>
        </is>
      </c>
      <c r="B454" s="1" t="n">
        <v>44441</v>
      </c>
      <c r="C454" s="1" t="n">
        <v>45825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45999-2021</t>
        </is>
      </c>
      <c r="B455" s="1" t="n">
        <v>44441</v>
      </c>
      <c r="C455" s="1" t="n">
        <v>45825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47988-2021</t>
        </is>
      </c>
      <c r="B456" s="1" t="n">
        <v>44449</v>
      </c>
      <c r="C456" s="1" t="n">
        <v>45825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47965-2021</t>
        </is>
      </c>
      <c r="B457" s="1" t="n">
        <v>44449</v>
      </c>
      <c r="C457" s="1" t="n">
        <v>45825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47981-2021</t>
        </is>
      </c>
      <c r="B458" s="1" t="n">
        <v>44449</v>
      </c>
      <c r="C458" s="1" t="n">
        <v>45825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48168-2021</t>
        </is>
      </c>
      <c r="B459" s="1" t="n">
        <v>44449</v>
      </c>
      <c r="C459" s="1" t="n">
        <v>45825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45825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49055-2021</t>
        </is>
      </c>
      <c r="B461" s="1" t="n">
        <v>44453</v>
      </c>
      <c r="C461" s="1" t="n">
        <v>45825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49439-2021</t>
        </is>
      </c>
      <c r="B462" s="1" t="n">
        <v>44454</v>
      </c>
      <c r="C462" s="1" t="n">
        <v>45825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49666-2021</t>
        </is>
      </c>
      <c r="B463" s="1" t="n">
        <v>44455</v>
      </c>
      <c r="C463" s="1" t="n">
        <v>45825</v>
      </c>
      <c r="D463" t="inlineStr">
        <is>
          <t>SÖDERMANLANDS LÄN</t>
        </is>
      </c>
      <c r="E463" t="inlineStr">
        <is>
          <t>ESKILSTUNA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51486-2021</t>
        </is>
      </c>
      <c r="B464" s="1" t="n">
        <v>44461</v>
      </c>
      <c r="C464" s="1" t="n">
        <v>45825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52830-2021</t>
        </is>
      </c>
      <c r="B465" s="1" t="n">
        <v>44467</v>
      </c>
      <c r="C465" s="1" t="n">
        <v>45825</v>
      </c>
      <c r="D465" t="inlineStr">
        <is>
          <t>SÖDERMANLANDS LÄN</t>
        </is>
      </c>
      <c r="E465" t="inlineStr">
        <is>
          <t>ESKILSTUNA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52825-2021</t>
        </is>
      </c>
      <c r="B466" s="1" t="n">
        <v>44467</v>
      </c>
      <c r="C466" s="1" t="n">
        <v>45825</v>
      </c>
      <c r="D466" t="inlineStr">
        <is>
          <t>SÖDERMANLANDS LÄN</t>
        </is>
      </c>
      <c r="E466" t="inlineStr">
        <is>
          <t>ESKILSTUNA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53280-2021</t>
        </is>
      </c>
      <c r="B467" s="1" t="n">
        <v>44468</v>
      </c>
      <c r="C467" s="1" t="n">
        <v>45825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53208-2021</t>
        </is>
      </c>
      <c r="B468" s="1" t="n">
        <v>44468</v>
      </c>
      <c r="C468" s="1" t="n">
        <v>45825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53476-2021</t>
        </is>
      </c>
      <c r="B469" s="1" t="n">
        <v>44468</v>
      </c>
      <c r="C469" s="1" t="n">
        <v>45825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53661-2021</t>
        </is>
      </c>
      <c r="B470" s="1" t="n">
        <v>44469</v>
      </c>
      <c r="C470" s="1" t="n">
        <v>45825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45825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54047-2021</t>
        </is>
      </c>
      <c r="B472" s="1" t="n">
        <v>44470</v>
      </c>
      <c r="C472" s="1" t="n">
        <v>45825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54598-2021</t>
        </is>
      </c>
      <c r="B473" s="1" t="n">
        <v>44473</v>
      </c>
      <c r="C473" s="1" t="n">
        <v>45825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54633-2021</t>
        </is>
      </c>
      <c r="B474" s="1" t="n">
        <v>44473</v>
      </c>
      <c r="C474" s="1" t="n">
        <v>45825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54953-2021</t>
        </is>
      </c>
      <c r="B475" s="1" t="n">
        <v>44474</v>
      </c>
      <c r="C475" s="1" t="n">
        <v>45825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57052-2021</t>
        </is>
      </c>
      <c r="B476" s="1" t="n">
        <v>44482</v>
      </c>
      <c r="C476" s="1" t="n">
        <v>45825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</v>
      </c>
      <c r="C477" s="1" t="n">
        <v>45825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45825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57661-2021</t>
        </is>
      </c>
      <c r="B479" s="1" t="n">
        <v>44484</v>
      </c>
      <c r="C479" s="1" t="n">
        <v>45825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59275-2021</t>
        </is>
      </c>
      <c r="B480" s="1" t="n">
        <v>44490</v>
      </c>
      <c r="C480" s="1" t="n">
        <v>45825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59276-2021</t>
        </is>
      </c>
      <c r="B481" s="1" t="n">
        <v>44490</v>
      </c>
      <c r="C481" s="1" t="n">
        <v>45825</v>
      </c>
      <c r="D481" t="inlineStr">
        <is>
          <t>SÖDERMANLANDS LÄN</t>
        </is>
      </c>
      <c r="E481" t="inlineStr">
        <is>
          <t>ESKILSTUNA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59274-2021</t>
        </is>
      </c>
      <c r="B482" s="1" t="n">
        <v>44490</v>
      </c>
      <c r="C482" s="1" t="n">
        <v>45825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59271-2021</t>
        </is>
      </c>
      <c r="B483" s="1" t="n">
        <v>44490</v>
      </c>
      <c r="C483" s="1" t="n">
        <v>45825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60721-2021</t>
        </is>
      </c>
      <c r="B484" s="1" t="n">
        <v>44490</v>
      </c>
      <c r="C484" s="1" t="n">
        <v>45825</v>
      </c>
      <c r="D484" t="inlineStr">
        <is>
          <t>SÖDERMANLANDS LÄN</t>
        </is>
      </c>
      <c r="E484" t="inlineStr">
        <is>
          <t>ESKILSTUNA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60143-2021</t>
        </is>
      </c>
      <c r="B485" s="1" t="n">
        <v>44494</v>
      </c>
      <c r="C485" s="1" t="n">
        <v>45825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60521-2021</t>
        </is>
      </c>
      <c r="B486" s="1" t="n">
        <v>44495</v>
      </c>
      <c r="C486" s="1" t="n">
        <v>45825</v>
      </c>
      <c r="D486" t="inlineStr">
        <is>
          <t>SÖDERMANLANDS LÄN</t>
        </is>
      </c>
      <c r="E486" t="inlineStr">
        <is>
          <t>ESKILSTUNA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60745-2021</t>
        </is>
      </c>
      <c r="B487" s="1" t="n">
        <v>44496</v>
      </c>
      <c r="C487" s="1" t="n">
        <v>45825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45825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61321-2021</t>
        </is>
      </c>
      <c r="B489" s="1" t="n">
        <v>44497</v>
      </c>
      <c r="C489" s="1" t="n">
        <v>45825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45825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61368-2021</t>
        </is>
      </c>
      <c r="B491" s="1" t="n">
        <v>44499</v>
      </c>
      <c r="C491" s="1" t="n">
        <v>45825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62308-2021</t>
        </is>
      </c>
      <c r="B492" s="1" t="n">
        <v>44503</v>
      </c>
      <c r="C492" s="1" t="n">
        <v>45825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64147-2021</t>
        </is>
      </c>
      <c r="B493" s="1" t="n">
        <v>44510</v>
      </c>
      <c r="C493" s="1" t="n">
        <v>45825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65349-2021</t>
        </is>
      </c>
      <c r="B494" s="1" t="n">
        <v>44515</v>
      </c>
      <c r="C494" s="1" t="n">
        <v>45825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65347-2021</t>
        </is>
      </c>
      <c r="B495" s="1" t="n">
        <v>44515</v>
      </c>
      <c r="C495" s="1" t="n">
        <v>45825</v>
      </c>
      <c r="D495" t="inlineStr">
        <is>
          <t>SÖDERMANLANDS LÄN</t>
        </is>
      </c>
      <c r="E495" t="inlineStr">
        <is>
          <t>ESKILSTUNA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65406-2021</t>
        </is>
      </c>
      <c r="B496" s="1" t="n">
        <v>44515</v>
      </c>
      <c r="C496" s="1" t="n">
        <v>45825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65516-2021</t>
        </is>
      </c>
      <c r="B497" s="1" t="n">
        <v>44516</v>
      </c>
      <c r="C497" s="1" t="n">
        <v>45825</v>
      </c>
      <c r="D497" t="inlineStr">
        <is>
          <t>SÖDERMANLANDS LÄN</t>
        </is>
      </c>
      <c r="E497" t="inlineStr">
        <is>
          <t>ESKILSTUNA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65595-2021</t>
        </is>
      </c>
      <c r="B498" s="1" t="n">
        <v>44516</v>
      </c>
      <c r="C498" s="1" t="n">
        <v>45825</v>
      </c>
      <c r="D498" t="inlineStr">
        <is>
          <t>SÖDERMANLANDS LÄN</t>
        </is>
      </c>
      <c r="E498" t="inlineStr">
        <is>
          <t>ESKILSTUNA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65614-2021</t>
        </is>
      </c>
      <c r="B499" s="1" t="n">
        <v>44516</v>
      </c>
      <c r="C499" s="1" t="n">
        <v>45825</v>
      </c>
      <c r="D499" t="inlineStr">
        <is>
          <t>SÖDERMANLANDS LÄN</t>
        </is>
      </c>
      <c r="E499" t="inlineStr">
        <is>
          <t>ESKILSTUNA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65694-2021</t>
        </is>
      </c>
      <c r="B500" s="1" t="n">
        <v>44516</v>
      </c>
      <c r="C500" s="1" t="n">
        <v>45825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66132-2021</t>
        </is>
      </c>
      <c r="B501" s="1" t="n">
        <v>44517</v>
      </c>
      <c r="C501" s="1" t="n">
        <v>45825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66131-2021</t>
        </is>
      </c>
      <c r="B502" s="1" t="n">
        <v>44517</v>
      </c>
      <c r="C502" s="1" t="n">
        <v>45825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67047-2021</t>
        </is>
      </c>
      <c r="B503" s="1" t="n">
        <v>44522</v>
      </c>
      <c r="C503" s="1" t="n">
        <v>45825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67516-2021</t>
        </is>
      </c>
      <c r="B504" s="1" t="n">
        <v>44524</v>
      </c>
      <c r="C504" s="1" t="n">
        <v>45825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67529-2021</t>
        </is>
      </c>
      <c r="B505" s="1" t="n">
        <v>44524</v>
      </c>
      <c r="C505" s="1" t="n">
        <v>45825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68023-2021</t>
        </is>
      </c>
      <c r="B506" s="1" t="n">
        <v>44525</v>
      </c>
      <c r="C506" s="1" t="n">
        <v>45825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68020-2021</t>
        </is>
      </c>
      <c r="B507" s="1" t="n">
        <v>44525</v>
      </c>
      <c r="C507" s="1" t="n">
        <v>45825</v>
      </c>
      <c r="D507" t="inlineStr">
        <is>
          <t>SÖDERMANLANDS LÄN</t>
        </is>
      </c>
      <c r="E507" t="inlineStr">
        <is>
          <t>ESKILSTUNA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</v>
      </c>
      <c r="C508" s="1" t="n">
        <v>45825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</v>
      </c>
      <c r="C509" s="1" t="n">
        <v>45825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70082-2021</t>
        </is>
      </c>
      <c r="B510" s="1" t="n">
        <v>44533</v>
      </c>
      <c r="C510" s="1" t="n">
        <v>45825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70064-2021</t>
        </is>
      </c>
      <c r="B511" s="1" t="n">
        <v>44533</v>
      </c>
      <c r="C511" s="1" t="n">
        <v>45825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70056-2021</t>
        </is>
      </c>
      <c r="B512" s="1" t="n">
        <v>44533</v>
      </c>
      <c r="C512" s="1" t="n">
        <v>45825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70191-2021</t>
        </is>
      </c>
      <c r="B513" s="1" t="n">
        <v>44533</v>
      </c>
      <c r="C513" s="1" t="n">
        <v>45825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70038-2021</t>
        </is>
      </c>
      <c r="B514" s="1" t="n">
        <v>44533</v>
      </c>
      <c r="C514" s="1" t="n">
        <v>45825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70051-2021</t>
        </is>
      </c>
      <c r="B515" s="1" t="n">
        <v>44533</v>
      </c>
      <c r="C515" s="1" t="n">
        <v>45825</v>
      </c>
      <c r="D515" t="inlineStr">
        <is>
          <t>SÖDERMANLANDS LÄN</t>
        </is>
      </c>
      <c r="E515" t="inlineStr">
        <is>
          <t>ESKILSTUNA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70192-2021</t>
        </is>
      </c>
      <c r="B516" s="1" t="n">
        <v>44534</v>
      </c>
      <c r="C516" s="1" t="n">
        <v>45825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</v>
      </c>
      <c r="C517" s="1" t="n">
        <v>45825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70560-2021</t>
        </is>
      </c>
      <c r="B518" s="1" t="n">
        <v>44536</v>
      </c>
      <c r="C518" s="1" t="n">
        <v>45825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70666-2021</t>
        </is>
      </c>
      <c r="B519" s="1" t="n">
        <v>44536</v>
      </c>
      <c r="C519" s="1" t="n">
        <v>45825</v>
      </c>
      <c r="D519" t="inlineStr">
        <is>
          <t>SÖDERMANLANDS LÄN</t>
        </is>
      </c>
      <c r="E519" t="inlineStr">
        <is>
          <t>ESKILSTUNA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70490-2021</t>
        </is>
      </c>
      <c r="B520" s="1" t="n">
        <v>44536</v>
      </c>
      <c r="C520" s="1" t="n">
        <v>45825</v>
      </c>
      <c r="D520" t="inlineStr">
        <is>
          <t>SÖDERMANLANDS LÄN</t>
        </is>
      </c>
      <c r="E520" t="inlineStr">
        <is>
          <t>ESKILSTUNA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70620-2021</t>
        </is>
      </c>
      <c r="B521" s="1" t="n">
        <v>44536</v>
      </c>
      <c r="C521" s="1" t="n">
        <v>45825</v>
      </c>
      <c r="D521" t="inlineStr">
        <is>
          <t>SÖDERMANLANDS LÄN</t>
        </is>
      </c>
      <c r="E521" t="inlineStr">
        <is>
          <t>ESKILSTUNA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70667-2021</t>
        </is>
      </c>
      <c r="B522" s="1" t="n">
        <v>44536</v>
      </c>
      <c r="C522" s="1" t="n">
        <v>45825</v>
      </c>
      <c r="D522" t="inlineStr">
        <is>
          <t>SÖDERMANLANDS LÄN</t>
        </is>
      </c>
      <c r="E522" t="inlineStr">
        <is>
          <t>ESKILSTUNA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70557-2021</t>
        </is>
      </c>
      <c r="B523" s="1" t="n">
        <v>44536</v>
      </c>
      <c r="C523" s="1" t="n">
        <v>45825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70660-2021</t>
        </is>
      </c>
      <c r="B524" s="1" t="n">
        <v>44536</v>
      </c>
      <c r="C524" s="1" t="n">
        <v>45825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70613-2021</t>
        </is>
      </c>
      <c r="B525" s="1" t="n">
        <v>44537</v>
      </c>
      <c r="C525" s="1" t="n">
        <v>45825</v>
      </c>
      <c r="D525" t="inlineStr">
        <is>
          <t>SÖDERMANLANDS LÄN</t>
        </is>
      </c>
      <c r="E525" t="inlineStr">
        <is>
          <t>ESKILSTUNA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71980-2021</t>
        </is>
      </c>
      <c r="B526" s="1" t="n">
        <v>44544</v>
      </c>
      <c r="C526" s="1" t="n">
        <v>45825</v>
      </c>
      <c r="D526" t="inlineStr">
        <is>
          <t>SÖDERMANLANDS LÄN</t>
        </is>
      </c>
      <c r="E526" t="inlineStr">
        <is>
          <t>ESKILSTUNA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71976-2021</t>
        </is>
      </c>
      <c r="B527" s="1" t="n">
        <v>44544</v>
      </c>
      <c r="C527" s="1" t="n">
        <v>45825</v>
      </c>
      <c r="D527" t="inlineStr">
        <is>
          <t>SÖDERMANLANDS LÄN</t>
        </is>
      </c>
      <c r="E527" t="inlineStr">
        <is>
          <t>ESKILSTUNA</t>
        </is>
      </c>
      <c r="G527" t="n">
        <v>19.6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73480-2021</t>
        </is>
      </c>
      <c r="B528" s="1" t="n">
        <v>44550</v>
      </c>
      <c r="C528" s="1" t="n">
        <v>45825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979-2022</t>
        </is>
      </c>
      <c r="B529" s="1" t="n">
        <v>44571</v>
      </c>
      <c r="C529" s="1" t="n">
        <v>45825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1174-2022</t>
        </is>
      </c>
      <c r="B530" s="1" t="n">
        <v>44572</v>
      </c>
      <c r="C530" s="1" t="n">
        <v>45825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1565-2022</t>
        </is>
      </c>
      <c r="B531" s="1" t="n">
        <v>44573</v>
      </c>
      <c r="C531" s="1" t="n">
        <v>45825</v>
      </c>
      <c r="D531" t="inlineStr">
        <is>
          <t>SÖDERMANLANDS LÄN</t>
        </is>
      </c>
      <c r="E531" t="inlineStr">
        <is>
          <t>ESKILSTUNA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2215-2022</t>
        </is>
      </c>
      <c r="B532" s="1" t="n">
        <v>44578</v>
      </c>
      <c r="C532" s="1" t="n">
        <v>45825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2218-2022</t>
        </is>
      </c>
      <c r="B533" s="1" t="n">
        <v>44578</v>
      </c>
      <c r="C533" s="1" t="n">
        <v>45825</v>
      </c>
      <c r="D533" t="inlineStr">
        <is>
          <t>SÖDERMANLANDS LÄN</t>
        </is>
      </c>
      <c r="E533" t="inlineStr">
        <is>
          <t>ESKILSTUNA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2938-2022</t>
        </is>
      </c>
      <c r="B534" s="1" t="n">
        <v>44581</v>
      </c>
      <c r="C534" s="1" t="n">
        <v>45825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3341-2022</t>
        </is>
      </c>
      <c r="B535" s="1" t="n">
        <v>44582</v>
      </c>
      <c r="C535" s="1" t="n">
        <v>45825</v>
      </c>
      <c r="D535" t="inlineStr">
        <is>
          <t>SÖDERMANLANDS LÄN</t>
        </is>
      </c>
      <c r="E535" t="inlineStr">
        <is>
          <t>ESKILSTUNA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3521-2022</t>
        </is>
      </c>
      <c r="B536" s="1" t="n">
        <v>44585</v>
      </c>
      <c r="C536" s="1" t="n">
        <v>45825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4189-2022</t>
        </is>
      </c>
      <c r="B537" s="1" t="n">
        <v>44588</v>
      </c>
      <c r="C537" s="1" t="n">
        <v>45825</v>
      </c>
      <c r="D537" t="inlineStr">
        <is>
          <t>SÖDERMANLANDS LÄN</t>
        </is>
      </c>
      <c r="E537" t="inlineStr">
        <is>
          <t>ESKILSTUNA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4202-2022</t>
        </is>
      </c>
      <c r="B538" s="1" t="n">
        <v>44588</v>
      </c>
      <c r="C538" s="1" t="n">
        <v>45825</v>
      </c>
      <c r="D538" t="inlineStr">
        <is>
          <t>SÖDERMANLANDS LÄN</t>
        </is>
      </c>
      <c r="E538" t="inlineStr">
        <is>
          <t>ESKILSTUNA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4211-2022</t>
        </is>
      </c>
      <c r="B539" s="1" t="n">
        <v>44588</v>
      </c>
      <c r="C539" s="1" t="n">
        <v>45825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4220-2022</t>
        </is>
      </c>
      <c r="B540" s="1" t="n">
        <v>44588</v>
      </c>
      <c r="C540" s="1" t="n">
        <v>45825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4192-2022</t>
        </is>
      </c>
      <c r="B541" s="1" t="n">
        <v>44588</v>
      </c>
      <c r="C541" s="1" t="n">
        <v>45825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4320-2022</t>
        </is>
      </c>
      <c r="B542" s="1" t="n">
        <v>44588</v>
      </c>
      <c r="C542" s="1" t="n">
        <v>45825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4331-2022</t>
        </is>
      </c>
      <c r="B543" s="1" t="n">
        <v>44588</v>
      </c>
      <c r="C543" s="1" t="n">
        <v>45825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4621-2022</t>
        </is>
      </c>
      <c r="B544" s="1" t="n">
        <v>44592</v>
      </c>
      <c r="C544" s="1" t="n">
        <v>45825</v>
      </c>
      <c r="D544" t="inlineStr">
        <is>
          <t>SÖDERMANLANDS LÄN</t>
        </is>
      </c>
      <c r="E544" t="inlineStr">
        <is>
          <t>ESKILSTUNA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4954-2022</t>
        </is>
      </c>
      <c r="B545" s="1" t="n">
        <v>44593</v>
      </c>
      <c r="C545" s="1" t="n">
        <v>45825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5337-2022</t>
        </is>
      </c>
      <c r="B546" s="1" t="n">
        <v>44594</v>
      </c>
      <c r="C546" s="1" t="n">
        <v>45825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7406-2022</t>
        </is>
      </c>
      <c r="B547" s="1" t="n">
        <v>44606</v>
      </c>
      <c r="C547" s="1" t="n">
        <v>45825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7423-2022</t>
        </is>
      </c>
      <c r="B548" s="1" t="n">
        <v>44606</v>
      </c>
      <c r="C548" s="1" t="n">
        <v>45825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7420-2022</t>
        </is>
      </c>
      <c r="B549" s="1" t="n">
        <v>44606</v>
      </c>
      <c r="C549" s="1" t="n">
        <v>45825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7818-2022</t>
        </is>
      </c>
      <c r="B550" s="1" t="n">
        <v>44608</v>
      </c>
      <c r="C550" s="1" t="n">
        <v>45825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7833-2022</t>
        </is>
      </c>
      <c r="B551" s="1" t="n">
        <v>44608</v>
      </c>
      <c r="C551" s="1" t="n">
        <v>45825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8277-2022</t>
        </is>
      </c>
      <c r="B552" s="1" t="n">
        <v>44610</v>
      </c>
      <c r="C552" s="1" t="n">
        <v>45825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8478-2022</t>
        </is>
      </c>
      <c r="B553" s="1" t="n">
        <v>44613</v>
      </c>
      <c r="C553" s="1" t="n">
        <v>45825</v>
      </c>
      <c r="D553" t="inlineStr">
        <is>
          <t>SÖDERMANLANDS LÄN</t>
        </is>
      </c>
      <c r="E553" t="inlineStr">
        <is>
          <t>ESKILSTUNA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9455-2022</t>
        </is>
      </c>
      <c r="B554" s="1" t="n">
        <v>44616</v>
      </c>
      <c r="C554" s="1" t="n">
        <v>45825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9521-2022</t>
        </is>
      </c>
      <c r="B555" s="1" t="n">
        <v>44616</v>
      </c>
      <c r="C555" s="1" t="n">
        <v>45825</v>
      </c>
      <c r="D555" t="inlineStr">
        <is>
          <t>SÖDERMANLANDS LÄN</t>
        </is>
      </c>
      <c r="E555" t="inlineStr">
        <is>
          <t>ESKILSTUNA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9536-2022</t>
        </is>
      </c>
      <c r="B556" s="1" t="n">
        <v>44617</v>
      </c>
      <c r="C556" s="1" t="n">
        <v>45825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9575-2022</t>
        </is>
      </c>
      <c r="B557" s="1" t="n">
        <v>44617</v>
      </c>
      <c r="C557" s="1" t="n">
        <v>45825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45825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9753-2022</t>
        </is>
      </c>
      <c r="B559" s="1" t="n">
        <v>44618</v>
      </c>
      <c r="C559" s="1" t="n">
        <v>45825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10715-2022</t>
        </is>
      </c>
      <c r="B560" s="1" t="n">
        <v>44626</v>
      </c>
      <c r="C560" s="1" t="n">
        <v>45825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11108-2022</t>
        </is>
      </c>
      <c r="B561" s="1" t="n">
        <v>44628</v>
      </c>
      <c r="C561" s="1" t="n">
        <v>45825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11137-2022</t>
        </is>
      </c>
      <c r="B562" s="1" t="n">
        <v>44628</v>
      </c>
      <c r="C562" s="1" t="n">
        <v>45825</v>
      </c>
      <c r="D562" t="inlineStr">
        <is>
          <t>SÖDERMANLANDS LÄN</t>
        </is>
      </c>
      <c r="E562" t="inlineStr">
        <is>
          <t>ESKILSTUNA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11705-2022</t>
        </is>
      </c>
      <c r="B563" s="1" t="n">
        <v>44634</v>
      </c>
      <c r="C563" s="1" t="n">
        <v>45825</v>
      </c>
      <c r="D563" t="inlineStr">
        <is>
          <t>SÖDERMANLANDS LÄN</t>
        </is>
      </c>
      <c r="E563" t="inlineStr">
        <is>
          <t>ESKILSTUNA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11796-2022</t>
        </is>
      </c>
      <c r="B564" s="1" t="n">
        <v>44634</v>
      </c>
      <c r="C564" s="1" t="n">
        <v>45825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12072-2022</t>
        </is>
      </c>
      <c r="B565" s="1" t="n">
        <v>44636</v>
      </c>
      <c r="C565" s="1" t="n">
        <v>45825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12547-2022</t>
        </is>
      </c>
      <c r="B566" s="1" t="n">
        <v>44638</v>
      </c>
      <c r="C566" s="1" t="n">
        <v>45825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12872-2022</t>
        </is>
      </c>
      <c r="B567" s="1" t="n">
        <v>44642</v>
      </c>
      <c r="C567" s="1" t="n">
        <v>45825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13613-2022</t>
        </is>
      </c>
      <c r="B568" s="1" t="n">
        <v>44643</v>
      </c>
      <c r="C568" s="1" t="n">
        <v>45825</v>
      </c>
      <c r="D568" t="inlineStr">
        <is>
          <t>SÖDERMANLANDS LÄN</t>
        </is>
      </c>
      <c r="E568" t="inlineStr">
        <is>
          <t>ESKILSTUNA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13176-2022</t>
        </is>
      </c>
      <c r="B569" s="1" t="n">
        <v>44644</v>
      </c>
      <c r="C569" s="1" t="n">
        <v>45825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13621-2022</t>
        </is>
      </c>
      <c r="B570" s="1" t="n">
        <v>44648</v>
      </c>
      <c r="C570" s="1" t="n">
        <v>45825</v>
      </c>
      <c r="D570" t="inlineStr">
        <is>
          <t>SÖDERMANLANDS LÄN</t>
        </is>
      </c>
      <c r="E570" t="inlineStr">
        <is>
          <t>ESKILSTUNA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14470-2022</t>
        </is>
      </c>
      <c r="B571" s="1" t="n">
        <v>44654</v>
      </c>
      <c r="C571" s="1" t="n">
        <v>45825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14633-2022</t>
        </is>
      </c>
      <c r="B572" s="1" t="n">
        <v>44655</v>
      </c>
      <c r="C572" s="1" t="n">
        <v>45825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15247-2022</t>
        </is>
      </c>
      <c r="B573" s="1" t="n">
        <v>44658</v>
      </c>
      <c r="C573" s="1" t="n">
        <v>45825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15520-2022</t>
        </is>
      </c>
      <c r="B574" s="1" t="n">
        <v>44662</v>
      </c>
      <c r="C574" s="1" t="n">
        <v>45825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15564-2022</t>
        </is>
      </c>
      <c r="B575" s="1" t="n">
        <v>44662</v>
      </c>
      <c r="C575" s="1" t="n">
        <v>45825</v>
      </c>
      <c r="D575" t="inlineStr">
        <is>
          <t>SÖDERMANLANDS LÄN</t>
        </is>
      </c>
      <c r="E575" t="inlineStr">
        <is>
          <t>ESKILSTUNA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15578-2022</t>
        </is>
      </c>
      <c r="B576" s="1" t="n">
        <v>44662</v>
      </c>
      <c r="C576" s="1" t="n">
        <v>45825</v>
      </c>
      <c r="D576" t="inlineStr">
        <is>
          <t>SÖDERMANLANDS LÄN</t>
        </is>
      </c>
      <c r="E576" t="inlineStr">
        <is>
          <t>ESKILSTUNA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15897-2022</t>
        </is>
      </c>
      <c r="B577" s="1" t="n">
        <v>44664</v>
      </c>
      <c r="C577" s="1" t="n">
        <v>45825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15917-2022</t>
        </is>
      </c>
      <c r="B578" s="1" t="n">
        <v>44664</v>
      </c>
      <c r="C578" s="1" t="n">
        <v>45825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15892-2022</t>
        </is>
      </c>
      <c r="B579" s="1" t="n">
        <v>44664</v>
      </c>
      <c r="C579" s="1" t="n">
        <v>45825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15963-2022</t>
        </is>
      </c>
      <c r="B580" s="1" t="n">
        <v>44664</v>
      </c>
      <c r="C580" s="1" t="n">
        <v>45825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16395-2022</t>
        </is>
      </c>
      <c r="B581" s="1" t="n">
        <v>44671</v>
      </c>
      <c r="C581" s="1" t="n">
        <v>45825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16391-2022</t>
        </is>
      </c>
      <c r="B582" s="1" t="n">
        <v>44671</v>
      </c>
      <c r="C582" s="1" t="n">
        <v>45825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16730-2022</t>
        </is>
      </c>
      <c r="B583" s="1" t="n">
        <v>44673</v>
      </c>
      <c r="C583" s="1" t="n">
        <v>45825</v>
      </c>
      <c r="D583" t="inlineStr">
        <is>
          <t>SÖDERMANLANDS LÄN</t>
        </is>
      </c>
      <c r="E583" t="inlineStr">
        <is>
          <t>ESKILSTUNA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16731-2022</t>
        </is>
      </c>
      <c r="B584" s="1" t="n">
        <v>44673</v>
      </c>
      <c r="C584" s="1" t="n">
        <v>45825</v>
      </c>
      <c r="D584" t="inlineStr">
        <is>
          <t>SÖDERMANLANDS LÄN</t>
        </is>
      </c>
      <c r="E584" t="inlineStr">
        <is>
          <t>ESKILSTUNA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17816-2022</t>
        </is>
      </c>
      <c r="B585" s="1" t="n">
        <v>44683</v>
      </c>
      <c r="C585" s="1" t="n">
        <v>45825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17841-2022</t>
        </is>
      </c>
      <c r="B586" s="1" t="n">
        <v>44683</v>
      </c>
      <c r="C586" s="1" t="n">
        <v>45825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18780-2022</t>
        </is>
      </c>
      <c r="B587" s="1" t="n">
        <v>44689</v>
      </c>
      <c r="C587" s="1" t="n">
        <v>45825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19550-2022</t>
        </is>
      </c>
      <c r="B588" s="1" t="n">
        <v>44693</v>
      </c>
      <c r="C588" s="1" t="n">
        <v>45825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20180-2022</t>
        </is>
      </c>
      <c r="B589" s="1" t="n">
        <v>44698</v>
      </c>
      <c r="C589" s="1" t="n">
        <v>45825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20376-2022</t>
        </is>
      </c>
      <c r="B590" s="1" t="n">
        <v>44699</v>
      </c>
      <c r="C590" s="1" t="n">
        <v>45825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Naturvårdsverket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20823-2022</t>
        </is>
      </c>
      <c r="B591" s="1" t="n">
        <v>44701</v>
      </c>
      <c r="C591" s="1" t="n">
        <v>45825</v>
      </c>
      <c r="D591" t="inlineStr">
        <is>
          <t>SÖDERMANLANDS LÄN</t>
        </is>
      </c>
      <c r="E591" t="inlineStr">
        <is>
          <t>ESKILSTUNA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22185-2022</t>
        </is>
      </c>
      <c r="B592" s="1" t="n">
        <v>44712</v>
      </c>
      <c r="C592" s="1" t="n">
        <v>45825</v>
      </c>
      <c r="D592" t="inlineStr">
        <is>
          <t>SÖDERMANLANDS LÄN</t>
        </is>
      </c>
      <c r="E592" t="inlineStr">
        <is>
          <t>ESKILSTUNA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22255-2022</t>
        </is>
      </c>
      <c r="B593" s="1" t="n">
        <v>44712</v>
      </c>
      <c r="C593" s="1" t="n">
        <v>45825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22191-2022</t>
        </is>
      </c>
      <c r="B594" s="1" t="n">
        <v>44712</v>
      </c>
      <c r="C594" s="1" t="n">
        <v>45825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22266-2022</t>
        </is>
      </c>
      <c r="B595" s="1" t="n">
        <v>44712</v>
      </c>
      <c r="C595" s="1" t="n">
        <v>45825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23262-2022</t>
        </is>
      </c>
      <c r="B596" s="1" t="n">
        <v>44720</v>
      </c>
      <c r="C596" s="1" t="n">
        <v>45825</v>
      </c>
      <c r="D596" t="inlineStr">
        <is>
          <t>SÖDERMANLANDS LÄN</t>
        </is>
      </c>
      <c r="E596" t="inlineStr">
        <is>
          <t>ESKILSTUNA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23870-2022</t>
        </is>
      </c>
      <c r="B597" s="1" t="n">
        <v>44722</v>
      </c>
      <c r="C597" s="1" t="n">
        <v>45825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23868-2022</t>
        </is>
      </c>
      <c r="B598" s="1" t="n">
        <v>44722</v>
      </c>
      <c r="C598" s="1" t="n">
        <v>45825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23951-2022</t>
        </is>
      </c>
      <c r="B599" s="1" t="n">
        <v>44722</v>
      </c>
      <c r="C599" s="1" t="n">
        <v>45825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23873-2022</t>
        </is>
      </c>
      <c r="B600" s="1" t="n">
        <v>44722</v>
      </c>
      <c r="C600" s="1" t="n">
        <v>45825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25229-2022</t>
        </is>
      </c>
      <c r="B601" s="1" t="n">
        <v>44729</v>
      </c>
      <c r="C601" s="1" t="n">
        <v>45825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25071-2022</t>
        </is>
      </c>
      <c r="B602" s="1" t="n">
        <v>44729</v>
      </c>
      <c r="C602" s="1" t="n">
        <v>45825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25227-2022</t>
        </is>
      </c>
      <c r="B603" s="1" t="n">
        <v>44729</v>
      </c>
      <c r="C603" s="1" t="n">
        <v>45825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25231-2022</t>
        </is>
      </c>
      <c r="B604" s="1" t="n">
        <v>44729</v>
      </c>
      <c r="C604" s="1" t="n">
        <v>45825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25607-2022</t>
        </is>
      </c>
      <c r="B605" s="1" t="n">
        <v>44732</v>
      </c>
      <c r="C605" s="1" t="n">
        <v>45825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25668-2022</t>
        </is>
      </c>
      <c r="B606" s="1" t="n">
        <v>44732</v>
      </c>
      <c r="C606" s="1" t="n">
        <v>45825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25609-2022</t>
        </is>
      </c>
      <c r="B607" s="1" t="n">
        <v>44732</v>
      </c>
      <c r="C607" s="1" t="n">
        <v>45825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25669-2022</t>
        </is>
      </c>
      <c r="B608" s="1" t="n">
        <v>44733</v>
      </c>
      <c r="C608" s="1" t="n">
        <v>45825</v>
      </c>
      <c r="D608" t="inlineStr">
        <is>
          <t>SÖDERMANLANDS LÄN</t>
        </is>
      </c>
      <c r="E608" t="inlineStr">
        <is>
          <t>ESKILSTUNA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25961-2022</t>
        </is>
      </c>
      <c r="B609" s="1" t="n">
        <v>44734</v>
      </c>
      <c r="C609" s="1" t="n">
        <v>45825</v>
      </c>
      <c r="D609" t="inlineStr">
        <is>
          <t>SÖDERMANLANDS LÄN</t>
        </is>
      </c>
      <c r="E609" t="inlineStr">
        <is>
          <t>ESKILSTUNA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26148-2022</t>
        </is>
      </c>
      <c r="B610" s="1" t="n">
        <v>44735</v>
      </c>
      <c r="C610" s="1" t="n">
        <v>45825</v>
      </c>
      <c r="D610" t="inlineStr">
        <is>
          <t>SÖDERMANLANDS LÄN</t>
        </is>
      </c>
      <c r="E610" t="inlineStr">
        <is>
          <t>ESKILSTUNA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26532-2022</t>
        </is>
      </c>
      <c r="B611" s="1" t="n">
        <v>44739</v>
      </c>
      <c r="C611" s="1" t="n">
        <v>45825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26535-2022</t>
        </is>
      </c>
      <c r="B612" s="1" t="n">
        <v>44739</v>
      </c>
      <c r="C612" s="1" t="n">
        <v>45825</v>
      </c>
      <c r="D612" t="inlineStr">
        <is>
          <t>SÖDERMANLANDS LÄN</t>
        </is>
      </c>
      <c r="E612" t="inlineStr">
        <is>
          <t>ESKILSTUNA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27255-2022</t>
        </is>
      </c>
      <c r="B613" s="1" t="n">
        <v>44741</v>
      </c>
      <c r="C613" s="1" t="n">
        <v>45825</v>
      </c>
      <c r="D613" t="inlineStr">
        <is>
          <t>SÖDERMANLANDS LÄN</t>
        </is>
      </c>
      <c r="E613" t="inlineStr">
        <is>
          <t>ESKILSTUNA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28066-2022</t>
        </is>
      </c>
      <c r="B614" s="1" t="n">
        <v>44746</v>
      </c>
      <c r="C614" s="1" t="n">
        <v>45825</v>
      </c>
      <c r="D614" t="inlineStr">
        <is>
          <t>SÖDERMANLANDS LÄN</t>
        </is>
      </c>
      <c r="E614" t="inlineStr">
        <is>
          <t>ESKILSTUNA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28011-2022</t>
        </is>
      </c>
      <c r="B615" s="1" t="n">
        <v>44746</v>
      </c>
      <c r="C615" s="1" t="n">
        <v>45825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28033-2022</t>
        </is>
      </c>
      <c r="B616" s="1" t="n">
        <v>44746</v>
      </c>
      <c r="C616" s="1" t="n">
        <v>45825</v>
      </c>
      <c r="D616" t="inlineStr">
        <is>
          <t>SÖDERMANLANDS LÄN</t>
        </is>
      </c>
      <c r="E616" t="inlineStr">
        <is>
          <t>ESKILSTUNA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28071-2022</t>
        </is>
      </c>
      <c r="B617" s="1" t="n">
        <v>44746</v>
      </c>
      <c r="C617" s="1" t="n">
        <v>45825</v>
      </c>
      <c r="D617" t="inlineStr">
        <is>
          <t>SÖDERMANLANDS LÄN</t>
        </is>
      </c>
      <c r="E617" t="inlineStr">
        <is>
          <t>ESKILSTUNA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28060-2022</t>
        </is>
      </c>
      <c r="B618" s="1" t="n">
        <v>44746</v>
      </c>
      <c r="C618" s="1" t="n">
        <v>45825</v>
      </c>
      <c r="D618" t="inlineStr">
        <is>
          <t>SÖDERMANLANDS LÄN</t>
        </is>
      </c>
      <c r="E618" t="inlineStr">
        <is>
          <t>ESKILSTUNA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28189-2022</t>
        </is>
      </c>
      <c r="B619" s="1" t="n">
        <v>44746</v>
      </c>
      <c r="C619" s="1" t="n">
        <v>45825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HYPERLINK("https://klasma.github.io/Logging_0484/knärot/A 28189-2022 karta knärot.png", "A 28189-2022")</f>
        <v/>
      </c>
      <c r="V619">
        <f>HYPERLINK("https://klasma.github.io/Logging_0484/klagomål/A 28189-2022 FSC-klagomål.docx", "A 28189-2022")</f>
        <v/>
      </c>
      <c r="W619">
        <f>HYPERLINK("https://klasma.github.io/Logging_0484/klagomålsmail/A 28189-2022 FSC-klagomål mail.docx", "A 28189-2022")</f>
        <v/>
      </c>
      <c r="X619">
        <f>HYPERLINK("https://klasma.github.io/Logging_0484/tillsyn/A 28189-2022 tillsynsbegäran.docx", "A 28189-2022")</f>
        <v/>
      </c>
      <c r="Y619">
        <f>HYPERLINK("https://klasma.github.io/Logging_0484/tillsynsmail/A 28189-2022 tillsynsbegäran mail.docx", "A 28189-2022")</f>
        <v/>
      </c>
    </row>
    <row r="620" ht="15" customHeight="1">
      <c r="A620" t="inlineStr">
        <is>
          <t>A 28222-2022</t>
        </is>
      </c>
      <c r="B620" s="1" t="n">
        <v>44746</v>
      </c>
      <c r="C620" s="1" t="n">
        <v>45825</v>
      </c>
      <c r="D620" t="inlineStr">
        <is>
          <t>SÖDERMANLANDS LÄN</t>
        </is>
      </c>
      <c r="E620" t="inlineStr">
        <is>
          <t>ESKILSTUNA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28269-2022</t>
        </is>
      </c>
      <c r="B621" s="1" t="n">
        <v>44746</v>
      </c>
      <c r="C621" s="1" t="n">
        <v>45825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28577-2022</t>
        </is>
      </c>
      <c r="B622" s="1" t="n">
        <v>44748</v>
      </c>
      <c r="C622" s="1" t="n">
        <v>45825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29068-2022</t>
        </is>
      </c>
      <c r="B623" s="1" t="n">
        <v>44749</v>
      </c>
      <c r="C623" s="1" t="n">
        <v>45825</v>
      </c>
      <c r="D623" t="inlineStr">
        <is>
          <t>SÖDERMANLANDS LÄN</t>
        </is>
      </c>
      <c r="E623" t="inlineStr">
        <is>
          <t>ESKILSTUNA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29626-2022</t>
        </is>
      </c>
      <c r="B624" s="1" t="n">
        <v>44754</v>
      </c>
      <c r="C624" s="1" t="n">
        <v>45825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29750-2022</t>
        </is>
      </c>
      <c r="B625" s="1" t="n">
        <v>44755</v>
      </c>
      <c r="C625" s="1" t="n">
        <v>45825</v>
      </c>
      <c r="D625" t="inlineStr">
        <is>
          <t>SÖDERMANLANDS LÄN</t>
        </is>
      </c>
      <c r="E625" t="inlineStr">
        <is>
          <t>ESKILSTUNA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29760-2022</t>
        </is>
      </c>
      <c r="B626" s="1" t="n">
        <v>44755</v>
      </c>
      <c r="C626" s="1" t="n">
        <v>45825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29886-2022</t>
        </is>
      </c>
      <c r="B627" s="1" t="n">
        <v>44756</v>
      </c>
      <c r="C627" s="1" t="n">
        <v>45825</v>
      </c>
      <c r="D627" t="inlineStr">
        <is>
          <t>SÖDERMANLANDS LÄN</t>
        </is>
      </c>
      <c r="E627" t="inlineStr">
        <is>
          <t>ESKILSTUNA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30698-2022</t>
        </is>
      </c>
      <c r="B628" s="1" t="n">
        <v>44763</v>
      </c>
      <c r="C628" s="1" t="n">
        <v>45825</v>
      </c>
      <c r="D628" t="inlineStr">
        <is>
          <t>SÖDERMANLANDS LÄN</t>
        </is>
      </c>
      <c r="E628" t="inlineStr">
        <is>
          <t>ESKILSTUNA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30968-2022</t>
        </is>
      </c>
      <c r="B629" s="1" t="n">
        <v>44768</v>
      </c>
      <c r="C629" s="1" t="n">
        <v>45825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32401-2022</t>
        </is>
      </c>
      <c r="B630" s="1" t="n">
        <v>44781</v>
      </c>
      <c r="C630" s="1" t="n">
        <v>45825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32390-2022</t>
        </is>
      </c>
      <c r="B631" s="1" t="n">
        <v>44781</v>
      </c>
      <c r="C631" s="1" t="n">
        <v>45825</v>
      </c>
      <c r="D631" t="inlineStr">
        <is>
          <t>SÖDERMANLANDS LÄN</t>
        </is>
      </c>
      <c r="E631" t="inlineStr">
        <is>
          <t>ESKILSTUNA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32406-2022</t>
        </is>
      </c>
      <c r="B632" s="1" t="n">
        <v>44781</v>
      </c>
      <c r="C632" s="1" t="n">
        <v>45825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32484-2022</t>
        </is>
      </c>
      <c r="B633" s="1" t="n">
        <v>44782</v>
      </c>
      <c r="C633" s="1" t="n">
        <v>45825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32588-2022</t>
        </is>
      </c>
      <c r="B634" s="1" t="n">
        <v>44783</v>
      </c>
      <c r="C634" s="1" t="n">
        <v>45825</v>
      </c>
      <c r="D634" t="inlineStr">
        <is>
          <t>SÖDERMANLANDS LÄN</t>
        </is>
      </c>
      <c r="E634" t="inlineStr">
        <is>
          <t>ESKILSTUNA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32925-2022</t>
        </is>
      </c>
      <c r="B635" s="1" t="n">
        <v>44784</v>
      </c>
      <c r="C635" s="1" t="n">
        <v>45825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33052-2022</t>
        </is>
      </c>
      <c r="B636" s="1" t="n">
        <v>44785</v>
      </c>
      <c r="C636" s="1" t="n">
        <v>45825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33585-2022</t>
        </is>
      </c>
      <c r="B637" s="1" t="n">
        <v>44789</v>
      </c>
      <c r="C637" s="1" t="n">
        <v>45825</v>
      </c>
      <c r="D637" t="inlineStr">
        <is>
          <t>SÖDERMANLANDS LÄN</t>
        </is>
      </c>
      <c r="E637" t="inlineStr">
        <is>
          <t>ESKILSTUNA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33703-2022</t>
        </is>
      </c>
      <c r="B638" s="1" t="n">
        <v>44789</v>
      </c>
      <c r="C638" s="1" t="n">
        <v>45825</v>
      </c>
      <c r="D638" t="inlineStr">
        <is>
          <t>SÖDERMANLANDS LÄN</t>
        </is>
      </c>
      <c r="E638" t="inlineStr">
        <is>
          <t>ESKILSTUNA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34488-2022</t>
        </is>
      </c>
      <c r="B639" s="1" t="n">
        <v>44792</v>
      </c>
      <c r="C639" s="1" t="n">
        <v>45825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35076-2022</t>
        </is>
      </c>
      <c r="B640" s="1" t="n">
        <v>44797</v>
      </c>
      <c r="C640" s="1" t="n">
        <v>45825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35096-2022</t>
        </is>
      </c>
      <c r="B641" s="1" t="n">
        <v>44797</v>
      </c>
      <c r="C641" s="1" t="n">
        <v>45825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35693-2022</t>
        </is>
      </c>
      <c r="B642" s="1" t="n">
        <v>44799</v>
      </c>
      <c r="C642" s="1" t="n">
        <v>45825</v>
      </c>
      <c r="D642" t="inlineStr">
        <is>
          <t>SÖDERMANLANDS LÄN</t>
        </is>
      </c>
      <c r="E642" t="inlineStr">
        <is>
          <t>ESKILSTUNA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35698-2022</t>
        </is>
      </c>
      <c r="B643" s="1" t="n">
        <v>44799</v>
      </c>
      <c r="C643" s="1" t="n">
        <v>45825</v>
      </c>
      <c r="D643" t="inlineStr">
        <is>
          <t>SÖDERMANLANDS LÄN</t>
        </is>
      </c>
      <c r="E643" t="inlineStr">
        <is>
          <t>ESKILSTUNA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36153-2022</t>
        </is>
      </c>
      <c r="B644" s="1" t="n">
        <v>44803</v>
      </c>
      <c r="C644" s="1" t="n">
        <v>45825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36142-2022</t>
        </is>
      </c>
      <c r="B645" s="1" t="n">
        <v>44803</v>
      </c>
      <c r="C645" s="1" t="n">
        <v>45825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36553-2022</t>
        </is>
      </c>
      <c r="B646" s="1" t="n">
        <v>44804</v>
      </c>
      <c r="C646" s="1" t="n">
        <v>45825</v>
      </c>
      <c r="D646" t="inlineStr">
        <is>
          <t>SÖDERMANLANDS LÄN</t>
        </is>
      </c>
      <c r="E646" t="inlineStr">
        <is>
          <t>ESKILSTUNA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36565-2022</t>
        </is>
      </c>
      <c r="B647" s="1" t="n">
        <v>44804</v>
      </c>
      <c r="C647" s="1" t="n">
        <v>45825</v>
      </c>
      <c r="D647" t="inlineStr">
        <is>
          <t>SÖDERMANLANDS LÄN</t>
        </is>
      </c>
      <c r="E647" t="inlineStr">
        <is>
          <t>ESKILSTUNA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36648-2022</t>
        </is>
      </c>
      <c r="B648" s="1" t="n">
        <v>44804</v>
      </c>
      <c r="C648" s="1" t="n">
        <v>45825</v>
      </c>
      <c r="D648" t="inlineStr">
        <is>
          <t>SÖDERMANLANDS LÄN</t>
        </is>
      </c>
      <c r="E648" t="inlineStr">
        <is>
          <t>ESKILSTUNA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36558-2022</t>
        </is>
      </c>
      <c r="B649" s="1" t="n">
        <v>44804</v>
      </c>
      <c r="C649" s="1" t="n">
        <v>45825</v>
      </c>
      <c r="D649" t="inlineStr">
        <is>
          <t>SÖDERMANLANDS LÄN</t>
        </is>
      </c>
      <c r="E649" t="inlineStr">
        <is>
          <t>ESKILSTUNA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36643-2022</t>
        </is>
      </c>
      <c r="B650" s="1" t="n">
        <v>44804</v>
      </c>
      <c r="C650" s="1" t="n">
        <v>45825</v>
      </c>
      <c r="D650" t="inlineStr">
        <is>
          <t>SÖDERMANLANDS LÄN</t>
        </is>
      </c>
      <c r="E650" t="inlineStr">
        <is>
          <t>ESKILSTUNA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36748-2022</t>
        </is>
      </c>
      <c r="B651" s="1" t="n">
        <v>44805</v>
      </c>
      <c r="C651" s="1" t="n">
        <v>45825</v>
      </c>
      <c r="D651" t="inlineStr">
        <is>
          <t>SÖDERMANLANDS LÄN</t>
        </is>
      </c>
      <c r="E651" t="inlineStr">
        <is>
          <t>ESKILSTUNA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36906-2022</t>
        </is>
      </c>
      <c r="B652" s="1" t="n">
        <v>44805</v>
      </c>
      <c r="C652" s="1" t="n">
        <v>45825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40386-2022</t>
        </is>
      </c>
      <c r="B653" s="1" t="n">
        <v>44819</v>
      </c>
      <c r="C653" s="1" t="n">
        <v>45825</v>
      </c>
      <c r="D653" t="inlineStr">
        <is>
          <t>SÖDERMANLANDS LÄN</t>
        </is>
      </c>
      <c r="E653" t="inlineStr">
        <is>
          <t>ESKILSTUNA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40377-2022</t>
        </is>
      </c>
      <c r="B654" s="1" t="n">
        <v>44819</v>
      </c>
      <c r="C654" s="1" t="n">
        <v>45825</v>
      </c>
      <c r="D654" t="inlineStr">
        <is>
          <t>SÖDERMANLANDS LÄN</t>
        </is>
      </c>
      <c r="E654" t="inlineStr">
        <is>
          <t>ESKILSTUNA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41072-2022</t>
        </is>
      </c>
      <c r="B655" s="1" t="n">
        <v>44825</v>
      </c>
      <c r="C655" s="1" t="n">
        <v>45825</v>
      </c>
      <c r="D655" t="inlineStr">
        <is>
          <t>SÖDERMANLANDS LÄN</t>
        </is>
      </c>
      <c r="E655" t="inlineStr">
        <is>
          <t>ESKILSTUNA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40912-2022</t>
        </is>
      </c>
      <c r="B656" s="1" t="n">
        <v>44825</v>
      </c>
      <c r="C656" s="1" t="n">
        <v>45825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41708-2022</t>
        </is>
      </c>
      <c r="B657" s="1" t="n">
        <v>44827</v>
      </c>
      <c r="C657" s="1" t="n">
        <v>45825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42801-2022</t>
        </is>
      </c>
      <c r="B658" s="1" t="n">
        <v>44832</v>
      </c>
      <c r="C658" s="1" t="n">
        <v>45825</v>
      </c>
      <c r="D658" t="inlineStr">
        <is>
          <t>SÖDERMANLANDS LÄN</t>
        </is>
      </c>
      <c r="E658" t="inlineStr">
        <is>
          <t>ESKILSTUNA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43039-2022</t>
        </is>
      </c>
      <c r="B659" s="1" t="n">
        <v>44833</v>
      </c>
      <c r="C659" s="1" t="n">
        <v>45825</v>
      </c>
      <c r="D659" t="inlineStr">
        <is>
          <t>SÖDERMANLANDS LÄN</t>
        </is>
      </c>
      <c r="E659" t="inlineStr">
        <is>
          <t>ESKILSTUNA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43543-2022</t>
        </is>
      </c>
      <c r="B660" s="1" t="n">
        <v>44834</v>
      </c>
      <c r="C660" s="1" t="n">
        <v>45825</v>
      </c>
      <c r="D660" t="inlineStr">
        <is>
          <t>SÖDERMANLANDS LÄN</t>
        </is>
      </c>
      <c r="E660" t="inlineStr">
        <is>
          <t>ESKILSTUNA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43529-2022</t>
        </is>
      </c>
      <c r="B661" s="1" t="n">
        <v>44834</v>
      </c>
      <c r="C661" s="1" t="n">
        <v>45825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43501-2022</t>
        </is>
      </c>
      <c r="B662" s="1" t="n">
        <v>44837</v>
      </c>
      <c r="C662" s="1" t="n">
        <v>45825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44615-2022</t>
        </is>
      </c>
      <c r="B663" s="1" t="n">
        <v>44839</v>
      </c>
      <c r="C663" s="1" t="n">
        <v>45825</v>
      </c>
      <c r="D663" t="inlineStr">
        <is>
          <t>SÖDERMANLANDS LÄN</t>
        </is>
      </c>
      <c r="E663" t="inlineStr">
        <is>
          <t>ESKILSTUNA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45097-2022</t>
        </is>
      </c>
      <c r="B664" s="1" t="n">
        <v>44842</v>
      </c>
      <c r="C664" s="1" t="n">
        <v>45825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45882-2022</t>
        </is>
      </c>
      <c r="B665" s="1" t="n">
        <v>44844</v>
      </c>
      <c r="C665" s="1" t="n">
        <v>45825</v>
      </c>
      <c r="D665" t="inlineStr">
        <is>
          <t>SÖDERMANLANDS LÄN</t>
        </is>
      </c>
      <c r="E665" t="inlineStr">
        <is>
          <t>ESKILSTUNA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45879-2022</t>
        </is>
      </c>
      <c r="B666" s="1" t="n">
        <v>44844</v>
      </c>
      <c r="C666" s="1" t="n">
        <v>45825</v>
      </c>
      <c r="D666" t="inlineStr">
        <is>
          <t>SÖDERMANLANDS LÄN</t>
        </is>
      </c>
      <c r="E666" t="inlineStr">
        <is>
          <t>ESKILSTUNA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45884-2022</t>
        </is>
      </c>
      <c r="B667" s="1" t="n">
        <v>44844</v>
      </c>
      <c r="C667" s="1" t="n">
        <v>45825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45986-2022</t>
        </is>
      </c>
      <c r="B668" s="1" t="n">
        <v>44846</v>
      </c>
      <c r="C668" s="1" t="n">
        <v>45825</v>
      </c>
      <c r="D668" t="inlineStr">
        <is>
          <t>SÖDERMANLANDS LÄN</t>
        </is>
      </c>
      <c r="E668" t="inlineStr">
        <is>
          <t>ESKILSTUNA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46420-2022</t>
        </is>
      </c>
      <c r="B669" s="1" t="n">
        <v>44848</v>
      </c>
      <c r="C669" s="1" t="n">
        <v>45825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46872-2022</t>
        </is>
      </c>
      <c r="B670" s="1" t="n">
        <v>44851</v>
      </c>
      <c r="C670" s="1" t="n">
        <v>45825</v>
      </c>
      <c r="D670" t="inlineStr">
        <is>
          <t>SÖDERMANLANDS LÄN</t>
        </is>
      </c>
      <c r="E670" t="inlineStr">
        <is>
          <t>ESKILSTUNA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46881-2022</t>
        </is>
      </c>
      <c r="B671" s="1" t="n">
        <v>44851</v>
      </c>
      <c r="C671" s="1" t="n">
        <v>45825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47038-2022</t>
        </is>
      </c>
      <c r="B672" s="1" t="n">
        <v>44851</v>
      </c>
      <c r="C672" s="1" t="n">
        <v>45825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47000-2022</t>
        </is>
      </c>
      <c r="B673" s="1" t="n">
        <v>44852</v>
      </c>
      <c r="C673" s="1" t="n">
        <v>45825</v>
      </c>
      <c r="D673" t="inlineStr">
        <is>
          <t>SÖDERMANLANDS LÄN</t>
        </is>
      </c>
      <c r="E673" t="inlineStr">
        <is>
          <t>ESKILSTUNA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48362-2022</t>
        </is>
      </c>
      <c r="B674" s="1" t="n">
        <v>44858</v>
      </c>
      <c r="C674" s="1" t="n">
        <v>45825</v>
      </c>
      <c r="D674" t="inlineStr">
        <is>
          <t>SÖDERMANLANDS LÄN</t>
        </is>
      </c>
      <c r="E674" t="inlineStr">
        <is>
          <t>ESKILSTUNA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49469-2022</t>
        </is>
      </c>
      <c r="B675" s="1" t="n">
        <v>44861</v>
      </c>
      <c r="C675" s="1" t="n">
        <v>45825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49884-2022</t>
        </is>
      </c>
      <c r="B676" s="1" t="n">
        <v>44864</v>
      </c>
      <c r="C676" s="1" t="n">
        <v>45825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50292-2022</t>
        </is>
      </c>
      <c r="B677" s="1" t="n">
        <v>44865</v>
      </c>
      <c r="C677" s="1" t="n">
        <v>45825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50298-2022</t>
        </is>
      </c>
      <c r="B678" s="1" t="n">
        <v>44865</v>
      </c>
      <c r="C678" s="1" t="n">
        <v>45825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50310-2022</t>
        </is>
      </c>
      <c r="B679" s="1" t="n">
        <v>44865</v>
      </c>
      <c r="C679" s="1" t="n">
        <v>45825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50261-2022</t>
        </is>
      </c>
      <c r="B680" s="1" t="n">
        <v>44865</v>
      </c>
      <c r="C680" s="1" t="n">
        <v>45825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50269-2022</t>
        </is>
      </c>
      <c r="B681" s="1" t="n">
        <v>44865</v>
      </c>
      <c r="C681" s="1" t="n">
        <v>45825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Allmännings- och besparingsskogar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51593-2022</t>
        </is>
      </c>
      <c r="B682" s="1" t="n">
        <v>44871</v>
      </c>
      <c r="C682" s="1" t="n">
        <v>45825</v>
      </c>
      <c r="D682" t="inlineStr">
        <is>
          <t>SÖDERMANLANDS LÄN</t>
        </is>
      </c>
      <c r="E682" t="inlineStr">
        <is>
          <t>ESKILSTUNA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53098-2022</t>
        </is>
      </c>
      <c r="B683" s="1" t="n">
        <v>44873</v>
      </c>
      <c r="C683" s="1" t="n">
        <v>45825</v>
      </c>
      <c r="D683" t="inlineStr">
        <is>
          <t>SÖDERMANLANDS LÄN</t>
        </is>
      </c>
      <c r="E683" t="inlineStr">
        <is>
          <t>ESKILSTUNA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52563-2022</t>
        </is>
      </c>
      <c r="B684" s="1" t="n">
        <v>44874</v>
      </c>
      <c r="C684" s="1" t="n">
        <v>45825</v>
      </c>
      <c r="D684" t="inlineStr">
        <is>
          <t>SÖDERMANLANDS LÄN</t>
        </is>
      </c>
      <c r="E684" t="inlineStr">
        <is>
          <t>ESKILSTUNA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53374-2022</t>
        </is>
      </c>
      <c r="B685" s="1" t="n">
        <v>44874</v>
      </c>
      <c r="C685" s="1" t="n">
        <v>45825</v>
      </c>
      <c r="D685" t="inlineStr">
        <is>
          <t>SÖDERMANLANDS LÄN</t>
        </is>
      </c>
      <c r="E685" t="inlineStr">
        <is>
          <t>ESKILSTUNA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52798-2022</t>
        </is>
      </c>
      <c r="B686" s="1" t="n">
        <v>44875</v>
      </c>
      <c r="C686" s="1" t="n">
        <v>45825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52800-2022</t>
        </is>
      </c>
      <c r="B687" s="1" t="n">
        <v>44875</v>
      </c>
      <c r="C687" s="1" t="n">
        <v>45825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52793-2022</t>
        </is>
      </c>
      <c r="B688" s="1" t="n">
        <v>44875</v>
      </c>
      <c r="C688" s="1" t="n">
        <v>45825</v>
      </c>
      <c r="D688" t="inlineStr">
        <is>
          <t>SÖDERMANLANDS LÄN</t>
        </is>
      </c>
      <c r="E688" t="inlineStr">
        <is>
          <t>ESKILSTUNA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54216-2022</t>
        </is>
      </c>
      <c r="B689" s="1" t="n">
        <v>44881</v>
      </c>
      <c r="C689" s="1" t="n">
        <v>45825</v>
      </c>
      <c r="D689" t="inlineStr">
        <is>
          <t>SÖDERMANLANDS LÄN</t>
        </is>
      </c>
      <c r="E689" t="inlineStr">
        <is>
          <t>ESKILSTUNA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54622-2022</t>
        </is>
      </c>
      <c r="B690" s="1" t="n">
        <v>44883</v>
      </c>
      <c r="C690" s="1" t="n">
        <v>45825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55756-2022</t>
        </is>
      </c>
      <c r="B691" s="1" t="n">
        <v>44883</v>
      </c>
      <c r="C691" s="1" t="n">
        <v>45825</v>
      </c>
      <c r="D691" t="inlineStr">
        <is>
          <t>SÖDERMANLANDS LÄN</t>
        </is>
      </c>
      <c r="E691" t="inlineStr">
        <is>
          <t>ESKILSTUNA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55741-2022</t>
        </is>
      </c>
      <c r="B692" s="1" t="n">
        <v>44883</v>
      </c>
      <c r="C692" s="1" t="n">
        <v>45825</v>
      </c>
      <c r="D692" t="inlineStr">
        <is>
          <t>SÖDERMANLANDS LÄN</t>
        </is>
      </c>
      <c r="E692" t="inlineStr">
        <is>
          <t>ESKILSTUNA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55087-2022</t>
        </is>
      </c>
      <c r="B693" s="1" t="n">
        <v>44886</v>
      </c>
      <c r="C693" s="1" t="n">
        <v>45825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55785-2022</t>
        </is>
      </c>
      <c r="B694" s="1" t="n">
        <v>44886</v>
      </c>
      <c r="C694" s="1" t="n">
        <v>45825</v>
      </c>
      <c r="D694" t="inlineStr">
        <is>
          <t>SÖDERMANLANDS LÄN</t>
        </is>
      </c>
      <c r="E694" t="inlineStr">
        <is>
          <t>ESKILSTUNA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55763-2022</t>
        </is>
      </c>
      <c r="B695" s="1" t="n">
        <v>44886</v>
      </c>
      <c r="C695" s="1" t="n">
        <v>45825</v>
      </c>
      <c r="D695" t="inlineStr">
        <is>
          <t>SÖDERMANLANDS LÄN</t>
        </is>
      </c>
      <c r="E695" t="inlineStr">
        <is>
          <t>ESKILSTUNA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55779-2022</t>
        </is>
      </c>
      <c r="B696" s="1" t="n">
        <v>44886</v>
      </c>
      <c r="C696" s="1" t="n">
        <v>45825</v>
      </c>
      <c r="D696" t="inlineStr">
        <is>
          <t>SÖDERMANLANDS LÄN</t>
        </is>
      </c>
      <c r="E696" t="inlineStr">
        <is>
          <t>ESKILSTUNA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55812-2022</t>
        </is>
      </c>
      <c r="B697" s="1" t="n">
        <v>44886</v>
      </c>
      <c r="C697" s="1" t="n">
        <v>45825</v>
      </c>
      <c r="D697" t="inlineStr">
        <is>
          <t>SÖDERMANLANDS LÄN</t>
        </is>
      </c>
      <c r="E697" t="inlineStr">
        <is>
          <t>ESKILSTUNA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55800-2022</t>
        </is>
      </c>
      <c r="B698" s="1" t="n">
        <v>44888</v>
      </c>
      <c r="C698" s="1" t="n">
        <v>45825</v>
      </c>
      <c r="D698" t="inlineStr">
        <is>
          <t>SÖDERMANLANDS LÄN</t>
        </is>
      </c>
      <c r="E698" t="inlineStr">
        <is>
          <t>ESKILSTUNA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55850-2022</t>
        </is>
      </c>
      <c r="B699" s="1" t="n">
        <v>44888</v>
      </c>
      <c r="C699" s="1" t="n">
        <v>45825</v>
      </c>
      <c r="D699" t="inlineStr">
        <is>
          <t>SÖDERMANLANDS LÄN</t>
        </is>
      </c>
      <c r="E699" t="inlineStr">
        <is>
          <t>ESKILSTUNA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57524-2022</t>
        </is>
      </c>
      <c r="B700" s="1" t="n">
        <v>44889</v>
      </c>
      <c r="C700" s="1" t="n">
        <v>45825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57546-2022</t>
        </is>
      </c>
      <c r="B701" s="1" t="n">
        <v>44889</v>
      </c>
      <c r="C701" s="1" t="n">
        <v>45825</v>
      </c>
      <c r="D701" t="inlineStr">
        <is>
          <t>SÖDERMANLANDS LÄN</t>
        </is>
      </c>
      <c r="E701" t="inlineStr">
        <is>
          <t>ESKILSTUNA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57538-2022</t>
        </is>
      </c>
      <c r="B702" s="1" t="n">
        <v>44889</v>
      </c>
      <c r="C702" s="1" t="n">
        <v>45825</v>
      </c>
      <c r="D702" t="inlineStr">
        <is>
          <t>SÖDERMANLANDS LÄN</t>
        </is>
      </c>
      <c r="E702" t="inlineStr">
        <is>
          <t>ESKILSTUNA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57541-2022</t>
        </is>
      </c>
      <c r="B703" s="1" t="n">
        <v>44889</v>
      </c>
      <c r="C703" s="1" t="n">
        <v>45825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57530-2022</t>
        </is>
      </c>
      <c r="B704" s="1" t="n">
        <v>44889</v>
      </c>
      <c r="C704" s="1" t="n">
        <v>45825</v>
      </c>
      <c r="D704" t="inlineStr">
        <is>
          <t>SÖDERMANLANDS LÄN</t>
        </is>
      </c>
      <c r="E704" t="inlineStr">
        <is>
          <t>ESKILSTUNA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57982-2022</t>
        </is>
      </c>
      <c r="B705" s="1" t="n">
        <v>44900</v>
      </c>
      <c r="C705" s="1" t="n">
        <v>45825</v>
      </c>
      <c r="D705" t="inlineStr">
        <is>
          <t>SÖDERMANLANDS LÄN</t>
        </is>
      </c>
      <c r="E705" t="inlineStr">
        <is>
          <t>ESKILSTUNA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58994-2022</t>
        </is>
      </c>
      <c r="B706" s="1" t="n">
        <v>44903</v>
      </c>
      <c r="C706" s="1" t="n">
        <v>45825</v>
      </c>
      <c r="D706" t="inlineStr">
        <is>
          <t>SÖDERMANLANDS LÄN</t>
        </is>
      </c>
      <c r="E706" t="inlineStr">
        <is>
          <t>ESKILSTUNA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58999-2022</t>
        </is>
      </c>
      <c r="B707" s="1" t="n">
        <v>44903</v>
      </c>
      <c r="C707" s="1" t="n">
        <v>45825</v>
      </c>
      <c r="D707" t="inlineStr">
        <is>
          <t>SÖDERMANLANDS LÄN</t>
        </is>
      </c>
      <c r="E707" t="inlineStr">
        <is>
          <t>ESKILSTUNA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58991-2022</t>
        </is>
      </c>
      <c r="B708" s="1" t="n">
        <v>44903</v>
      </c>
      <c r="C708" s="1" t="n">
        <v>45825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59000-2022</t>
        </is>
      </c>
      <c r="B709" s="1" t="n">
        <v>44903</v>
      </c>
      <c r="C709" s="1" t="n">
        <v>45825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59151-2022</t>
        </is>
      </c>
      <c r="B710" s="1" t="n">
        <v>44904</v>
      </c>
      <c r="C710" s="1" t="n">
        <v>45825</v>
      </c>
      <c r="D710" t="inlineStr">
        <is>
          <t>SÖDERMANLANDS LÄN</t>
        </is>
      </c>
      <c r="E710" t="inlineStr">
        <is>
          <t>ESKILSTUNA</t>
        </is>
      </c>
      <c r="F710" t="inlineStr">
        <is>
          <t>Allmännings- och besparingsskogar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61311-2022</t>
        </is>
      </c>
      <c r="B711" s="1" t="n">
        <v>44909</v>
      </c>
      <c r="C711" s="1" t="n">
        <v>45825</v>
      </c>
      <c r="D711" t="inlineStr">
        <is>
          <t>SÖDERMANLANDS LÄN</t>
        </is>
      </c>
      <c r="E711" t="inlineStr">
        <is>
          <t>ESKILSTUNA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60980-2022</t>
        </is>
      </c>
      <c r="B712" s="1" t="n">
        <v>44914</v>
      </c>
      <c r="C712" s="1" t="n">
        <v>45825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61298-2022</t>
        </is>
      </c>
      <c r="B713" s="1" t="n">
        <v>44915</v>
      </c>
      <c r="C713" s="1" t="n">
        <v>45825</v>
      </c>
      <c r="D713" t="inlineStr">
        <is>
          <t>SÖDERMANLANDS LÄN</t>
        </is>
      </c>
      <c r="E713" t="inlineStr">
        <is>
          <t>ESKILSTUNA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61303-2022</t>
        </is>
      </c>
      <c r="B714" s="1" t="n">
        <v>44915</v>
      </c>
      <c r="C714" s="1" t="n">
        <v>45825</v>
      </c>
      <c r="D714" t="inlineStr">
        <is>
          <t>SÖDERMANLANDS LÄN</t>
        </is>
      </c>
      <c r="E714" t="inlineStr">
        <is>
          <t>ESKILSTUNA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61314-2022</t>
        </is>
      </c>
      <c r="B715" s="1" t="n">
        <v>44915</v>
      </c>
      <c r="C715" s="1" t="n">
        <v>45825</v>
      </c>
      <c r="D715" t="inlineStr">
        <is>
          <t>SÖDERMANLANDS LÄN</t>
        </is>
      </c>
      <c r="E715" t="inlineStr">
        <is>
          <t>ESKILSTUNA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61416-2022</t>
        </is>
      </c>
      <c r="B716" s="1" t="n">
        <v>44916</v>
      </c>
      <c r="C716" s="1" t="n">
        <v>45825</v>
      </c>
      <c r="D716" t="inlineStr">
        <is>
          <t>SÖDERMANLANDS LÄN</t>
        </is>
      </c>
      <c r="E716" t="inlineStr">
        <is>
          <t>ESKILSTUNA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61866-2022</t>
        </is>
      </c>
      <c r="B717" s="1" t="n">
        <v>44917</v>
      </c>
      <c r="C717" s="1" t="n">
        <v>45825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61861-2022</t>
        </is>
      </c>
      <c r="B718" s="1" t="n">
        <v>44917</v>
      </c>
      <c r="C718" s="1" t="n">
        <v>45825</v>
      </c>
      <c r="D718" t="inlineStr">
        <is>
          <t>SÖDERMANLANDS LÄN</t>
        </is>
      </c>
      <c r="E718" t="inlineStr">
        <is>
          <t>ESKILSTUNA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61988-2022</t>
        </is>
      </c>
      <c r="B719" s="1" t="n">
        <v>44918</v>
      </c>
      <c r="C719" s="1" t="n">
        <v>45825</v>
      </c>
      <c r="D719" t="inlineStr">
        <is>
          <t>SÖDERMANLANDS LÄN</t>
        </is>
      </c>
      <c r="E719" t="inlineStr">
        <is>
          <t>ESKILSTUNA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61999-2022</t>
        </is>
      </c>
      <c r="B720" s="1" t="n">
        <v>44918</v>
      </c>
      <c r="C720" s="1" t="n">
        <v>45825</v>
      </c>
      <c r="D720" t="inlineStr">
        <is>
          <t>SÖDERMANLANDS LÄN</t>
        </is>
      </c>
      <c r="E720" t="inlineStr">
        <is>
          <t>ESKILSTUNA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62734-2022</t>
        </is>
      </c>
      <c r="B721" s="1" t="n">
        <v>44925</v>
      </c>
      <c r="C721" s="1" t="n">
        <v>45825</v>
      </c>
      <c r="D721" t="inlineStr">
        <is>
          <t>SÖDERMANLANDS LÄN</t>
        </is>
      </c>
      <c r="E721" t="inlineStr">
        <is>
          <t>ESKILSTUNA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23-2023</t>
        </is>
      </c>
      <c r="B722" s="1" t="n">
        <v>44928</v>
      </c>
      <c r="C722" s="1" t="n">
        <v>45825</v>
      </c>
      <c r="D722" t="inlineStr">
        <is>
          <t>SÖDERMANLANDS LÄN</t>
        </is>
      </c>
      <c r="E722" t="inlineStr">
        <is>
          <t>ESKILSTUNA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1129-2023</t>
        </is>
      </c>
      <c r="B723" s="1" t="n">
        <v>44930</v>
      </c>
      <c r="C723" s="1" t="n">
        <v>45825</v>
      </c>
      <c r="D723" t="inlineStr">
        <is>
          <t>SÖDERMANLANDS LÄN</t>
        </is>
      </c>
      <c r="E723" t="inlineStr">
        <is>
          <t>ESKILSTUNA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1112-2023</t>
        </is>
      </c>
      <c r="B724" s="1" t="n">
        <v>44930</v>
      </c>
      <c r="C724" s="1" t="n">
        <v>45825</v>
      </c>
      <c r="D724" t="inlineStr">
        <is>
          <t>SÖDERMANLANDS LÄN</t>
        </is>
      </c>
      <c r="E724" t="inlineStr">
        <is>
          <t>ESKILSTUNA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1131-2023</t>
        </is>
      </c>
      <c r="B725" s="1" t="n">
        <v>44930</v>
      </c>
      <c r="C725" s="1" t="n">
        <v>45825</v>
      </c>
      <c r="D725" t="inlineStr">
        <is>
          <t>SÖDERMANLANDS LÄN</t>
        </is>
      </c>
      <c r="E725" t="inlineStr">
        <is>
          <t>ESKILSTUNA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1307-2023</t>
        </is>
      </c>
      <c r="B726" s="1" t="n">
        <v>44936</v>
      </c>
      <c r="C726" s="1" t="n">
        <v>45825</v>
      </c>
      <c r="D726" t="inlineStr">
        <is>
          <t>SÖDERMANLANDS LÄN</t>
        </is>
      </c>
      <c r="E726" t="inlineStr">
        <is>
          <t>ESKILSTUNA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1463-2023</t>
        </is>
      </c>
      <c r="B727" s="1" t="n">
        <v>44937</v>
      </c>
      <c r="C727" s="1" t="n">
        <v>45825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1468-2023</t>
        </is>
      </c>
      <c r="B728" s="1" t="n">
        <v>44937</v>
      </c>
      <c r="C728" s="1" t="n">
        <v>45825</v>
      </c>
      <c r="D728" t="inlineStr">
        <is>
          <t>SÖDERMANLANDS LÄN</t>
        </is>
      </c>
      <c r="E728" t="inlineStr">
        <is>
          <t>ESKILSTUNA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1715-2023</t>
        </is>
      </c>
      <c r="B729" s="1" t="n">
        <v>44938</v>
      </c>
      <c r="C729" s="1" t="n">
        <v>45825</v>
      </c>
      <c r="D729" t="inlineStr">
        <is>
          <t>SÖDERMANLANDS LÄN</t>
        </is>
      </c>
      <c r="E729" t="inlineStr">
        <is>
          <t>ESKILSTUNA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2341-2023</t>
        </is>
      </c>
      <c r="B730" s="1" t="n">
        <v>44942</v>
      </c>
      <c r="C730" s="1" t="n">
        <v>45825</v>
      </c>
      <c r="D730" t="inlineStr">
        <is>
          <t>SÖDERMANLANDS LÄN</t>
        </is>
      </c>
      <c r="E730" t="inlineStr">
        <is>
          <t>ESKILSTUNA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2343-2023</t>
        </is>
      </c>
      <c r="B731" s="1" t="n">
        <v>44942</v>
      </c>
      <c r="C731" s="1" t="n">
        <v>45825</v>
      </c>
      <c r="D731" t="inlineStr">
        <is>
          <t>SÖDERMANLANDS LÄN</t>
        </is>
      </c>
      <c r="E731" t="inlineStr">
        <is>
          <t>ESKILSTUNA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3112-2023</t>
        </is>
      </c>
      <c r="B732" s="1" t="n">
        <v>44946</v>
      </c>
      <c r="C732" s="1" t="n">
        <v>45825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3101-2023</t>
        </is>
      </c>
      <c r="B733" s="1" t="n">
        <v>44946</v>
      </c>
      <c r="C733" s="1" t="n">
        <v>45825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3138-2023</t>
        </is>
      </c>
      <c r="B734" s="1" t="n">
        <v>44946</v>
      </c>
      <c r="C734" s="1" t="n">
        <v>45825</v>
      </c>
      <c r="D734" t="inlineStr">
        <is>
          <t>SÖDERMANLANDS LÄN</t>
        </is>
      </c>
      <c r="E734" t="inlineStr">
        <is>
          <t>ESKILSTUNA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3136-2023</t>
        </is>
      </c>
      <c r="B735" s="1" t="n">
        <v>44946</v>
      </c>
      <c r="C735" s="1" t="n">
        <v>45825</v>
      </c>
      <c r="D735" t="inlineStr">
        <is>
          <t>SÖDERMANLANDS LÄN</t>
        </is>
      </c>
      <c r="E735" t="inlineStr">
        <is>
          <t>ESKILSTUNA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3145-2023</t>
        </is>
      </c>
      <c r="B736" s="1" t="n">
        <v>44946</v>
      </c>
      <c r="C736" s="1" t="n">
        <v>45825</v>
      </c>
      <c r="D736" t="inlineStr">
        <is>
          <t>SÖDERMANLANDS LÄN</t>
        </is>
      </c>
      <c r="E736" t="inlineStr">
        <is>
          <t>ESKILSTUNA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4256-2023</t>
        </is>
      </c>
      <c r="B737" s="1" t="n">
        <v>44953</v>
      </c>
      <c r="C737" s="1" t="n">
        <v>45825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4334-2023</t>
        </is>
      </c>
      <c r="B738" s="1" t="n">
        <v>44953</v>
      </c>
      <c r="C738" s="1" t="n">
        <v>45825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4249-2023</t>
        </is>
      </c>
      <c r="B739" s="1" t="n">
        <v>44953</v>
      </c>
      <c r="C739" s="1" t="n">
        <v>45825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4392-2023</t>
        </is>
      </c>
      <c r="B740" s="1" t="n">
        <v>44955</v>
      </c>
      <c r="C740" s="1" t="n">
        <v>45825</v>
      </c>
      <c r="D740" t="inlineStr">
        <is>
          <t>SÖDERMANLANDS LÄN</t>
        </is>
      </c>
      <c r="E740" t="inlineStr">
        <is>
          <t>ESKILSTUNA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4549-2023</t>
        </is>
      </c>
      <c r="B741" s="1" t="n">
        <v>44956</v>
      </c>
      <c r="C741" s="1" t="n">
        <v>45825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4562-2023</t>
        </is>
      </c>
      <c r="B742" s="1" t="n">
        <v>44956</v>
      </c>
      <c r="C742" s="1" t="n">
        <v>45825</v>
      </c>
      <c r="D742" t="inlineStr">
        <is>
          <t>SÖDERMANLANDS LÄN</t>
        </is>
      </c>
      <c r="E742" t="inlineStr">
        <is>
          <t>ESKILSTUNA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4558-2023</t>
        </is>
      </c>
      <c r="B743" s="1" t="n">
        <v>44956</v>
      </c>
      <c r="C743" s="1" t="n">
        <v>45825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4641-2023</t>
        </is>
      </c>
      <c r="B744" s="1" t="n">
        <v>44957</v>
      </c>
      <c r="C744" s="1" t="n">
        <v>45825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45825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45825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45825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45825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45825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45825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45825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45825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45825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45825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45825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45825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45825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45825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45825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45825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45825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45825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45825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45825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45825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45825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45825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45825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45825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45825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45825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45825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45825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45825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45825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45825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45825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45825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45825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45825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45825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45825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45825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45825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45825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45825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45825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45825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45825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45825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45825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45825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45825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45825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45825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45825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45825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45825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45825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45825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45825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45825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45825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45825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45825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45825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45825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45825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45825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45825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45825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45825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45825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45825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45825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45825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45825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45825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45825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45825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45825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45825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45825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45825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45825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45825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45825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45825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45825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45825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45825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45825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45825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45825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45825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45825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45825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45825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45825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45825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45825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45825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45825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45825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45825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45825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45825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45825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45825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45825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45825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45825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45825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45825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45825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45825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45825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45825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45825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45825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45825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45825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45825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45825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45825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45825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45825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45825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45825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45825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45825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45825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45825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45825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45825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45825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45825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45825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45825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45825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45825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45825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45825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45825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45825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45825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45825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45825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45825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45825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45825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45825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45825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45825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45825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45825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45825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45825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45825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45825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45825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45825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45825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45825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45825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45825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45825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45825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45825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45825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45825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45825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45825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45825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45825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45825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45825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45825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45825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45825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45825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45825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45825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45825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45825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45825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45825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45825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45825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45825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45825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45825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45825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45825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45825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45825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45825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45825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45825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45825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45825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45825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45825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45825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45825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45825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45825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45825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45825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45825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45825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45825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45825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45825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45825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45825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45825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45825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45825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45825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45825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45825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45825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45825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45825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45825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45825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45825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45825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45825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45825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45825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45825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45825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45825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45825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45825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45825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45825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45825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45825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45825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45825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45825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45825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45825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45825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45825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45825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45825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45825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45825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45825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45825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45825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45825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45825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45825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45825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45825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45825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45825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45825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45825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45825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45825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45825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45825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45825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45825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45825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45825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45825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45825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45825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45825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45825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45825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45825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45825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45825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45825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45825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45825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45825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45825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45825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45825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45825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45825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45825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45825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45825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45825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45825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45825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45825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45825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45825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45825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45825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45825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45825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45825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45825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45825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45825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45825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45825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45825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45825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45825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45825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45825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45825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45825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45825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45825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45825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45825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45825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45825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45825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45825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45825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45825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45825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45825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45825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45825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45825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45825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45825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45825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45825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45825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45825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45825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45825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45825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45825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45825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45825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45825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45825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45825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45825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45825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45825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45825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45825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45825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45825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45825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45825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45825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45825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45825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45825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45825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45825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45825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45825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45825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45825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45825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45825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45825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45825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45825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45825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45825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45825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45825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45825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45825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45825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45825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45825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45825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45825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45825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45825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45825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45825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45825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45825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45825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45825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45825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45825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45825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45825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45825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45825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45825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45825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45825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45825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45825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45825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45825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45825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45825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45825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45825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45825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45825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45825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45825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45825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45825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45825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45825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45825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45825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45825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45825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45825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45825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23444-2025</t>
        </is>
      </c>
      <c r="B1161" s="1" t="n">
        <v>45792</v>
      </c>
      <c r="C1161" s="1" t="n">
        <v>45825</v>
      </c>
      <c r="D1161" t="inlineStr">
        <is>
          <t>SÖDERMANLANDS LÄN</t>
        </is>
      </c>
      <c r="E1161" t="inlineStr">
        <is>
          <t>ESKILSTUNA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24669-2025</t>
        </is>
      </c>
      <c r="B1162" s="1" t="n">
        <v>45798</v>
      </c>
      <c r="C1162" s="1" t="n">
        <v>45825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24535-2025</t>
        </is>
      </c>
      <c r="B1163" s="1" t="n">
        <v>45798</v>
      </c>
      <c r="C1163" s="1" t="n">
        <v>45825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24686-2025</t>
        </is>
      </c>
      <c r="B1164" s="1" t="n">
        <v>45798</v>
      </c>
      <c r="C1164" s="1" t="n">
        <v>45825</v>
      </c>
      <c r="D1164" t="inlineStr">
        <is>
          <t>SÖDERMANLANDS LÄN</t>
        </is>
      </c>
      <c r="E1164" t="inlineStr">
        <is>
          <t>ESKILSTUNA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24662-2025</t>
        </is>
      </c>
      <c r="B1165" s="1" t="n">
        <v>45798</v>
      </c>
      <c r="C1165" s="1" t="n">
        <v>45825</v>
      </c>
      <c r="D1165" t="inlineStr">
        <is>
          <t>SÖDERMANLANDS LÄN</t>
        </is>
      </c>
      <c r="E1165" t="inlineStr">
        <is>
          <t>ESKILSTUNA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24691-2025</t>
        </is>
      </c>
      <c r="B1166" s="1" t="n">
        <v>45798</v>
      </c>
      <c r="C1166" s="1" t="n">
        <v>45825</v>
      </c>
      <c r="D1166" t="inlineStr">
        <is>
          <t>SÖDERMANLANDS LÄN</t>
        </is>
      </c>
      <c r="E1166" t="inlineStr">
        <is>
          <t>ESKILSTUNA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24652-2025</t>
        </is>
      </c>
      <c r="B1167" s="1" t="n">
        <v>45798</v>
      </c>
      <c r="C1167" s="1" t="n">
        <v>45825</v>
      </c>
      <c r="D1167" t="inlineStr">
        <is>
          <t>SÖDERMANLANDS LÄN</t>
        </is>
      </c>
      <c r="E1167" t="inlineStr">
        <is>
          <t>ESKILSTUNA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24534-2025</t>
        </is>
      </c>
      <c r="B1168" s="1" t="n">
        <v>45798</v>
      </c>
      <c r="C1168" s="1" t="n">
        <v>45825</v>
      </c>
      <c r="D1168" t="inlineStr">
        <is>
          <t>SÖDERMANLANDS LÄN</t>
        </is>
      </c>
      <c r="E1168" t="inlineStr">
        <is>
          <t>ESKILSTUNA</t>
        </is>
      </c>
      <c r="F1168" t="inlineStr">
        <is>
          <t>Sveaskog</t>
        </is>
      </c>
      <c r="G1168" t="n">
        <v>0.2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24667-2025</t>
        </is>
      </c>
      <c r="B1169" s="1" t="n">
        <v>45798</v>
      </c>
      <c r="C1169" s="1" t="n">
        <v>45825</v>
      </c>
      <c r="D1169" t="inlineStr">
        <is>
          <t>SÖDERMANLANDS LÄN</t>
        </is>
      </c>
      <c r="E1169" t="inlineStr">
        <is>
          <t>ESKILSTUNA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24537-2025</t>
        </is>
      </c>
      <c r="B1170" s="1" t="n">
        <v>45798</v>
      </c>
      <c r="C1170" s="1" t="n">
        <v>45825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24536-2025</t>
        </is>
      </c>
      <c r="B1171" s="1" t="n">
        <v>45798</v>
      </c>
      <c r="C1171" s="1" t="n">
        <v>45825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28090-2025</t>
        </is>
      </c>
      <c r="B1172" s="1" t="n">
        <v>45817</v>
      </c>
      <c r="C1172" s="1" t="n">
        <v>45825</v>
      </c>
      <c r="D1172" t="inlineStr">
        <is>
          <t>SÖDERMANLANDS LÄN</t>
        </is>
      </c>
      <c r="E1172" t="inlineStr">
        <is>
          <t>ESKILSTUNA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2025-06-17T18:42:06Z</dcterms:created>
  <dcterms:modified xmlns:dcterms="http://purl.org/dc/terms/" xmlns:xsi="http://www.w3.org/2001/XMLSchema-instance" xsi:type="dcterms:W3CDTF">2025-06-17T18:42:07Z</dcterms:modified>
</cp:coreProperties>
</file>