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46253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46253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46253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46253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46253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46253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46253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46253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46253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46253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46253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46253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46253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46253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46253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46253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46253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32253-2026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46253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Svinrot
Tibast
Blåsippa</t>
        </is>
      </c>
      <c r="W25">
        <f>HYPERLINK("https://klasma.github.io/Logging_0484/artfynd/A 32253-2026 artfynd.xlsx", "A 32253-2026")</f>
        <v/>
      </c>
      <c r="X25">
        <f>HYPERLINK("https://klasma.github.io/Logging_0484/kartor/A 32253-2026 karta.png", "A 32253-2026")</f>
        <v/>
      </c>
      <c r="Y25">
        <f>HYPERLINK("https://klasma.github.io/Logging_0484/kartor_geotiff/A 32253-2026 georefererad karta.tif", "A 32253-2026")</f>
        <v/>
      </c>
      <c r="AA25">
        <f>HYPERLINK("https://klasma.github.io/Logging_0484/klagomål/A 32253-2026 FSC-klagomål.docx", "A 32253-2026")</f>
        <v/>
      </c>
      <c r="AB25">
        <f>HYPERLINK("https://klasma.github.io/Logging_0484/klagomålsmail/A 32253-2026 FSC-klagomål mail.docx", "A 32253-2026")</f>
        <v/>
      </c>
      <c r="AC25">
        <f>HYPERLINK("https://klasma.github.io/Logging_0484/tillsyn/A 32253-2026 tillsynsbegäran.docx", "A 32253-2026")</f>
        <v/>
      </c>
      <c r="AD25">
        <f>HYPERLINK("https://klasma.github.io/Logging_0484/tillsynsmail/A 32253-2026 tillsynsbegäran mail.docx", "A 32253-2026")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46253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46253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46253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46253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46253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46253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46253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46253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59822-2025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46253</v>
      </c>
      <c r="F35" t="inlineStr">
        <is>
          <t>SÖDERMANLANDS LÄN</t>
        </is>
      </c>
      <c r="G35" t="inlineStr">
        <is>
          <t>ESKILSTUNA</t>
        </is>
      </c>
      <c r="I35" t="n">
        <v>8.5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Stubbspretmossa
Timmerticka</t>
        </is>
      </c>
      <c r="W35">
        <f>HYPERLINK("https://klasma.github.io/Logging_0484/artfynd/A 59822-2025 artfynd.xlsx", "A 59822-2025")</f>
        <v/>
      </c>
      <c r="X35">
        <f>HYPERLINK("https://klasma.github.io/Logging_0484/kartor/A 59822-2025 karta.png", "A 59822-2025")</f>
        <v/>
      </c>
      <c r="Y35">
        <f>HYPERLINK("https://klasma.github.io/Logging_0484/kartor_geotiff/A 59822-2025 georefererad karta.tif", "A 59822-2025")</f>
        <v/>
      </c>
      <c r="AA35">
        <f>HYPERLINK("https://klasma.github.io/Logging_0484/klagomål/A 59822-2025 FSC-klagomål.docx", "A 59822-2025")</f>
        <v/>
      </c>
      <c r="AB35">
        <f>HYPERLINK("https://klasma.github.io/Logging_0484/klagomålsmail/A 59822-2025 FSC-klagomål mail.docx", "A 59822-2025")</f>
        <v/>
      </c>
      <c r="AC35">
        <f>HYPERLINK("https://klasma.github.io/Logging_0484/tillsyn/A 59822-2025 tillsynsbegäran.docx", "A 59822-2025")</f>
        <v/>
      </c>
      <c r="AD35">
        <f>HYPERLINK("https://klasma.github.io/Logging_0484/tillsynsmail/A 59822-2025 tillsynsbegäran mail.docx", "A 59822-2025")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46253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46253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 dropplav
Sotlav</t>
        </is>
      </c>
      <c r="W37">
        <f>HYPERLINK("https://klasma.github.io/Logging_0484/artfynd/A 17362-2024 artfynd.xlsx", "A 17362-2024")</f>
        <v/>
      </c>
      <c r="X37">
        <f>HYPERLINK("https://klasma.github.io/Logging_0484/kartor/A 17362-2024 karta.png", "A 17362-2024")</f>
        <v/>
      </c>
      <c r="Y37">
        <f>HYPERLINK("https://klasma.github.io/Logging_0484/kartor_geotiff/A 17362-2024 georefererad karta.tif", "A 17362-2024")</f>
        <v/>
      </c>
      <c r="AA37">
        <f>HYPERLINK("https://klasma.github.io/Logging_0484/klagomål/A 17362-2024 FSC-klagomål.docx", "A 17362-2024")</f>
        <v/>
      </c>
      <c r="AB37">
        <f>HYPERLINK("https://klasma.github.io/Logging_0484/klagomålsmail/A 17362-2024 FSC-klagomål mail.docx", "A 17362-2024")</f>
        <v/>
      </c>
      <c r="AC37">
        <f>HYPERLINK("https://klasma.github.io/Logging_0484/tillsyn/A 17362-2024 tillsynsbegäran.docx", "A 17362-2024")</f>
        <v/>
      </c>
      <c r="AD37">
        <f>HYPERLINK("https://klasma.github.io/Logging_0484/tillsynsmail/A 17362-2024 tillsynsbegäran mail.docx", "A 17362-2024")</f>
        <v/>
      </c>
    </row>
    <row r="38" ht="15" customHeight="1">
      <c r="A38" t="inlineStr">
        <is>
          <t>A 34986-2025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46253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Svart trolldruva
Spillkråka</t>
        </is>
      </c>
      <c r="W38">
        <f>HYPERLINK("https://klasma.github.io/Logging_0484/artfynd/A 34986-2025 artfynd.xlsx", "A 34986-2025")</f>
        <v/>
      </c>
      <c r="X38">
        <f>HYPERLINK("https://klasma.github.io/Logging_0484/kartor/A 34986-2025 karta.png", "A 34986-2025")</f>
        <v/>
      </c>
      <c r="Y38">
        <f>HYPERLINK("https://klasma.github.io/Logging_0484/kartor_geotiff/A 34986-2025 georefererad karta.tif", "A 34986-2025")</f>
        <v/>
      </c>
      <c r="AA38">
        <f>HYPERLINK("https://klasma.github.io/Logging_0484/klagomål/A 34986-2025 FSC-klagomål.docx", "A 34986-2025")</f>
        <v/>
      </c>
      <c r="AB38">
        <f>HYPERLINK("https://klasma.github.io/Logging_0484/klagomålsmail/A 34986-2025 FSC-klagomål mail.docx", "A 34986-2025")</f>
        <v/>
      </c>
      <c r="AC38">
        <f>HYPERLINK("https://klasma.github.io/Logging_0484/tillsyn/A 34986-2025 tillsynsbegäran.docx", "A 34986-2025")</f>
        <v/>
      </c>
      <c r="AD38">
        <f>HYPERLINK("https://klasma.github.io/Logging_0484/tillsynsmail/A 34986-2025 tillsynsbegäran mail.docx", "A 34986-2025")</f>
        <v/>
      </c>
      <c r="AE38">
        <f>HYPERLINK("https://klasma.github.io/Logging_0484/fåglar/A 34986-2025 prioriterade fågelarter.docx", "A 34986-2025")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46253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61105-2025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46253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1.1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Krusfrö
Tibast</t>
        </is>
      </c>
      <c r="W40">
        <f>HYPERLINK("https://klasma.github.io/Logging_0484/artfynd/A 61105-2025 artfynd.xlsx", "A 61105-2025")</f>
        <v/>
      </c>
      <c r="X40">
        <f>HYPERLINK("https://klasma.github.io/Logging_0484/kartor/A 61105-2025 karta.png", "A 61105-2025")</f>
        <v/>
      </c>
      <c r="Y40">
        <f>HYPERLINK("https://klasma.github.io/Logging_0484/kartor_geotiff/A 61105-2025 georefererad karta.tif", "A 61105-2025")</f>
        <v/>
      </c>
      <c r="AA40">
        <f>HYPERLINK("https://klasma.github.io/Logging_0484/klagomål/A 61105-2025 FSC-klagomål.docx", "A 61105-2025")</f>
        <v/>
      </c>
      <c r="AB40">
        <f>HYPERLINK("https://klasma.github.io/Logging_0484/klagomålsmail/A 61105-2025 FSC-klagomål mail.docx", "A 61105-2025")</f>
        <v/>
      </c>
      <c r="AC40">
        <f>HYPERLINK("https://klasma.github.io/Logging_0484/tillsyn/A 61105-2025 tillsynsbegäran.docx", "A 61105-2025")</f>
        <v/>
      </c>
      <c r="AD40">
        <f>HYPERLINK("https://klasma.github.io/Logging_0484/tillsynsmail/A 61105-2025 tillsynsbegäran mail.docx", "A 61105-2025")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46253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Kungsfågel
Revlummer</t>
        </is>
      </c>
      <c r="W41">
        <f>HYPERLINK("https://klasma.github.io/Logging_0484/artfynd/A 63042-2025 artfynd.xlsx", "A 63042-2025")</f>
        <v/>
      </c>
      <c r="X41">
        <f>HYPERLINK("https://klasma.github.io/Logging_0484/kartor/A 63042-2025 karta.png", "A 63042-2025")</f>
        <v/>
      </c>
      <c r="Y41">
        <f>HYPERLINK("https://klasma.github.io/Logging_0484/kartor_geotiff/A 63042-2025 georefererad karta.tif", "A 63042-2025")</f>
        <v/>
      </c>
      <c r="AA41">
        <f>HYPERLINK("https://klasma.github.io/Logging_0484/klagomål/A 63042-2025 FSC-klagomål.docx", "A 63042-2025")</f>
        <v/>
      </c>
      <c r="AB41">
        <f>HYPERLINK("https://klasma.github.io/Logging_0484/klagomålsmail/A 63042-2025 FSC-klagomål mail.docx", "A 63042-2025")</f>
        <v/>
      </c>
      <c r="AC41">
        <f>HYPERLINK("https://klasma.github.io/Logging_0484/tillsyn/A 63042-2025 tillsynsbegäran.docx", "A 63042-2025")</f>
        <v/>
      </c>
      <c r="AD41">
        <f>HYPERLINK("https://klasma.github.io/Logging_0484/tillsynsmail/A 63042-2025 tillsynsbegäran mail.docx", "A 63042-2025")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46253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46253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46253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46253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46253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46253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46253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46253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46253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46253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46253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46253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46253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46253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46253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46253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46253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46253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46253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46253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46253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31056-2025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46253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HYPERLINK("https://klasma.github.io/Logging_0484/artfynd/A 31056-2025 artfynd.xlsx", "A 31056-2025")</f>
        <v/>
      </c>
      <c r="X63">
        <f>HYPERLINK("https://klasma.github.io/Logging_0484/kartor/A 31056-2025 karta.png", "A 31056-2025")</f>
        <v/>
      </c>
      <c r="Y63">
        <f>HYPERLINK("https://klasma.github.io/Logging_0484/kartor_geotiff/A 31056-2025 georefererad karta.tif", "A 31056-2025")</f>
        <v/>
      </c>
      <c r="AA63">
        <f>HYPERLINK("https://klasma.github.io/Logging_0484/klagomål/A 31056-2025 FSC-klagomål.docx", "A 31056-2025")</f>
        <v/>
      </c>
      <c r="AB63">
        <f>HYPERLINK("https://klasma.github.io/Logging_0484/klagomålsmail/A 31056-2025 FSC-klagomål mail.docx", "A 31056-2025")</f>
        <v/>
      </c>
      <c r="AC63">
        <f>HYPERLINK("https://klasma.github.io/Logging_0484/tillsyn/A 31056-2025 tillsynsbegäran.docx", "A 31056-2025")</f>
        <v/>
      </c>
      <c r="AD63">
        <f>HYPERLINK("https://klasma.github.io/Logging_0484/tillsynsmail/A 31056-2025 tillsynsbegäran mail.docx", "A 31056-2025")</f>
        <v/>
      </c>
    </row>
    <row r="64" ht="15" customHeight="1">
      <c r="A64" t="inlineStr">
        <is>
          <t>A 8518-2026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46253</v>
      </c>
      <c r="F64" t="inlineStr">
        <is>
          <t>SÖDERMANLANDS LÄN</t>
        </is>
      </c>
      <c r="G64" t="inlineStr">
        <is>
          <t>ESKILSTUNA</t>
        </is>
      </c>
      <c r="I64" t="n">
        <v>8.9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HYPERLINK("https://klasma.github.io/Logging_0484/artfynd/A 8518-2026 artfynd.xlsx", "A 8518-2026")</f>
        <v/>
      </c>
      <c r="X64">
        <f>HYPERLINK("https://klasma.github.io/Logging_0484/kartor/A 8518-2026 karta.png", "A 8518-2026")</f>
        <v/>
      </c>
      <c r="Y64">
        <f>HYPERLINK("https://klasma.github.io/Logging_0484/kartor_geotiff/A 8518-2026 georefererad karta.tif", "A 8518-2026")</f>
        <v/>
      </c>
      <c r="AA64">
        <f>HYPERLINK("https://klasma.github.io/Logging_0484/klagomål/A 8518-2026 FSC-klagomål.docx", "A 8518-2026")</f>
        <v/>
      </c>
      <c r="AB64">
        <f>HYPERLINK("https://klasma.github.io/Logging_0484/klagomålsmail/A 8518-2026 FSC-klagomål mail.docx", "A 8518-2026")</f>
        <v/>
      </c>
      <c r="AC64">
        <f>HYPERLINK("https://klasma.github.io/Logging_0484/tillsyn/A 8518-2026 tillsynsbegäran.docx", "A 8518-2026")</f>
        <v/>
      </c>
      <c r="AD64">
        <f>HYPERLINK("https://klasma.github.io/Logging_0484/tillsynsmail/A 8518-2026 tillsynsbegäran mail.docx", "A 8518-2026")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46253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15608-2026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46253</v>
      </c>
      <c r="F66" t="inlineStr">
        <is>
          <t>SÖDERMANLANDS LÄN</t>
        </is>
      </c>
      <c r="G66" t="inlineStr">
        <is>
          <t>ESKILSTUNA</t>
        </is>
      </c>
      <c r="I66" t="n">
        <v>9.6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15608-2026 artfynd.xlsx", "A 15608-2026")</f>
        <v/>
      </c>
      <c r="X66">
        <f>HYPERLINK("https://klasma.github.io/Logging_0484/kartor/A 15608-2026 karta.png", "A 15608-2026")</f>
        <v/>
      </c>
      <c r="Y66">
        <f>HYPERLINK("https://klasma.github.io/Logging_0484/kartor_geotiff/A 15608-2026 georefererad karta.tif", "A 15608-2026")</f>
        <v/>
      </c>
      <c r="AA66">
        <f>HYPERLINK("https://klasma.github.io/Logging_0484/klagomål/A 15608-2026 FSC-klagomål.docx", "A 15608-2026")</f>
        <v/>
      </c>
      <c r="AB66">
        <f>HYPERLINK("https://klasma.github.io/Logging_0484/klagomålsmail/A 15608-2026 FSC-klagomål mail.docx", "A 15608-2026")</f>
        <v/>
      </c>
      <c r="AC66">
        <f>HYPERLINK("https://klasma.github.io/Logging_0484/tillsyn/A 15608-2026 tillsynsbegäran.docx", "A 15608-2026")</f>
        <v/>
      </c>
      <c r="AD66">
        <f>HYPERLINK("https://klasma.github.io/Logging_0484/tillsynsmail/A 15608-2026 tillsynsbegäran mail.docx", "A 15608-2026")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46253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46253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36216-2025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45867</v>
      </c>
      <c r="E69" s="1" t="n">
        <v>46253</v>
      </c>
      <c r="F69" t="inlineStr">
        <is>
          <t>SÖDERMANLANDS LÄN</t>
        </is>
      </c>
      <c r="G69" t="inlineStr">
        <is>
          <t>ESKILSTUNA</t>
        </is>
      </c>
      <c r="I69" t="n">
        <v>18.7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Blomkålssvamp</t>
        </is>
      </c>
      <c r="W69">
        <f>HYPERLINK("https://klasma.github.io/Logging_0484/artfynd/A 36216-2025 artfynd.xlsx", "A 36216-2025")</f>
        <v/>
      </c>
      <c r="X69">
        <f>HYPERLINK("https://klasma.github.io/Logging_0484/kartor/A 36216-2025 karta.png", "A 36216-2025")</f>
        <v/>
      </c>
      <c r="Y69">
        <f>HYPERLINK("https://klasma.github.io/Logging_0484/kartor_geotiff/A 36216-2025 georefererad karta.tif", "A 36216-2025")</f>
        <v/>
      </c>
      <c r="AA69">
        <f>HYPERLINK("https://klasma.github.io/Logging_0484/klagomål/A 36216-2025 FSC-klagomål.docx", "A 36216-2025")</f>
        <v/>
      </c>
      <c r="AB69">
        <f>HYPERLINK("https://klasma.github.io/Logging_0484/klagomålsmail/A 36216-2025 FSC-klagomål mail.docx", "A 36216-2025")</f>
        <v/>
      </c>
      <c r="AC69">
        <f>HYPERLINK("https://klasma.github.io/Logging_0484/tillsyn/A 36216-2025 tillsynsbegäran.docx", "A 36216-2025")</f>
        <v/>
      </c>
      <c r="AD69">
        <f>HYPERLINK("https://klasma.github.io/Logging_0484/tillsynsmail/A 36216-2025 tillsynsbegäran mail.docx", "A 36216-2025")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46253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46253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Gullviva</t>
        </is>
      </c>
      <c r="W71">
        <f>HYPERLINK("https://klasma.github.io/Logging_0484/artfynd/A 57349-2021 artfynd.xlsx", "A 57349-2021")</f>
        <v/>
      </c>
      <c r="X71">
        <f>HYPERLINK("https://klasma.github.io/Logging_0484/kartor/A 57349-2021 karta.png", "A 57349-2021")</f>
        <v/>
      </c>
      <c r="Y71">
        <f>HYPERLINK("https://klasma.github.io/Logging_0484/kartor_geotiff/A 57349-2021 georefererad karta.tif", "A 57349-2021")</f>
        <v/>
      </c>
      <c r="AA71">
        <f>HYPERLINK("https://klasma.github.io/Logging_0484/klagomål/A 57349-2021 FSC-klagomål.docx", "A 57349-2021")</f>
        <v/>
      </c>
      <c r="AB71">
        <f>HYPERLINK("https://klasma.github.io/Logging_0484/klagomålsmail/A 57349-2021 FSC-klagomål mail.docx", "A 57349-2021")</f>
        <v/>
      </c>
      <c r="AC71">
        <f>HYPERLINK("https://klasma.github.io/Logging_0484/tillsyn/A 57349-2021 tillsynsbegäran.docx", "A 57349-2021")</f>
        <v/>
      </c>
      <c r="AD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46253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46253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46253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46253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46253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HYPERLINK("https://klasma.github.io/Logging_0484/artfynd/A 26097-2026 artfynd.xlsx", "A 26097-2026")</f>
        <v/>
      </c>
      <c r="X76">
        <f>HYPERLINK("https://klasma.github.io/Logging_0484/kartor/A 26097-2026 karta.png", "A 26097-2026")</f>
        <v/>
      </c>
      <c r="Y76">
        <f>HYPERLINK("https://klasma.github.io/Logging_0484/kartor_geotiff/A 26097-2026 georefererad karta.tif", "A 26097-2026")</f>
        <v/>
      </c>
      <c r="AA76">
        <f>HYPERLINK("https://klasma.github.io/Logging_0484/klagomål/A 26097-2026 FSC-klagomål.docx", "A 26097-2026")</f>
        <v/>
      </c>
      <c r="AB76">
        <f>HYPERLINK("https://klasma.github.io/Logging_0484/klagomålsmail/A 26097-2026 FSC-klagomål mail.docx", "A 26097-2026")</f>
        <v/>
      </c>
      <c r="AC76">
        <f>HYPERLINK("https://klasma.github.io/Logging_0484/tillsyn/A 26097-2026 tillsynsbegäran.docx", "A 26097-2026")</f>
        <v/>
      </c>
      <c r="AD76">
        <f>HYPERLINK("https://klasma.github.io/Logging_0484/tillsynsmail/A 26097-2026 tillsynsbegäran mail.docx", "A 26097-2026")</f>
        <v/>
      </c>
    </row>
    <row r="77" ht="15" customHeight="1">
      <c r="A77" t="inlineStr">
        <is>
          <t>A 26008-2026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46253</v>
      </c>
      <c r="F77" t="inlineStr">
        <is>
          <t>SÖDERMANLANDS LÄN</t>
        </is>
      </c>
      <c r="G77" t="inlineStr">
        <is>
          <t>ESKILSTUNA</t>
        </is>
      </c>
      <c r="I77" t="n">
        <v>2.8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8</v>
      </c>
      <c r="U77" t="n">
        <v>0</v>
      </c>
      <c r="V77" s="2" t="inlineStr">
        <is>
          <t>Svart trolldruva</t>
        </is>
      </c>
      <c r="W77">
        <f>HYPERLINK("https://klasma.github.io/Logging_0484/artfynd/A 26008-2026 artfynd.xlsx", "A 26008-2026")</f>
        <v/>
      </c>
      <c r="X77">
        <f>HYPERLINK("https://klasma.github.io/Logging_0484/kartor/A 26008-2026 karta.png", "A 26008-2026")</f>
        <v/>
      </c>
      <c r="Y77">
        <f>HYPERLINK("https://klasma.github.io/Logging_0484/kartor_geotiff/A 26008-2026 georefererad karta.tif", "A 26008-2026")</f>
        <v/>
      </c>
      <c r="AA77">
        <f>HYPERLINK("https://klasma.github.io/Logging_0484/klagomål/A 26008-2026 FSC-klagomål.docx", "A 26008-2026")</f>
        <v/>
      </c>
      <c r="AB77">
        <f>HYPERLINK("https://klasma.github.io/Logging_0484/klagomålsmail/A 26008-2026 FSC-klagomål mail.docx", "A 26008-2026")</f>
        <v/>
      </c>
      <c r="AC77">
        <f>HYPERLINK("https://klasma.github.io/Logging_0484/tillsyn/A 26008-2026 tillsynsbegäran.docx", "A 26008-2026")</f>
        <v/>
      </c>
      <c r="AD77">
        <f>HYPERLINK("https://klasma.github.io/Logging_0484/tillsynsmail/A 26008-2026 tillsynsbegäran mail.docx", "A 26008-2026")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46253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HYPERLINK("https://klasma.github.io/Logging_0484/artfynd/A 26094-2026 artfynd.xlsx", "A 26094-2026")</f>
        <v/>
      </c>
      <c r="X78">
        <f>HYPERLINK("https://klasma.github.io/Logging_0484/kartor/A 26094-2026 karta.png", "A 26094-2026")</f>
        <v/>
      </c>
      <c r="Y78">
        <f>HYPERLINK("https://klasma.github.io/Logging_0484/kartor_geotiff/A 26094-2026 georefererad karta.tif", "A 26094-2026")</f>
        <v/>
      </c>
      <c r="AA78">
        <f>HYPERLINK("https://klasma.github.io/Logging_0484/klagomål/A 26094-2026 FSC-klagomål.docx", "A 26094-2026")</f>
        <v/>
      </c>
      <c r="AB78">
        <f>HYPERLINK("https://klasma.github.io/Logging_0484/klagomålsmail/A 26094-2026 FSC-klagomål mail.docx", "A 26094-2026")</f>
        <v/>
      </c>
      <c r="AC78">
        <f>HYPERLINK("https://klasma.github.io/Logging_0484/tillsyn/A 26094-2026 tillsynsbegäran.docx", "A 26094-2026")</f>
        <v/>
      </c>
      <c r="AD78">
        <f>HYPERLINK("https://klasma.github.io/Logging_0484/tillsynsmail/A 26094-2026 tillsynsbegäran mail.docx", "A 26094-2026")</f>
        <v/>
      </c>
      <c r="AE78">
        <f>HYPERLINK("https://klasma.github.io/Logging_0484/fåglar/A 26094-2026 prioriterade fågelarter.docx", "A 26094-2026")</f>
        <v/>
      </c>
    </row>
    <row r="79" ht="15" customHeight="1">
      <c r="A79" t="inlineStr">
        <is>
          <t>A 30975-2023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46253</v>
      </c>
      <c r="F79" t="inlineStr">
        <is>
          <t>SÖDERMANLANDS LÄN</t>
        </is>
      </c>
      <c r="G79" t="inlineStr">
        <is>
          <t>ESKILSTUNA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Bombmurkla</t>
        </is>
      </c>
      <c r="W79">
        <f>HYPERLINK("https://klasma.github.io/Logging_0484/artfynd/A 30975-2023 artfynd.xlsx", "A 30975-2023")</f>
        <v/>
      </c>
      <c r="X79">
        <f>HYPERLINK("https://klasma.github.io/Logging_0484/kartor/A 30975-2023 karta.png", "A 30975-2023")</f>
        <v/>
      </c>
      <c r="Y79">
        <f>HYPERLINK("https://klasma.github.io/Logging_0484/kartor_geotiff/A 30975-2023 georefererad karta.tif", "A 30975-2023")</f>
        <v/>
      </c>
      <c r="AA79">
        <f>HYPERLINK("https://klasma.github.io/Logging_0484/klagomål/A 30975-2023 FSC-klagomål.docx", "A 30975-2023")</f>
        <v/>
      </c>
      <c r="AB79">
        <f>HYPERLINK("https://klasma.github.io/Logging_0484/klagomålsmail/A 30975-2023 FSC-klagomål mail.docx", "A 30975-2023")</f>
        <v/>
      </c>
      <c r="AC79">
        <f>HYPERLINK("https://klasma.github.io/Logging_0484/tillsyn/A 30975-2023 tillsynsbegäran.docx", "A 30975-2023")</f>
        <v/>
      </c>
      <c r="AD79">
        <f>HYPERLINK("https://klasma.github.io/Logging_0484/tillsynsmail/A 30975-2023 tillsynsbegäran mail.docx", "A 30975-2023")</f>
        <v/>
      </c>
    </row>
    <row r="80" ht="15" customHeight="1">
      <c r="A80" t="inlineStr">
        <is>
          <t>A 50760-2023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46253</v>
      </c>
      <c r="F80" t="inlineStr">
        <is>
          <t>SÖDERMANLANDS LÄN</t>
        </is>
      </c>
      <c r="G80" t="inlineStr">
        <is>
          <t>ESKILSTUNA</t>
        </is>
      </c>
      <c r="I80" t="n">
        <v>4.1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Pärluggla</t>
        </is>
      </c>
      <c r="W80">
        <f>HYPERLINK("https://klasma.github.io/Logging_0484/artfynd/A 50760-2023 artfynd.xlsx", "A 50760-2023")</f>
        <v/>
      </c>
      <c r="X80">
        <f>HYPERLINK("https://klasma.github.io/Logging_0484/kartor/A 50760-2023 karta.png", "A 50760-2023")</f>
        <v/>
      </c>
      <c r="Y80">
        <f>HYPERLINK("https://klasma.github.io/Logging_0484/kartor_geotiff/A 50760-2023 georefererad karta.tif", "A 50760-2023")</f>
        <v/>
      </c>
      <c r="AA80">
        <f>HYPERLINK("https://klasma.github.io/Logging_0484/klagomål/A 50760-2023 FSC-klagomål.docx", "A 50760-2023")</f>
        <v/>
      </c>
      <c r="AB80">
        <f>HYPERLINK("https://klasma.github.io/Logging_0484/klagomålsmail/A 50760-2023 FSC-klagomål mail.docx", "A 50760-2023")</f>
        <v/>
      </c>
      <c r="AC80">
        <f>HYPERLINK("https://klasma.github.io/Logging_0484/tillsyn/A 50760-2023 tillsynsbegäran.docx", "A 50760-2023")</f>
        <v/>
      </c>
      <c r="AD80">
        <f>HYPERLINK("https://klasma.github.io/Logging_0484/tillsynsmail/A 50760-2023 tillsynsbegäran mail.docx", "A 50760-2023")</f>
        <v/>
      </c>
      <c r="AE80">
        <f>HYPERLINK("https://klasma.github.io/Logging_0484/fåglar/A 50760-2023 prioriterade fågelarter.docx", "A 50760-2023")</f>
        <v/>
      </c>
    </row>
    <row r="81" ht="15" customHeight="1">
      <c r="A81" t="inlineStr">
        <is>
          <t>A 27892-2026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46253</v>
      </c>
      <c r="F81" t="inlineStr">
        <is>
          <t>SÖDERMANLANDS LÄN</t>
        </is>
      </c>
      <c r="G81" t="inlineStr">
        <is>
          <t>ESKILSTUNA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Nattviol</t>
        </is>
      </c>
      <c r="W81">
        <f>HYPERLINK("https://klasma.github.io/Logging_0484/artfynd/A 27892-2026 artfynd.xlsx", "A 27892-2026")</f>
        <v/>
      </c>
      <c r="X81">
        <f>HYPERLINK("https://klasma.github.io/Logging_0484/kartor/A 27892-2026 karta.png", "A 27892-2026")</f>
        <v/>
      </c>
      <c r="Y81">
        <f>HYPERLINK("https://klasma.github.io/Logging_0484/kartor_geotiff/A 27892-2026 georefererad karta.tif", "A 27892-2026")</f>
        <v/>
      </c>
      <c r="AA81">
        <f>HYPERLINK("https://klasma.github.io/Logging_0484/klagomål/A 27892-2026 FSC-klagomål.docx", "A 27892-2026")</f>
        <v/>
      </c>
      <c r="AB81">
        <f>HYPERLINK("https://klasma.github.io/Logging_0484/klagomålsmail/A 27892-2026 FSC-klagomål mail.docx", "A 27892-2026")</f>
        <v/>
      </c>
      <c r="AC81">
        <f>HYPERLINK("https://klasma.github.io/Logging_0484/tillsyn/A 27892-2026 tillsynsbegäran.docx", "A 27892-2026")</f>
        <v/>
      </c>
      <c r="AD81">
        <f>HYPERLINK("https://klasma.github.io/Logging_0484/tillsynsmail/A 27892-2026 tillsynsbegäran mail.docx", "A 27892-2026")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46253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HYPERLINK("https://klasma.github.io/Logging_0484/artfynd/A 55087-2022 artfynd.xlsx", "A 55087-2022")</f>
        <v/>
      </c>
      <c r="X82">
        <f>HYPERLINK("https://klasma.github.io/Logging_0484/kartor/A 55087-2022 karta.png", "A 55087-2022")</f>
        <v/>
      </c>
      <c r="Y82">
        <f>HYPERLINK("https://klasma.github.io/Logging_0484/kartor_geotiff/A 55087-2022 georefererad karta.tif", "A 55087-2022")</f>
        <v/>
      </c>
      <c r="AA82">
        <f>HYPERLINK("https://klasma.github.io/Logging_0484/klagomål/A 55087-2022 FSC-klagomål.docx", "A 55087-2022")</f>
        <v/>
      </c>
      <c r="AB82">
        <f>HYPERLINK("https://klasma.github.io/Logging_0484/klagomålsmail/A 55087-2022 FSC-klagomål mail.docx", "A 55087-2022")</f>
        <v/>
      </c>
      <c r="AC82">
        <f>HYPERLINK("https://klasma.github.io/Logging_0484/tillsyn/A 55087-2022 tillsynsbegäran.docx", "A 55087-2022")</f>
        <v/>
      </c>
      <c r="AD82">
        <f>HYPERLINK("https://klasma.github.io/Logging_0484/tillsynsmail/A 55087-2022 tillsynsbegäran mail.docx", "A 55087-2022")</f>
        <v/>
      </c>
      <c r="AE82">
        <f>HYPERLINK("https://klasma.github.io/Logging_0484/fåglar/A 55087-2022 prioriterade fågelarter.docx", "A 55087-2022")</f>
        <v/>
      </c>
    </row>
    <row r="83" ht="15" customHeight="1">
      <c r="A83" t="inlineStr">
        <is>
          <t>A 71976-2021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46253</v>
      </c>
      <c r="F83" t="inlineStr">
        <is>
          <t>SÖDERMANLANDS LÄN</t>
        </is>
      </c>
      <c r="G83" t="inlineStr">
        <is>
          <t>ESKILSTUNA</t>
        </is>
      </c>
      <c r="I83" t="n">
        <v>19.6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Jungfrulin</t>
        </is>
      </c>
      <c r="W83">
        <f>HYPERLINK("https://klasma.github.io/Logging_0484/artfynd/A 71976-2021 artfynd.xlsx", "A 71976-2021")</f>
        <v/>
      </c>
      <c r="X83">
        <f>HYPERLINK("https://klasma.github.io/Logging_0484/kartor/A 71976-2021 karta.png", "A 71976-2021")</f>
        <v/>
      </c>
      <c r="Y83">
        <f>HYPERLINK("https://klasma.github.io/Logging_0484/kartor_geotiff/A 71976-2021 georefererad karta.tif", "A 71976-2021")</f>
        <v/>
      </c>
      <c r="AA83">
        <f>HYPERLINK("https://klasma.github.io/Logging_0484/klagomål/A 71976-2021 FSC-klagomål.docx", "A 71976-2021")</f>
        <v/>
      </c>
      <c r="AB83">
        <f>HYPERLINK("https://klasma.github.io/Logging_0484/klagomålsmail/A 71976-2021 FSC-klagomål mail.docx", "A 71976-2021")</f>
        <v/>
      </c>
      <c r="AC83">
        <f>HYPERLINK("https://klasma.github.io/Logging_0484/tillsyn/A 71976-2021 tillsynsbegäran.docx", "A 71976-2021")</f>
        <v/>
      </c>
      <c r="AD83">
        <f>HYPERLINK("https://klasma.github.io/Logging_0484/tillsynsmail/A 71976-2021 tillsynsbegäran mail.docx", "A 71976-2021")</f>
        <v/>
      </c>
    </row>
    <row r="84" ht="15" customHeight="1">
      <c r="A84" t="inlineStr">
        <is>
          <t>A 29047-2026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46199</v>
      </c>
      <c r="E84" s="1" t="n">
        <v>46253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Kandelabersvamp</t>
        </is>
      </c>
      <c r="W84">
        <f>HYPERLINK("https://klasma.github.io/Logging_0484/artfynd/A 29047-2026 artfynd.xlsx", "A 29047-2026")</f>
        <v/>
      </c>
      <c r="X84">
        <f>HYPERLINK("https://klasma.github.io/Logging_0484/kartor/A 29047-2026 karta.png", "A 29047-2026")</f>
        <v/>
      </c>
      <c r="Y84">
        <f>HYPERLINK("https://klasma.github.io/Logging_0484/kartor_geotiff/A 29047-2026 georefererad karta.tif", "A 29047-2026")</f>
        <v/>
      </c>
      <c r="AA84">
        <f>HYPERLINK("https://klasma.github.io/Logging_0484/klagomål/A 29047-2026 FSC-klagomål.docx", "A 29047-2026")</f>
        <v/>
      </c>
      <c r="AB84">
        <f>HYPERLINK("https://klasma.github.io/Logging_0484/klagomålsmail/A 29047-2026 FSC-klagomål mail.docx", "A 29047-2026")</f>
        <v/>
      </c>
      <c r="AC84">
        <f>HYPERLINK("https://klasma.github.io/Logging_0484/tillsyn/A 29047-2026 tillsynsbegäran.docx", "A 29047-2026")</f>
        <v/>
      </c>
      <c r="AD84">
        <f>HYPERLINK("https://klasma.github.io/Logging_0484/tillsynsmail/A 29047-2026 tillsynsbegäran mail.docx", "A 29047-2026")</f>
        <v/>
      </c>
    </row>
    <row r="85" ht="15" customHeight="1">
      <c r="A85" t="inlineStr">
        <is>
          <t>A 33004-2026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46244</v>
      </c>
      <c r="E85" s="1" t="n">
        <v>46253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Kommuner</t>
        </is>
      </c>
      <c r="I85" t="n">
        <v>1.7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33004-2026 artfynd.xlsx", "A 33004-2026")</f>
        <v/>
      </c>
      <c r="X85">
        <f>HYPERLINK("https://klasma.github.io/Logging_0484/kartor/A 33004-2026 karta.png", "A 33004-2026")</f>
        <v/>
      </c>
      <c r="Y85">
        <f>HYPERLINK("https://klasma.github.io/Logging_0484/kartor_geotiff/A 33004-2026 georefererad karta.tif", "A 33004-2026")</f>
        <v/>
      </c>
      <c r="AA85">
        <f>HYPERLINK("https://klasma.github.io/Logging_0484/klagomål/A 33004-2026 FSC-klagomål.docx", "A 33004-2026")</f>
        <v/>
      </c>
      <c r="AB85">
        <f>HYPERLINK("https://klasma.github.io/Logging_0484/klagomålsmail/A 33004-2026 FSC-klagomål mail.docx", "A 33004-2026")</f>
        <v/>
      </c>
      <c r="AC85">
        <f>HYPERLINK("https://klasma.github.io/Logging_0484/tillsyn/A 33004-2026 tillsynsbegäran.docx", "A 33004-2026")</f>
        <v/>
      </c>
      <c r="AD85">
        <f>HYPERLINK("https://klasma.github.io/Logging_0484/tillsynsmail/A 33004-2026 tillsynsbegäran mail.docx", "A 33004-2026")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46253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38361-2024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45545</v>
      </c>
      <c r="E87" s="1" t="n">
        <v>46253</v>
      </c>
      <c r="F87" t="inlineStr">
        <is>
          <t>SÖDERMANLANDS LÄN</t>
        </is>
      </c>
      <c r="G87" t="inlineStr">
        <is>
          <t>ESKILSTUNA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HYPERLINK("https://klasma.github.io/Logging_0484/artfynd/A 38361-2024 artfynd.xlsx", "A 38361-2024")</f>
        <v/>
      </c>
      <c r="X87">
        <f>HYPERLINK("https://klasma.github.io/Logging_0484/kartor/A 38361-2024 karta.png", "A 38361-2024")</f>
        <v/>
      </c>
      <c r="Y87">
        <f>HYPERLINK("https://klasma.github.io/Logging_0484/kartor_geotiff/A 38361-2024 georefererad karta.tif", "A 38361-2024")</f>
        <v/>
      </c>
      <c r="AA87">
        <f>HYPERLINK("https://klasma.github.io/Logging_0484/klagomål/A 38361-2024 FSC-klagomål.docx", "A 38361-2024")</f>
        <v/>
      </c>
      <c r="AB87">
        <f>HYPERLINK("https://klasma.github.io/Logging_0484/klagomålsmail/A 38361-2024 FSC-klagomål mail.docx", "A 38361-2024")</f>
        <v/>
      </c>
      <c r="AC87">
        <f>HYPERLINK("https://klasma.github.io/Logging_0484/tillsyn/A 38361-2024 tillsynsbegäran.docx", "A 38361-2024")</f>
        <v/>
      </c>
      <c r="AD87">
        <f>HYPERLINK("https://klasma.github.io/Logging_0484/tillsynsmail/A 38361-2024 tillsynsbegäran mail.docx", "A 38361-2024")</f>
        <v/>
      </c>
      <c r="AE87">
        <f>HYPERLINK("https://klasma.github.io/Logging_0484/fåglar/A 38361-2024 prioriterade fågelarter.docx", "A 38361-2024")</f>
        <v/>
      </c>
    </row>
    <row r="88" ht="15" customHeight="1">
      <c r="A88" t="inlineStr">
        <is>
          <t>A 48676-2021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44452</v>
      </c>
      <c r="E88" s="1" t="n">
        <v>46253</v>
      </c>
      <c r="F88" t="inlineStr">
        <is>
          <t>SÖDERMANLANDS LÄN</t>
        </is>
      </c>
      <c r="G88" t="inlineStr">
        <is>
          <t>ESKILSTUNA</t>
        </is>
      </c>
      <c r="I88" t="n">
        <v>8.4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Bronshjon</t>
        </is>
      </c>
      <c r="W88">
        <f>HYPERLINK("https://klasma.github.io/Logging_0484/artfynd/A 48676-2021 artfynd.xlsx", "A 48676-2021")</f>
        <v/>
      </c>
      <c r="X88">
        <f>HYPERLINK("https://klasma.github.io/Logging_0484/kartor/A 48676-2021 karta.png", "A 48676-2021")</f>
        <v/>
      </c>
      <c r="Y88">
        <f>HYPERLINK("https://klasma.github.io/Logging_0484/kartor_geotiff/A 48676-2021 georefererad karta.tif", "A 48676-2021")</f>
        <v/>
      </c>
      <c r="AA88">
        <f>HYPERLINK("https://klasma.github.io/Logging_0484/klagomål/A 48676-2021 FSC-klagomål.docx", "A 48676-2021")</f>
        <v/>
      </c>
      <c r="AB88">
        <f>HYPERLINK("https://klasma.github.io/Logging_0484/klagomålsmail/A 48676-2021 FSC-klagomål mail.docx", "A 48676-2021")</f>
        <v/>
      </c>
      <c r="AC88">
        <f>HYPERLINK("https://klasma.github.io/Logging_0484/tillsyn/A 48676-2021 tillsynsbegäran.docx", "A 48676-2021")</f>
        <v/>
      </c>
      <c r="AD88">
        <f>HYPERLINK("https://klasma.github.io/Logging_0484/tillsynsmail/A 48676-2021 tillsynsbegäran mail.docx", "A 48676-2021")</f>
        <v/>
      </c>
    </row>
    <row r="89" ht="15" customHeight="1">
      <c r="A89" t="inlineStr">
        <is>
          <t>A 23637-2023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46253</v>
      </c>
      <c r="F89" t="inlineStr">
        <is>
          <t>SÖDERMANLANDS LÄN</t>
        </is>
      </c>
      <c r="G89" t="inlineStr">
        <is>
          <t>ESKILSTUNA</t>
        </is>
      </c>
      <c r="I89" t="n">
        <v>15.8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Violett fingersvamp</t>
        </is>
      </c>
      <c r="W89">
        <f>HYPERLINK("https://klasma.github.io/Logging_0484/artfynd/A 23637-2023 artfynd.xlsx", "A 23637-2023")</f>
        <v/>
      </c>
      <c r="X89">
        <f>HYPERLINK("https://klasma.github.io/Logging_0484/kartor/A 23637-2023 karta.png", "A 23637-2023")</f>
        <v/>
      </c>
      <c r="Y89">
        <f>HYPERLINK("https://klasma.github.io/Logging_0484/kartor_geotiff/A 23637-2023 georefererad karta.tif", "A 23637-2023")</f>
        <v/>
      </c>
      <c r="AA89">
        <f>HYPERLINK("https://klasma.github.io/Logging_0484/klagomål/A 23637-2023 FSC-klagomål.docx", "A 23637-2023")</f>
        <v/>
      </c>
      <c r="AB89">
        <f>HYPERLINK("https://klasma.github.io/Logging_0484/klagomålsmail/A 23637-2023 FSC-klagomål mail.docx", "A 23637-2023")</f>
        <v/>
      </c>
      <c r="AC89">
        <f>HYPERLINK("https://klasma.github.io/Logging_0484/tillsyn/A 23637-2023 tillsynsbegäran.docx", "A 23637-2023")</f>
        <v/>
      </c>
      <c r="AD89">
        <f>HYPERLINK("https://klasma.github.io/Logging_0484/tillsynsmail/A 23637-2023 tillsynsbegäran mail.docx", "A 23637-2023")</f>
        <v/>
      </c>
    </row>
    <row r="90" ht="15" customHeight="1">
      <c r="A90" t="inlineStr">
        <is>
          <t>A 14327-2023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46253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HYPERLINK("https://klasma.github.io/Logging_0484/artfynd/A 14327-2023 artfynd.xlsx", "A 14327-2023")</f>
        <v/>
      </c>
      <c r="X90">
        <f>HYPERLINK("https://klasma.github.io/Logging_0484/kartor/A 14327-2023 karta.png", "A 14327-2023")</f>
        <v/>
      </c>
      <c r="Y90">
        <f>HYPERLINK("https://klasma.github.io/Logging_0484/kartor_geotiff/A 14327-2023 georefererad karta.tif", "A 14327-2023")</f>
        <v/>
      </c>
      <c r="AA90">
        <f>HYPERLINK("https://klasma.github.io/Logging_0484/klagomål/A 14327-2023 FSC-klagomål.docx", "A 14327-2023")</f>
        <v/>
      </c>
      <c r="AB90">
        <f>HYPERLINK("https://klasma.github.io/Logging_0484/klagomålsmail/A 14327-2023 FSC-klagomål mail.docx", "A 14327-2023")</f>
        <v/>
      </c>
      <c r="AC90">
        <f>HYPERLINK("https://klasma.github.io/Logging_0484/tillsyn/A 14327-2023 tillsynsbegäran.docx", "A 14327-2023")</f>
        <v/>
      </c>
      <c r="AD90">
        <f>HYPERLINK("https://klasma.github.io/Logging_0484/tillsynsmail/A 14327-2023 tillsynsbegäran mail.docx", "A 14327-2023")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46253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46253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46253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46253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46253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46253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46253</v>
      </c>
      <c r="F97" t="inlineStr">
        <is>
          <t>SÖDERMANLANDS LÄN</t>
        </is>
      </c>
      <c r="G97" t="inlineStr">
        <is>
          <t>ESKILSTUNA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46253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46253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46253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46253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46253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46253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46253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46253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46253</v>
      </c>
      <c r="F106" t="inlineStr">
        <is>
          <t>SÖDERMANLANDS LÄN</t>
        </is>
      </c>
      <c r="G106" t="inlineStr">
        <is>
          <t>ESKILSTUNA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44432</v>
      </c>
      <c r="E107" s="1" t="n">
        <v>46253</v>
      </c>
      <c r="F107" t="inlineStr">
        <is>
          <t>SÖDERMANLANDS LÄN</t>
        </is>
      </c>
      <c r="G107" t="inlineStr">
        <is>
          <t>ESKILSTUNA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46253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46253</v>
      </c>
      <c r="F109" t="inlineStr">
        <is>
          <t>SÖDERMANLANDS LÄN</t>
        </is>
      </c>
      <c r="G109" t="inlineStr">
        <is>
          <t>ESKILSTUNA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46253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46253</v>
      </c>
      <c r="F111" t="inlineStr">
        <is>
          <t>SÖDERMANLANDS LÄN</t>
        </is>
      </c>
      <c r="G111" t="inlineStr">
        <is>
          <t>ESKILSTUNA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46253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46253</v>
      </c>
      <c r="F113" t="inlineStr">
        <is>
          <t>SÖDERMANLANDS LÄN</t>
        </is>
      </c>
      <c r="G113" t="inlineStr">
        <is>
          <t>ESKILSTUNA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46253</v>
      </c>
      <c r="F114" t="inlineStr">
        <is>
          <t>SÖDERMANLANDS LÄN</t>
        </is>
      </c>
      <c r="G114" t="inlineStr">
        <is>
          <t>ESKILSTUNA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46253</v>
      </c>
      <c r="F115" t="inlineStr">
        <is>
          <t>SÖDERMANLANDS LÄN</t>
        </is>
      </c>
      <c r="G115" t="inlineStr">
        <is>
          <t>ESKILSTUNA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44799</v>
      </c>
      <c r="E116" s="1" t="n">
        <v>46253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46253</v>
      </c>
      <c r="F117" t="inlineStr">
        <is>
          <t>SÖDERMANLANDS LÄN</t>
        </is>
      </c>
      <c r="G117" t="inlineStr">
        <is>
          <t>ESKILSTUNA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46253</v>
      </c>
      <c r="F118" t="inlineStr">
        <is>
          <t>SÖDERMANLANDS LÄN</t>
        </is>
      </c>
      <c r="G118" t="inlineStr">
        <is>
          <t>ESKILSTUNA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46253</v>
      </c>
      <c r="F119" t="inlineStr">
        <is>
          <t>SÖDERMANLANDS LÄN</t>
        </is>
      </c>
      <c r="G119" t="inlineStr">
        <is>
          <t>ESKILSTUNA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47965-2021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44449</v>
      </c>
      <c r="E120" s="1" t="n">
        <v>46253</v>
      </c>
      <c r="F120" t="inlineStr">
        <is>
          <t>SÖDERMANLANDS LÄN</t>
        </is>
      </c>
      <c r="G120" t="inlineStr">
        <is>
          <t>ESKILSTUNA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46253</v>
      </c>
      <c r="F121" t="inlineStr">
        <is>
          <t>SÖDERMANLANDS LÄN</t>
        </is>
      </c>
      <c r="G121" t="inlineStr">
        <is>
          <t>ESKILSTUNA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46253</v>
      </c>
      <c r="F122" t="inlineStr">
        <is>
          <t>SÖDERMANLANDS LÄN</t>
        </is>
      </c>
      <c r="G122" t="inlineStr">
        <is>
          <t>ESKILSTUNA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46253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46253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44784</v>
      </c>
      <c r="E125" s="1" t="n">
        <v>46253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46253</v>
      </c>
      <c r="F126" t="inlineStr">
        <is>
          <t>SÖDERMANLANDS LÄN</t>
        </is>
      </c>
      <c r="G126" t="inlineStr">
        <is>
          <t>ESKILSTUNA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46253</v>
      </c>
      <c r="F127" t="inlineStr">
        <is>
          <t>SÖDERMANLANDS LÄN</t>
        </is>
      </c>
      <c r="G127" t="inlineStr">
        <is>
          <t>ESKILSTUNA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71980-2021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46253</v>
      </c>
      <c r="F128" t="inlineStr">
        <is>
          <t>SÖDERMANLANDS LÄN</t>
        </is>
      </c>
      <c r="G128" t="inlineStr">
        <is>
          <t>ESKILSTUNA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44628</v>
      </c>
      <c r="E129" s="1" t="n">
        <v>46253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44536</v>
      </c>
      <c r="E130" s="1" t="n">
        <v>46253</v>
      </c>
      <c r="F130" t="inlineStr">
        <is>
          <t>SÖDERMANLANDS LÄN</t>
        </is>
      </c>
      <c r="G130" t="inlineStr">
        <is>
          <t>ESKILSTUNA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46253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46253</v>
      </c>
      <c r="F132" t="inlineStr">
        <is>
          <t>SÖDERMANLANDS LÄN</t>
        </is>
      </c>
      <c r="G132" t="inlineStr">
        <is>
          <t>ESKILSTUNA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44734</v>
      </c>
      <c r="E133" s="1" t="n">
        <v>46253</v>
      </c>
      <c r="F133" t="inlineStr">
        <is>
          <t>SÖDERMANLANDS LÄN</t>
        </is>
      </c>
      <c r="G133" t="inlineStr">
        <is>
          <t>ESKILSTUNA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46253</v>
      </c>
      <c r="F134" t="inlineStr">
        <is>
          <t>SÖDERMANLANDS LÄN</t>
        </is>
      </c>
      <c r="G134" t="inlineStr">
        <is>
          <t>ESKILSTUNA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46253</v>
      </c>
      <c r="F135" t="inlineStr">
        <is>
          <t>SÖDERMANLANDS LÄN</t>
        </is>
      </c>
      <c r="G135" t="inlineStr">
        <is>
          <t>ESKILSTUNA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44461</v>
      </c>
      <c r="E136" s="1" t="n">
        <v>46253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46253</v>
      </c>
      <c r="F137" t="inlineStr">
        <is>
          <t>SÖDERMANLANDS LÄN</t>
        </is>
      </c>
      <c r="G137" t="inlineStr">
        <is>
          <t>ESKILSTUNA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44699</v>
      </c>
      <c r="E138" s="1" t="n">
        <v>46253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Naturvårdsverket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65406-2021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46253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Kyrkan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73480-2021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46253</v>
      </c>
      <c r="F140" t="inlineStr">
        <is>
          <t>SÖDERMANLANDS LÄN</t>
        </is>
      </c>
      <c r="G140" t="inlineStr">
        <is>
          <t>ESKILSTUNA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46253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46253</v>
      </c>
      <c r="F142" t="inlineStr">
        <is>
          <t>SÖDERMANLANDS LÄN</t>
        </is>
      </c>
      <c r="G142" t="inlineStr">
        <is>
          <t>ESKILSTUNA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46253</v>
      </c>
      <c r="F143" t="inlineStr">
        <is>
          <t>SÖDERMANLANDS LÄN</t>
        </is>
      </c>
      <c r="G143" t="inlineStr">
        <is>
          <t>ESKILSTUNA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46253</v>
      </c>
      <c r="F144" t="inlineStr">
        <is>
          <t>SÖDERMANLANDS LÄN</t>
        </is>
      </c>
      <c r="G144" t="inlineStr">
        <is>
          <t>ESKILSTUNA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60721-2021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44490</v>
      </c>
      <c r="E145" s="1" t="n">
        <v>46253</v>
      </c>
      <c r="F145" t="inlineStr">
        <is>
          <t>SÖDERMANLANDS LÄN</t>
        </is>
      </c>
      <c r="G145" t="inlineStr">
        <is>
          <t>ESKILSTUNA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46253</v>
      </c>
      <c r="F146" t="inlineStr">
        <is>
          <t>SÖDERMANLANDS LÄN</t>
        </is>
      </c>
      <c r="G146" t="inlineStr">
        <is>
          <t>ESKILSTUNA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46253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46253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43396-2021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44432</v>
      </c>
      <c r="E149" s="1" t="n">
        <v>46253</v>
      </c>
      <c r="F149" t="inlineStr">
        <is>
          <t>SÖDERMANLANDS LÄN</t>
        </is>
      </c>
      <c r="G149" t="inlineStr">
        <is>
          <t>ESKILSTUNA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44449</v>
      </c>
      <c r="E150" s="1" t="n">
        <v>46253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44490</v>
      </c>
      <c r="E151" s="1" t="n">
        <v>46253</v>
      </c>
      <c r="F151" t="inlineStr">
        <is>
          <t>SÖDERMANLANDS LÄN</t>
        </is>
      </c>
      <c r="G151" t="inlineStr">
        <is>
          <t>ESKILSTUNA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46253</v>
      </c>
      <c r="F152" t="inlineStr">
        <is>
          <t>SÖDERMANLANDS LÄN</t>
        </is>
      </c>
      <c r="G152" t="inlineStr">
        <is>
          <t>ESKILSTUNA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46253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46253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46253</v>
      </c>
      <c r="F155" t="inlineStr">
        <is>
          <t>SÖDERMANLANDS LÄN</t>
        </is>
      </c>
      <c r="G155" t="inlineStr">
        <is>
          <t>ESKILSTUNA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46253</v>
      </c>
      <c r="F156" t="inlineStr">
        <is>
          <t>SÖDERMANLANDS LÄN</t>
        </is>
      </c>
      <c r="G156" t="inlineStr">
        <is>
          <t>ESKILSTUNA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46253</v>
      </c>
      <c r="F157" t="inlineStr">
        <is>
          <t>SÖDERMANLANDS LÄN</t>
        </is>
      </c>
      <c r="G157" t="inlineStr">
        <is>
          <t>ESKILSTUNA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46253</v>
      </c>
      <c r="F158" t="inlineStr">
        <is>
          <t>SÖDERMANLANDS LÄN</t>
        </is>
      </c>
      <c r="G158" t="inlineStr">
        <is>
          <t>ESKILSTUNA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44782</v>
      </c>
      <c r="E159" s="1" t="n">
        <v>46253</v>
      </c>
      <c r="F159" t="inlineStr">
        <is>
          <t>SÖDERMANLANDS LÄN</t>
        </is>
      </c>
      <c r="G159" t="inlineStr">
        <is>
          <t>ESKILSTUNA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70191-2021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44533</v>
      </c>
      <c r="E160" s="1" t="n">
        <v>46253</v>
      </c>
      <c r="F160" t="inlineStr">
        <is>
          <t>SÖDERMANLANDS LÄN</t>
        </is>
      </c>
      <c r="G160" t="inlineStr">
        <is>
          <t>ESKILSTUNA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46253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Allmännings- och besparingsskogar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44748</v>
      </c>
      <c r="E162" s="1" t="n">
        <v>46253</v>
      </c>
      <c r="F162" t="inlineStr">
        <is>
          <t>SÖDERMANLANDS LÄN</t>
        </is>
      </c>
      <c r="G162" t="inlineStr">
        <is>
          <t>ESKILSTUNA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46253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46253</v>
      </c>
      <c r="F164" t="inlineStr">
        <is>
          <t>SÖDERMANLANDS LÄN</t>
        </is>
      </c>
      <c r="G164" t="inlineStr">
        <is>
          <t>ESKILSTUNA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46253</v>
      </c>
      <c r="F165" t="inlineStr">
        <is>
          <t>SÖDERMANLANDS LÄN</t>
        </is>
      </c>
      <c r="G165" t="inlineStr">
        <is>
          <t>ESKILSTUNA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46253</v>
      </c>
      <c r="F166" t="inlineStr">
        <is>
          <t>SÖDERMANLANDS LÄN</t>
        </is>
      </c>
      <c r="G166" t="inlineStr">
        <is>
          <t>ESKILSTUNA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45429</v>
      </c>
      <c r="E167" s="1" t="n">
        <v>46253</v>
      </c>
      <c r="F167" t="inlineStr">
        <is>
          <t>SÖDERMANLANDS LÄN</t>
        </is>
      </c>
      <c r="G167" t="inlineStr">
        <is>
          <t>ESKILSTUNA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46881-2022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46253</v>
      </c>
      <c r="F168" t="inlineStr">
        <is>
          <t>SÖDERMANLANDS LÄN</t>
        </is>
      </c>
      <c r="G168" t="inlineStr">
        <is>
          <t>ESKILSTUNA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46253</v>
      </c>
      <c r="F169" t="inlineStr">
        <is>
          <t>SÖDERMANLANDS LÄN</t>
        </is>
      </c>
      <c r="G169" t="inlineStr">
        <is>
          <t>ESKILSTUNA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57304-2023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45245</v>
      </c>
      <c r="E170" s="1" t="n">
        <v>46253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Sveaskog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46253</v>
      </c>
      <c r="F171" t="inlineStr">
        <is>
          <t>SÖDERMANLANDS LÄN</t>
        </is>
      </c>
      <c r="G171" t="inlineStr">
        <is>
          <t>ESKILSTUNA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44799</v>
      </c>
      <c r="E172" s="1" t="n">
        <v>46253</v>
      </c>
      <c r="F172" t="inlineStr">
        <is>
          <t>SÖDERMANLANDS LÄN</t>
        </is>
      </c>
      <c r="G172" t="inlineStr">
        <is>
          <t>ESKILSTUNA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53406-2023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46253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46253</v>
      </c>
      <c r="F174" t="inlineStr">
        <is>
          <t>SÖDERMANLANDS LÄN</t>
        </is>
      </c>
      <c r="G174" t="inlineStr">
        <is>
          <t>ESKILSTUNA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46253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Allmännings- och besparingsskogar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46253</v>
      </c>
      <c r="F176" t="inlineStr">
        <is>
          <t>SÖDERMANLANDS LÄN</t>
        </is>
      </c>
      <c r="G176" t="inlineStr">
        <is>
          <t>ESKILSTUNA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45363</v>
      </c>
      <c r="E177" s="1" t="n">
        <v>46253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Allmännings- och besparingsskogar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46253</v>
      </c>
      <c r="F178" t="inlineStr">
        <is>
          <t>SÖDERMANLANDS LÄN</t>
        </is>
      </c>
      <c r="G178" t="inlineStr">
        <is>
          <t>ESKILSTUNA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45464</v>
      </c>
      <c r="E179" s="1" t="n">
        <v>46253</v>
      </c>
      <c r="F179" t="inlineStr">
        <is>
          <t>SÖDERMANLANDS LÄN</t>
        </is>
      </c>
      <c r="G179" t="inlineStr">
        <is>
          <t>ESKILSTUNA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45464</v>
      </c>
      <c r="E180" s="1" t="n">
        <v>46253</v>
      </c>
      <c r="F180" t="inlineStr">
        <is>
          <t>SÖDERMANLANDS LÄN</t>
        </is>
      </c>
      <c r="G180" t="inlineStr">
        <is>
          <t>ESKILSTUNA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44979</v>
      </c>
      <c r="E181" s="1" t="n">
        <v>46253</v>
      </c>
      <c r="F181" t="inlineStr">
        <is>
          <t>SÖDERMANLANDS LÄN</t>
        </is>
      </c>
      <c r="G181" t="inlineStr">
        <is>
          <t>ESKILSTUNA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46253</v>
      </c>
      <c r="F182" t="inlineStr">
        <is>
          <t>SÖDERMANLANDS LÄN</t>
        </is>
      </c>
      <c r="G182" t="inlineStr">
        <is>
          <t>ESKILSTUNA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44883</v>
      </c>
      <c r="E183" s="1" t="n">
        <v>46253</v>
      </c>
      <c r="F183" t="inlineStr">
        <is>
          <t>SÖDERMANLANDS LÄN</t>
        </is>
      </c>
      <c r="G183" t="inlineStr">
        <is>
          <t>ESKILSTUNA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46253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Kommuner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65349-2021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44515</v>
      </c>
      <c r="E185" s="1" t="n">
        <v>46253</v>
      </c>
      <c r="F185" t="inlineStr">
        <is>
          <t>SÖDERMANLANDS LÄN</t>
        </is>
      </c>
      <c r="G185" t="inlineStr">
        <is>
          <t>ESKILSTUNA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46253</v>
      </c>
      <c r="F186" t="inlineStr">
        <is>
          <t>SÖDERMANLANDS LÄN</t>
        </is>
      </c>
      <c r="G186" t="inlineStr">
        <is>
          <t>ESKILSTUNA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46253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46253</v>
      </c>
      <c r="F188" t="inlineStr">
        <is>
          <t>SÖDERMANLANDS LÄN</t>
        </is>
      </c>
      <c r="G188" t="inlineStr">
        <is>
          <t>ESKILSTUNA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44571</v>
      </c>
      <c r="E189" s="1" t="n">
        <v>46253</v>
      </c>
      <c r="F189" t="inlineStr">
        <is>
          <t>SÖDERMANLANDS LÄN</t>
        </is>
      </c>
      <c r="G189" t="inlineStr">
        <is>
          <t>ESKILSTUNA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44918</v>
      </c>
      <c r="E190" s="1" t="n">
        <v>46253</v>
      </c>
      <c r="F190" t="inlineStr">
        <is>
          <t>SÖDERMANLANDS LÄN</t>
        </is>
      </c>
      <c r="G190" t="inlineStr">
        <is>
          <t>ESKILSTUNA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46253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46253</v>
      </c>
      <c r="F192" t="inlineStr">
        <is>
          <t>SÖDERMANLANDS LÄN</t>
        </is>
      </c>
      <c r="G192" t="inlineStr">
        <is>
          <t>ESKILSTUNA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46253</v>
      </c>
      <c r="F193" t="inlineStr">
        <is>
          <t>SÖDERMANLANDS LÄN</t>
        </is>
      </c>
      <c r="G193" t="inlineStr">
        <is>
          <t>ESKILSTUNA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45544</v>
      </c>
      <c r="E194" s="1" t="n">
        <v>46253</v>
      </c>
      <c r="F194" t="inlineStr">
        <is>
          <t>SÖDERMANLANDS LÄN</t>
        </is>
      </c>
      <c r="G194" t="inlineStr">
        <is>
          <t>ESKILSTUNA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44930</v>
      </c>
      <c r="E195" s="1" t="n">
        <v>46253</v>
      </c>
      <c r="F195" t="inlineStr">
        <is>
          <t>SÖDERMANLANDS LÄN</t>
        </is>
      </c>
      <c r="G195" t="inlineStr">
        <is>
          <t>ESKILSTUNA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46253</v>
      </c>
      <c r="F196" t="inlineStr">
        <is>
          <t>SÖDERMANLANDS LÄN</t>
        </is>
      </c>
      <c r="G196" t="inlineStr">
        <is>
          <t>ESKILSTUNA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46253</v>
      </c>
      <c r="F197" t="inlineStr">
        <is>
          <t>SÖDERMANLANDS LÄN</t>
        </is>
      </c>
      <c r="G197" t="inlineStr">
        <is>
          <t>ESKILSTUNA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44915</v>
      </c>
      <c r="E198" s="1" t="n">
        <v>46253</v>
      </c>
      <c r="F198" t="inlineStr">
        <is>
          <t>SÖDERMANLANDS LÄN</t>
        </is>
      </c>
      <c r="G198" t="inlineStr">
        <is>
          <t>ESKILSTUNA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45750</v>
      </c>
      <c r="E199" s="1" t="n">
        <v>46253</v>
      </c>
      <c r="F199" t="inlineStr">
        <is>
          <t>SÖDERMANLANDS LÄN</t>
        </is>
      </c>
      <c r="G199" t="inlineStr">
        <is>
          <t>ESKILSTUNA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44616</v>
      </c>
      <c r="E200" s="1" t="n">
        <v>46253</v>
      </c>
      <c r="F200" t="inlineStr">
        <is>
          <t>SÖDERMANLANDS LÄN</t>
        </is>
      </c>
      <c r="G200" t="inlineStr">
        <is>
          <t>ESKILSTUNA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46253</v>
      </c>
      <c r="F201" t="inlineStr">
        <is>
          <t>SÖDERMANLANDS LÄN</t>
        </is>
      </c>
      <c r="G201" t="inlineStr">
        <is>
          <t>ESKILSTUNA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44626</v>
      </c>
      <c r="E202" s="1" t="n">
        <v>46253</v>
      </c>
      <c r="F202" t="inlineStr">
        <is>
          <t>SÖDERMANLANDS LÄN</t>
        </is>
      </c>
      <c r="G202" t="inlineStr">
        <is>
          <t>ESKILSTUNA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61367-2021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44499</v>
      </c>
      <c r="E203" s="1" t="n">
        <v>46253</v>
      </c>
      <c r="F203" t="inlineStr">
        <is>
          <t>SÖDERMANLANDS LÄN</t>
        </is>
      </c>
      <c r="G203" t="inlineStr">
        <is>
          <t>ESKILSTUNA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46253</v>
      </c>
      <c r="F204" t="inlineStr">
        <is>
          <t>SÖDERMANLANDS LÄN</t>
        </is>
      </c>
      <c r="G204" t="inlineStr">
        <is>
          <t>ESKILSTUNA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30096-2025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45826</v>
      </c>
      <c r="E205" s="1" t="n">
        <v>46253</v>
      </c>
      <c r="F205" t="inlineStr">
        <is>
          <t>SÖDERMANLANDS LÄN</t>
        </is>
      </c>
      <c r="G205" t="inlineStr">
        <is>
          <t>ESKILSTUNA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46253</v>
      </c>
      <c r="F206" t="inlineStr">
        <is>
          <t>SÖDERMANLANDS LÄN</t>
        </is>
      </c>
      <c r="G206" t="inlineStr">
        <is>
          <t>ESKILSTUNA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46253</v>
      </c>
      <c r="F207" t="inlineStr">
        <is>
          <t>SÖDERMANLANDS LÄN</t>
        </is>
      </c>
      <c r="G207" t="inlineStr">
        <is>
          <t>ESKILSTUNA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46253</v>
      </c>
      <c r="F208" t="inlineStr">
        <is>
          <t>SÖDERMANLANDS LÄN</t>
        </is>
      </c>
      <c r="G208" t="inlineStr">
        <is>
          <t>ESKILSTUNA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12547-2022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44638</v>
      </c>
      <c r="E209" s="1" t="n">
        <v>46253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46253</v>
      </c>
      <c r="F210" t="inlineStr">
        <is>
          <t>SÖDERMANLANDS LÄN</t>
        </is>
      </c>
      <c r="G210" t="inlineStr">
        <is>
          <t>ESKILSTUNA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51801-2025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45950</v>
      </c>
      <c r="E211" s="1" t="n">
        <v>46253</v>
      </c>
      <c r="F211" t="inlineStr">
        <is>
          <t>SÖDERMANLANDS LÄN</t>
        </is>
      </c>
      <c r="G211" t="inlineStr">
        <is>
          <t>ESKILSTUNA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45036</v>
      </c>
      <c r="E212" s="1" t="n">
        <v>46253</v>
      </c>
      <c r="F212" t="inlineStr">
        <is>
          <t>SÖDERMANLANDS LÄN</t>
        </is>
      </c>
      <c r="G212" t="inlineStr">
        <is>
          <t>ESKILSTUNA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46253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46253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48877-2023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45209</v>
      </c>
      <c r="E215" s="1" t="n">
        <v>46253</v>
      </c>
      <c r="F215" t="inlineStr">
        <is>
          <t>SÖDERMANLANDS LÄN</t>
        </is>
      </c>
      <c r="G215" t="inlineStr">
        <is>
          <t>ESKILSTUNA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10010-2024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46253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46253</v>
      </c>
      <c r="F217" t="inlineStr">
        <is>
          <t>SÖDERMANLANDS LÄN</t>
        </is>
      </c>
      <c r="G217" t="inlineStr">
        <is>
          <t>ESKILSTUNA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61829-2023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45266</v>
      </c>
      <c r="E218" s="1" t="n">
        <v>46253</v>
      </c>
      <c r="F218" t="inlineStr">
        <is>
          <t>SÖDERMANLANDS LÄN</t>
        </is>
      </c>
      <c r="G218" t="inlineStr">
        <is>
          <t>ESKILSTUNA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40813-2025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45897</v>
      </c>
      <c r="E219" s="1" t="n">
        <v>46253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46253</v>
      </c>
      <c r="F220" t="inlineStr">
        <is>
          <t>SÖDERMANLANDS LÄN</t>
        </is>
      </c>
      <c r="G220" t="inlineStr">
        <is>
          <t>ESKILSTUNA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46253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46253</v>
      </c>
      <c r="F222" t="inlineStr">
        <is>
          <t>SÖDERMANLANDS LÄN</t>
        </is>
      </c>
      <c r="G222" t="inlineStr">
        <is>
          <t>ESKILSTUNA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46253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Kyrkan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46253</v>
      </c>
      <c r="F224" t="inlineStr">
        <is>
          <t>SÖDERMANLANDS LÄN</t>
        </is>
      </c>
      <c r="G224" t="inlineStr">
        <is>
          <t>ESKILSTUNA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45901</v>
      </c>
      <c r="E225" s="1" t="n">
        <v>46253</v>
      </c>
      <c r="F225" t="inlineStr">
        <is>
          <t>SÖDERMANLANDS LÄN</t>
        </is>
      </c>
      <c r="G225" t="inlineStr">
        <is>
          <t>ESKILSTUNA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46253</v>
      </c>
      <c r="F226" t="inlineStr">
        <is>
          <t>SÖDERMANLANDS LÄN</t>
        </is>
      </c>
      <c r="G226" t="inlineStr">
        <is>
          <t>ESKILSTUNA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44956</v>
      </c>
      <c r="E227" s="1" t="n">
        <v>46253</v>
      </c>
      <c r="F227" t="inlineStr">
        <is>
          <t>SÖDERMANLANDS LÄN</t>
        </is>
      </c>
      <c r="G227" t="inlineStr">
        <is>
          <t>ESKILSTUNA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20180-2022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44698</v>
      </c>
      <c r="E228" s="1" t="n">
        <v>46253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Kyrkan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46253</v>
      </c>
      <c r="F229" t="inlineStr">
        <is>
          <t>SÖDERMANLANDS LÄN</t>
        </is>
      </c>
      <c r="G229" t="inlineStr">
        <is>
          <t>ESKILSTUNA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44946</v>
      </c>
      <c r="E230" s="1" t="n">
        <v>46253</v>
      </c>
      <c r="F230" t="inlineStr">
        <is>
          <t>SÖDERMANLANDS LÄN</t>
        </is>
      </c>
      <c r="G230" t="inlineStr">
        <is>
          <t>ESKILSTUNA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44946</v>
      </c>
      <c r="E231" s="1" t="n">
        <v>46253</v>
      </c>
      <c r="F231" t="inlineStr">
        <is>
          <t>SÖDERMANLANDS LÄN</t>
        </is>
      </c>
      <c r="G231" t="inlineStr">
        <is>
          <t>ESKILSTUNA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46253</v>
      </c>
      <c r="F232" t="inlineStr">
        <is>
          <t>SÖDERMANLANDS LÄN</t>
        </is>
      </c>
      <c r="G232" t="inlineStr">
        <is>
          <t>ESKILSTUNA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44746</v>
      </c>
      <c r="E233" s="1" t="n">
        <v>46253</v>
      </c>
      <c r="F233" t="inlineStr">
        <is>
          <t>SÖDERMANLANDS LÄN</t>
        </is>
      </c>
      <c r="G233" t="inlineStr">
        <is>
          <t>ESKILSTUNA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45365</v>
      </c>
      <c r="E234" s="1" t="n">
        <v>46253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45006</v>
      </c>
      <c r="E235" s="1" t="n">
        <v>46253</v>
      </c>
      <c r="F235" t="inlineStr">
        <is>
          <t>SÖDERMANLANDS LÄN</t>
        </is>
      </c>
      <c r="G235" t="inlineStr">
        <is>
          <t>ESKILSTUNA</t>
        </is>
      </c>
      <c r="I235" t="n">
        <v>16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46253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45365</v>
      </c>
      <c r="E237" s="1" t="n">
        <v>46253</v>
      </c>
      <c r="F237" t="inlineStr">
        <is>
          <t>SÖDERMANLANDS LÄN</t>
        </is>
      </c>
      <c r="G237" t="inlineStr">
        <is>
          <t>ESKILSTUNA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46253</v>
      </c>
      <c r="F238" t="inlineStr">
        <is>
          <t>SÖDERMANLANDS LÄN</t>
        </is>
      </c>
      <c r="G238" t="inlineStr">
        <is>
          <t>ESKILSTUNA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46253</v>
      </c>
      <c r="F239" t="inlineStr">
        <is>
          <t>SÖDERMANLANDS LÄN</t>
        </is>
      </c>
      <c r="G239" t="inlineStr">
        <is>
          <t>ESKILSTUNA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44983</v>
      </c>
      <c r="E240" s="1" t="n">
        <v>46253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61866-2022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46253</v>
      </c>
      <c r="F241" t="inlineStr">
        <is>
          <t>SÖDERMANLANDS LÄN</t>
        </is>
      </c>
      <c r="G241" t="inlineStr">
        <is>
          <t>ESKILSTUNA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45119</v>
      </c>
      <c r="E242" s="1" t="n">
        <v>46253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Sveaskog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46253</v>
      </c>
      <c r="F243" t="inlineStr">
        <is>
          <t>SÖDERMANLANDS LÄN</t>
        </is>
      </c>
      <c r="G243" t="inlineStr">
        <is>
          <t>ESKILSTUNA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46253</v>
      </c>
      <c r="F244" t="inlineStr">
        <is>
          <t>SÖDERMANLANDS LÄN</t>
        </is>
      </c>
      <c r="G244" t="inlineStr">
        <is>
          <t>ESKILSTUNA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46253</v>
      </c>
      <c r="F245" t="inlineStr">
        <is>
          <t>SÖDERMANLANDS LÄN</t>
        </is>
      </c>
      <c r="G245" t="inlineStr">
        <is>
          <t>ESKILSTUNA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46253</v>
      </c>
      <c r="F246" t="inlineStr">
        <is>
          <t>SÖDERMANLANDS LÄN</t>
        </is>
      </c>
      <c r="G246" t="inlineStr">
        <is>
          <t>ESKILSTUNA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27255-2022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44741</v>
      </c>
      <c r="E247" s="1" t="n">
        <v>46253</v>
      </c>
      <c r="F247" t="inlineStr">
        <is>
          <t>SÖDERMANLANDS LÄN</t>
        </is>
      </c>
      <c r="G247" t="inlineStr">
        <is>
          <t>ESKILSTUNA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61367-2021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44499</v>
      </c>
      <c r="E248" s="1" t="n">
        <v>46253</v>
      </c>
      <c r="F248" t="inlineStr">
        <is>
          <t>SÖDERMANLANDS LÄN</t>
        </is>
      </c>
      <c r="G248" t="inlineStr">
        <is>
          <t>ESKILSTUNA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65595-2021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46253</v>
      </c>
      <c r="F249" t="inlineStr">
        <is>
          <t>SÖDERMANLANDS LÄN</t>
        </is>
      </c>
      <c r="G249" t="inlineStr">
        <is>
          <t>ESKILSTUNA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45182</v>
      </c>
      <c r="E250" s="1" t="n">
        <v>46253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Allmännings- och besparingsskogar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46253</v>
      </c>
      <c r="F251" t="inlineStr">
        <is>
          <t>SÖDERMANLANDS LÄN</t>
        </is>
      </c>
      <c r="G251" t="inlineStr">
        <is>
          <t>ESKILSTUNA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38895-2023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45163</v>
      </c>
      <c r="E252" s="1" t="n">
        <v>46253</v>
      </c>
      <c r="F252" t="inlineStr">
        <is>
          <t>SÖDERMANLANDS LÄN</t>
        </is>
      </c>
      <c r="G252" t="inlineStr">
        <is>
          <t>ESKILSTUNA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46253</v>
      </c>
      <c r="F253" t="inlineStr">
        <is>
          <t>SÖDERMANLANDS LÄN</t>
        </is>
      </c>
      <c r="G253" t="inlineStr">
        <is>
          <t>ESKILSTUNA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45713</v>
      </c>
      <c r="E254" s="1" t="n">
        <v>46253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44832</v>
      </c>
      <c r="E255" s="1" t="n">
        <v>46253</v>
      </c>
      <c r="F255" t="inlineStr">
        <is>
          <t>SÖDERMANLANDS LÄN</t>
        </is>
      </c>
      <c r="G255" t="inlineStr">
        <is>
          <t>ESKILSTUNA</t>
        </is>
      </c>
      <c r="I255" t="n">
        <v>19.9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46253</v>
      </c>
      <c r="F256" t="inlineStr">
        <is>
          <t>SÖDERMANLANDS LÄN</t>
        </is>
      </c>
      <c r="G256" t="inlineStr">
        <is>
          <t>ESKILSTUNA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44019-2021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44434</v>
      </c>
      <c r="E257" s="1" t="n">
        <v>46253</v>
      </c>
      <c r="F257" t="inlineStr">
        <is>
          <t>SÖDERMANLANDS LÄN</t>
        </is>
      </c>
      <c r="G257" t="inlineStr">
        <is>
          <t>ESKILSTUNA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46253</v>
      </c>
      <c r="F258" t="inlineStr">
        <is>
          <t>SÖDERMANLANDS LÄN</t>
        </is>
      </c>
      <c r="G258" t="inlineStr">
        <is>
          <t>ESKILSTUNA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46108</v>
      </c>
      <c r="E259" s="1" t="n">
        <v>46253</v>
      </c>
      <c r="F259" t="inlineStr">
        <is>
          <t>SÖDERMANLANDS LÄN</t>
        </is>
      </c>
      <c r="G259" t="inlineStr">
        <is>
          <t>ESKILSTUNA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46108</v>
      </c>
      <c r="E260" s="1" t="n">
        <v>46253</v>
      </c>
      <c r="F260" t="inlineStr">
        <is>
          <t>SÖDERMANLANDS LÄN</t>
        </is>
      </c>
      <c r="G260" t="inlineStr">
        <is>
          <t>ESKILSTUNA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57061-2021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44482</v>
      </c>
      <c r="E261" s="1" t="n">
        <v>46253</v>
      </c>
      <c r="F261" t="inlineStr">
        <is>
          <t>SÖDERMANLANDS LÄN</t>
        </is>
      </c>
      <c r="G261" t="inlineStr">
        <is>
          <t>ESKILSTUNA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46253</v>
      </c>
      <c r="F262" t="inlineStr">
        <is>
          <t>SÖDERMANLANDS LÄN</t>
        </is>
      </c>
      <c r="G262" t="inlineStr">
        <is>
          <t>ESKILSTUNA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44886</v>
      </c>
      <c r="E263" s="1" t="n">
        <v>46253</v>
      </c>
      <c r="F263" t="inlineStr">
        <is>
          <t>SÖDERMANLANDS LÄN</t>
        </is>
      </c>
      <c r="G263" t="inlineStr">
        <is>
          <t>ESKILSTUNA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68022-2021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46253</v>
      </c>
      <c r="F264" t="inlineStr">
        <is>
          <t>SÖDERMANLANDS LÄN</t>
        </is>
      </c>
      <c r="G264" t="inlineStr">
        <is>
          <t>ESKILSTUNA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46253</v>
      </c>
      <c r="F265" t="inlineStr">
        <is>
          <t>SÖDERMANLANDS LÄN</t>
        </is>
      </c>
      <c r="G265" t="inlineStr">
        <is>
          <t>ESKILSTUNA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18105-2026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46125</v>
      </c>
      <c r="E266" s="1" t="n">
        <v>46253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54598-2021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44473</v>
      </c>
      <c r="E267" s="1" t="n">
        <v>46253</v>
      </c>
      <c r="F267" t="inlineStr">
        <is>
          <t>SÖDERMANLANDS LÄN</t>
        </is>
      </c>
      <c r="G267" t="inlineStr">
        <is>
          <t>ESKILSTUNA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46253</v>
      </c>
      <c r="F268" t="inlineStr">
        <is>
          <t>SÖDERMANLANDS LÄN</t>
        </is>
      </c>
      <c r="G268" t="inlineStr">
        <is>
          <t>ESKILSTUNA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46253</v>
      </c>
      <c r="F269" t="inlineStr">
        <is>
          <t>SÖDERMANLANDS LÄN</t>
        </is>
      </c>
      <c r="G269" t="inlineStr">
        <is>
          <t>ESKILSTUNA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46253</v>
      </c>
      <c r="F270" t="inlineStr">
        <is>
          <t>SÖDERMANLANDS LÄN</t>
        </is>
      </c>
      <c r="G270" t="inlineStr">
        <is>
          <t>ESKILSTUNA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16391-2022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44671</v>
      </c>
      <c r="E271" s="1" t="n">
        <v>46253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13153-2026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46092</v>
      </c>
      <c r="E272" s="1" t="n">
        <v>46253</v>
      </c>
      <c r="F272" t="inlineStr">
        <is>
          <t>SÖDERMANLANDS LÄN</t>
        </is>
      </c>
      <c r="G272" t="inlineStr">
        <is>
          <t>ESKILSTUNA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45604</v>
      </c>
      <c r="E273" s="1" t="n">
        <v>46253</v>
      </c>
      <c r="F273" t="inlineStr">
        <is>
          <t>SÖDERMANLANDS LÄN</t>
        </is>
      </c>
      <c r="G273" t="inlineStr">
        <is>
          <t>ESKILSTUNA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52830-2021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44467</v>
      </c>
      <c r="E274" s="1" t="n">
        <v>46253</v>
      </c>
      <c r="F274" t="inlineStr">
        <is>
          <t>SÖDERMANLANDS LÄN</t>
        </is>
      </c>
      <c r="G274" t="inlineStr">
        <is>
          <t>ESKILSTUNA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46253</v>
      </c>
      <c r="F275" t="inlineStr">
        <is>
          <t>SÖDERMANLANDS LÄN</t>
        </is>
      </c>
      <c r="G275" t="inlineStr">
        <is>
          <t>ESKILSTUNA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46253</v>
      </c>
      <c r="F276" t="inlineStr">
        <is>
          <t>SÖDERMANLANDS LÄN</t>
        </is>
      </c>
      <c r="G276" t="inlineStr">
        <is>
          <t>ESKILSTUNA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43426-2021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44432</v>
      </c>
      <c r="E277" s="1" t="n">
        <v>46253</v>
      </c>
      <c r="F277" t="inlineStr">
        <is>
          <t>SÖDERMANLANDS LÄN</t>
        </is>
      </c>
      <c r="G277" t="inlineStr">
        <is>
          <t>ESKILSTUNA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45267</v>
      </c>
      <c r="E278" s="1" t="n">
        <v>46253</v>
      </c>
      <c r="F278" t="inlineStr">
        <is>
          <t>SÖDERMANLANDS LÄN</t>
        </is>
      </c>
      <c r="G278" t="inlineStr">
        <is>
          <t>ESKILSTUNA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46253</v>
      </c>
      <c r="F279" t="inlineStr">
        <is>
          <t>SÖDERMANLANDS LÄN</t>
        </is>
      </c>
      <c r="G279" t="inlineStr">
        <is>
          <t>ESKILSTUNA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46253</v>
      </c>
      <c r="F280" t="inlineStr">
        <is>
          <t>SÖDERMANLANDS LÄN</t>
        </is>
      </c>
      <c r="G280" t="inlineStr">
        <is>
          <t>ESKILSTUNA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47581-2024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45587</v>
      </c>
      <c r="E281" s="1" t="n">
        <v>46253</v>
      </c>
      <c r="F281" t="inlineStr">
        <is>
          <t>SÖDERMANLANDS LÄN</t>
        </is>
      </c>
      <c r="G281" t="inlineStr">
        <is>
          <t>ESKILSTUNA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65614-2021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44516</v>
      </c>
      <c r="E282" s="1" t="n">
        <v>46253</v>
      </c>
      <c r="F282" t="inlineStr">
        <is>
          <t>SÖDERMANLANDS LÄN</t>
        </is>
      </c>
      <c r="G282" t="inlineStr">
        <is>
          <t>ESKILSTUNA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44916</v>
      </c>
      <c r="E283" s="1" t="n">
        <v>46253</v>
      </c>
      <c r="F283" t="inlineStr">
        <is>
          <t>SÖDERMANLANDS LÄN</t>
        </is>
      </c>
      <c r="G283" t="inlineStr">
        <is>
          <t>ESKILSTUNA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44888</v>
      </c>
      <c r="E284" s="1" t="n">
        <v>46253</v>
      </c>
      <c r="F284" t="inlineStr">
        <is>
          <t>SÖDERMANLANDS LÄN</t>
        </is>
      </c>
      <c r="G284" t="inlineStr">
        <is>
          <t>ESKILSTUNA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44865</v>
      </c>
      <c r="E285" s="1" t="n">
        <v>46253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Kyrkan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46253</v>
      </c>
      <c r="F286" t="inlineStr">
        <is>
          <t>SÖDERMANLANDS LÄN</t>
        </is>
      </c>
      <c r="G286" t="inlineStr">
        <is>
          <t>ESKILSTUNA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46253</v>
      </c>
      <c r="F287" t="inlineStr">
        <is>
          <t>SÖDERMANLANDS LÄN</t>
        </is>
      </c>
      <c r="G287" t="inlineStr">
        <is>
          <t>ESKILSTUNA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46253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Allmännings- och besparingsskogar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44664</v>
      </c>
      <c r="E289" s="1" t="n">
        <v>46253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45918</v>
      </c>
      <c r="E290" s="1" t="n">
        <v>46253</v>
      </c>
      <c r="F290" t="inlineStr">
        <is>
          <t>SÖDERMANLANDS LÄN</t>
        </is>
      </c>
      <c r="G290" t="inlineStr">
        <is>
          <t>ESKILSTUNA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25227-2022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44729</v>
      </c>
      <c r="E291" s="1" t="n">
        <v>46253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46253</v>
      </c>
      <c r="F292" t="inlineStr">
        <is>
          <t>SÖDERMANLANDS LÄN</t>
        </is>
      </c>
      <c r="G292" t="inlineStr">
        <is>
          <t>ESKILSTUNA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45460</v>
      </c>
      <c r="E293" s="1" t="n">
        <v>46253</v>
      </c>
      <c r="F293" t="inlineStr">
        <is>
          <t>SÖDERMANLANDS LÄN</t>
        </is>
      </c>
      <c r="G293" t="inlineStr">
        <is>
          <t>ESKILSTUNA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46253</v>
      </c>
      <c r="F294" t="inlineStr">
        <is>
          <t>SÖDERMANLANDS LÄN</t>
        </is>
      </c>
      <c r="G294" t="inlineStr">
        <is>
          <t>ESKILSTUNA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36565-2022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44804</v>
      </c>
      <c r="E295" s="1" t="n">
        <v>46253</v>
      </c>
      <c r="F295" t="inlineStr">
        <is>
          <t>SÖDERMANLANDS LÄN</t>
        </is>
      </c>
      <c r="G295" t="inlineStr">
        <is>
          <t>ESKILSTUNA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45974</v>
      </c>
      <c r="E296" s="1" t="n">
        <v>46253</v>
      </c>
      <c r="F296" t="inlineStr">
        <is>
          <t>SÖDERMANLANDS LÄN</t>
        </is>
      </c>
      <c r="G296" t="inlineStr">
        <is>
          <t>ESKILSTUNA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46253</v>
      </c>
      <c r="F297" t="inlineStr">
        <is>
          <t>SÖDERMANLANDS LÄN</t>
        </is>
      </c>
      <c r="G297" t="inlineStr">
        <is>
          <t>ESKILSTUNA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45056</v>
      </c>
      <c r="E298" s="1" t="n">
        <v>46253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46253</v>
      </c>
      <c r="F299" t="inlineStr">
        <is>
          <t>SÖDERMANLANDS LÄN</t>
        </is>
      </c>
      <c r="G299" t="inlineStr">
        <is>
          <t>ESKILSTUNA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45875</v>
      </c>
      <c r="E300" s="1" t="n">
        <v>46253</v>
      </c>
      <c r="F300" t="inlineStr">
        <is>
          <t>SÖDERMANLANDS LÄN</t>
        </is>
      </c>
      <c r="G300" t="inlineStr">
        <is>
          <t>ESKILSTUNA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46253</v>
      </c>
      <c r="F301" t="inlineStr">
        <is>
          <t>SÖDERMANLANDS LÄN</t>
        </is>
      </c>
      <c r="G301" t="inlineStr">
        <is>
          <t>ESKILSTUNA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46253</v>
      </c>
      <c r="F302" t="inlineStr">
        <is>
          <t>SÖDERMANLANDS LÄN</t>
        </is>
      </c>
      <c r="G302" t="inlineStr">
        <is>
          <t>ESKILSTUNA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45079</v>
      </c>
      <c r="E303" s="1" t="n">
        <v>46253</v>
      </c>
      <c r="F303" t="inlineStr">
        <is>
          <t>SÖDERMANLANDS LÄN</t>
        </is>
      </c>
      <c r="G303" t="inlineStr">
        <is>
          <t>ESKILSTUNA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59276-2021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44490</v>
      </c>
      <c r="E304" s="1" t="n">
        <v>46253</v>
      </c>
      <c r="F304" t="inlineStr">
        <is>
          <t>SÖDERMANLANDS LÄN</t>
        </is>
      </c>
      <c r="G304" t="inlineStr">
        <is>
          <t>ESKILSTUNA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46253</v>
      </c>
      <c r="F305" t="inlineStr">
        <is>
          <t>SÖDERMANLANDS LÄN</t>
        </is>
      </c>
      <c r="G305" t="inlineStr">
        <is>
          <t>ESKILSTUNA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46253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Allmännings- och besparingsskogar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57538-2022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46253</v>
      </c>
      <c r="F307" t="inlineStr">
        <is>
          <t>SÖDERMANLANDS LÄN</t>
        </is>
      </c>
      <c r="G307" t="inlineStr">
        <is>
          <t>ESKILSTUNA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50484-2025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45945</v>
      </c>
      <c r="E308" s="1" t="n">
        <v>46253</v>
      </c>
      <c r="F308" t="inlineStr">
        <is>
          <t>SÖDERMANLANDS LÄN</t>
        </is>
      </c>
      <c r="G308" t="inlineStr">
        <is>
          <t>ESKILSTUNA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55699-2024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46253</v>
      </c>
      <c r="F309" t="inlineStr">
        <is>
          <t>SÖDERMANLANDS LÄN</t>
        </is>
      </c>
      <c r="G309" t="inlineStr">
        <is>
          <t>ESKILSTUNA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44930</v>
      </c>
      <c r="E310" s="1" t="n">
        <v>46253</v>
      </c>
      <c r="F310" t="inlineStr">
        <is>
          <t>SÖDERMANLANDS LÄN</t>
        </is>
      </c>
      <c r="G310" t="inlineStr">
        <is>
          <t>ESKILSTUNA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44490</v>
      </c>
      <c r="E311" s="1" t="n">
        <v>46253</v>
      </c>
      <c r="F311" t="inlineStr">
        <is>
          <t>SÖDERMANLANDS LÄN</t>
        </is>
      </c>
      <c r="G311" t="inlineStr">
        <is>
          <t>ESKILSTUNA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44497</v>
      </c>
      <c r="E312" s="1" t="n">
        <v>46253</v>
      </c>
      <c r="F312" t="inlineStr">
        <is>
          <t>SÖDERMANLANDS LÄN</t>
        </is>
      </c>
      <c r="G312" t="inlineStr">
        <is>
          <t>ESKILSTUNA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45994</v>
      </c>
      <c r="E313" s="1" t="n">
        <v>46253</v>
      </c>
      <c r="F313" t="inlineStr">
        <is>
          <t>SÖDERMANLANDS LÄN</t>
        </is>
      </c>
      <c r="G313" t="inlineStr">
        <is>
          <t>ESKILSTUNA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30373-2023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45099</v>
      </c>
      <c r="E314" s="1" t="n">
        <v>46253</v>
      </c>
      <c r="F314" t="inlineStr">
        <is>
          <t>SÖDERMANLANDS LÄN</t>
        </is>
      </c>
      <c r="G314" t="inlineStr">
        <is>
          <t>ESKILSTUNA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60754-2025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46253</v>
      </c>
      <c r="F315" t="inlineStr">
        <is>
          <t>SÖDERMANLANDS LÄN</t>
        </is>
      </c>
      <c r="G315" t="inlineStr">
        <is>
          <t>ESKILSTUNA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46253</v>
      </c>
      <c r="F316" t="inlineStr">
        <is>
          <t>SÖDERMANLANDS LÄN</t>
        </is>
      </c>
      <c r="G316" t="inlineStr">
        <is>
          <t>ESKILSTUNA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46253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Allmännings- och besparingsskogar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46253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20823-2022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44701</v>
      </c>
      <c r="E319" s="1" t="n">
        <v>46253</v>
      </c>
      <c r="F319" t="inlineStr">
        <is>
          <t>SÖDERMANLANDS LÄN</t>
        </is>
      </c>
      <c r="G319" t="inlineStr">
        <is>
          <t>ESKILSTUNA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45049</v>
      </c>
      <c r="E320" s="1" t="n">
        <v>46253</v>
      </c>
      <c r="F320" t="inlineStr">
        <is>
          <t>SÖDERMANLANDS LÄN</t>
        </is>
      </c>
      <c r="G320" t="inlineStr">
        <is>
          <t>ESKILSTUNA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46253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46253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Övriga Aktiebolag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13849-2023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46253</v>
      </c>
      <c r="F323" t="inlineStr">
        <is>
          <t>SÖDERMANLANDS LÄN</t>
        </is>
      </c>
      <c r="G323" t="inlineStr">
        <is>
          <t>ESKILSTUNA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46253</v>
      </c>
      <c r="F324" t="inlineStr">
        <is>
          <t>SÖDERMANLANDS LÄN</t>
        </is>
      </c>
      <c r="G324" t="inlineStr">
        <is>
          <t>ESKILSTUNA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62693-2023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45271</v>
      </c>
      <c r="E325" s="1" t="n">
        <v>46253</v>
      </c>
      <c r="F325" t="inlineStr">
        <is>
          <t>SÖDERMANLANDS LÄN</t>
        </is>
      </c>
      <c r="G325" t="inlineStr">
        <is>
          <t>ESKILSTUNA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70265-2021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44536</v>
      </c>
      <c r="E326" s="1" t="n">
        <v>46253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46608-2024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45582</v>
      </c>
      <c r="E327" s="1" t="n">
        <v>46253</v>
      </c>
      <c r="F327" t="inlineStr">
        <is>
          <t>SÖDERMANLANDS LÄN</t>
        </is>
      </c>
      <c r="G327" t="inlineStr">
        <is>
          <t>ESKILSTUNA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46150</v>
      </c>
      <c r="E328" s="1" t="n">
        <v>46253</v>
      </c>
      <c r="F328" t="inlineStr">
        <is>
          <t>SÖDERMANLANDS LÄN</t>
        </is>
      </c>
      <c r="G328" t="inlineStr">
        <is>
          <t>ESKILSTUNA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68020-2021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44525</v>
      </c>
      <c r="E329" s="1" t="n">
        <v>46253</v>
      </c>
      <c r="F329" t="inlineStr">
        <is>
          <t>SÖDERMANLANDS LÄN</t>
        </is>
      </c>
      <c r="G329" t="inlineStr">
        <is>
          <t>ESKILSTUNA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46253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46253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46157</v>
      </c>
      <c r="E332" s="1" t="n">
        <v>46253</v>
      </c>
      <c r="F332" t="inlineStr">
        <is>
          <t>SÖDERMANLANDS LÄN</t>
        </is>
      </c>
      <c r="G332" t="inlineStr">
        <is>
          <t>ESKILSTUNA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45715</v>
      </c>
      <c r="E333" s="1" t="n">
        <v>46253</v>
      </c>
      <c r="F333" t="inlineStr">
        <is>
          <t>SÖDERMANLANDS LÄN</t>
        </is>
      </c>
      <c r="G333" t="inlineStr">
        <is>
          <t>ESKILSTUNA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45897</v>
      </c>
      <c r="E334" s="1" t="n">
        <v>46253</v>
      </c>
      <c r="F334" t="inlineStr">
        <is>
          <t>SÖDERMANLANDS LÄN</t>
        </is>
      </c>
      <c r="G334" t="inlineStr">
        <is>
          <t>ESKILSTUNA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23402-2026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46253</v>
      </c>
      <c r="F335" t="inlineStr">
        <is>
          <t>SÖDERMANLANDS LÄN</t>
        </is>
      </c>
      <c r="G335" t="inlineStr">
        <is>
          <t>ESKILSTUNA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52203-2025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45953</v>
      </c>
      <c r="E336" s="1" t="n">
        <v>46253</v>
      </c>
      <c r="F336" t="inlineStr">
        <is>
          <t>SÖDERMANLANDS LÄN</t>
        </is>
      </c>
      <c r="G336" t="inlineStr">
        <is>
          <t>ESKILSTUNA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46253</v>
      </c>
      <c r="F337" t="inlineStr">
        <is>
          <t>SÖDERMANLANDS LÄN</t>
        </is>
      </c>
      <c r="G337" t="inlineStr">
        <is>
          <t>ESKILSTUNA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45069</v>
      </c>
      <c r="E338" s="1" t="n">
        <v>46253</v>
      </c>
      <c r="F338" t="inlineStr">
        <is>
          <t>SÖDERMANLANDS LÄN</t>
        </is>
      </c>
      <c r="G338" t="inlineStr">
        <is>
          <t>ESKILSTUNA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10715-2022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44626</v>
      </c>
      <c r="E339" s="1" t="n">
        <v>46253</v>
      </c>
      <c r="F339" t="inlineStr">
        <is>
          <t>SÖDERMANLANDS LÄN</t>
        </is>
      </c>
      <c r="G339" t="inlineStr">
        <is>
          <t>ESKILSTUNA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44927-2023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45190</v>
      </c>
      <c r="E340" s="1" t="n">
        <v>46253</v>
      </c>
      <c r="F340" t="inlineStr">
        <is>
          <t>SÖDERMANLANDS LÄN</t>
        </is>
      </c>
      <c r="G340" t="inlineStr">
        <is>
          <t>ESKILSTUNA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46253</v>
      </c>
      <c r="F341" t="inlineStr">
        <is>
          <t>SÖDERMANLANDS LÄN</t>
        </is>
      </c>
      <c r="G341" t="inlineStr">
        <is>
          <t>ESKILSTUNA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45435</v>
      </c>
      <c r="E342" s="1" t="n">
        <v>46253</v>
      </c>
      <c r="F342" t="inlineStr">
        <is>
          <t>SÖDERMANLANDS LÄN</t>
        </is>
      </c>
      <c r="G342" t="inlineStr">
        <is>
          <t>ESKILSTUNA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22605-2023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45071</v>
      </c>
      <c r="E343" s="1" t="n">
        <v>46253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Kyrkan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46253</v>
      </c>
      <c r="F344" t="inlineStr">
        <is>
          <t>SÖDERMANLANDS LÄN</t>
        </is>
      </c>
      <c r="G344" t="inlineStr">
        <is>
          <t>ESKILSTUNA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22388-2026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46154</v>
      </c>
      <c r="E345" s="1" t="n">
        <v>46253</v>
      </c>
      <c r="F345" t="inlineStr">
        <is>
          <t>SÖDERMANLANDS LÄN</t>
        </is>
      </c>
      <c r="G345" t="inlineStr">
        <is>
          <t>ESKILSTUNA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46253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Kyrkan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45953</v>
      </c>
      <c r="E347" s="1" t="n">
        <v>46253</v>
      </c>
      <c r="F347" t="inlineStr">
        <is>
          <t>SÖDERMANLANDS LÄN</t>
        </is>
      </c>
      <c r="G347" t="inlineStr">
        <is>
          <t>ESKILSTUNA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26904-2023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46253</v>
      </c>
      <c r="F348" t="inlineStr">
        <is>
          <t>SÖDERMANLANDS LÄN</t>
        </is>
      </c>
      <c r="G348" t="inlineStr">
        <is>
          <t>ESKILSTUNA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60533-2024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45643</v>
      </c>
      <c r="E349" s="1" t="n">
        <v>46253</v>
      </c>
      <c r="F349" t="inlineStr">
        <is>
          <t>SÖDERMANLANDS LÄN</t>
        </is>
      </c>
      <c r="G349" t="inlineStr">
        <is>
          <t>ESKILSTUNA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45387</v>
      </c>
      <c r="E350" s="1" t="n">
        <v>46253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Kyrkan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46253</v>
      </c>
      <c r="F351" t="inlineStr">
        <is>
          <t>SÖDERMANLANDS LÄN</t>
        </is>
      </c>
      <c r="G351" t="inlineStr">
        <is>
          <t>ESKILSTUNA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45107</v>
      </c>
      <c r="E352" s="1" t="n">
        <v>46253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Allmännings- och besparingsskogar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46216</v>
      </c>
      <c r="E353" s="1" t="n">
        <v>46253</v>
      </c>
      <c r="F353" t="inlineStr">
        <is>
          <t>SÖDERMANLANDS LÄN</t>
        </is>
      </c>
      <c r="G353" t="inlineStr">
        <is>
          <t>ESKILSTUNA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31131-2026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46216</v>
      </c>
      <c r="E354" s="1" t="n">
        <v>46253</v>
      </c>
      <c r="F354" t="inlineStr">
        <is>
          <t>SÖDERMANLANDS LÄN</t>
        </is>
      </c>
      <c r="G354" t="inlineStr">
        <is>
          <t>ESKILSTUNA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30963-2026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46213</v>
      </c>
      <c r="E355" s="1" t="n">
        <v>46253</v>
      </c>
      <c r="F355" t="inlineStr">
        <is>
          <t>SÖDERMANLANDS LÄN</t>
        </is>
      </c>
      <c r="G355" t="inlineStr">
        <is>
          <t>ESKILSTUNA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46217</v>
      </c>
      <c r="E356" s="1" t="n">
        <v>46253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Kommuner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49061-2023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46253</v>
      </c>
      <c r="F357" t="inlineStr">
        <is>
          <t>SÖDERMANLANDS LÄN</t>
        </is>
      </c>
      <c r="G357" t="inlineStr">
        <is>
          <t>ESKILSTUNA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46253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Kommuner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46219</v>
      </c>
      <c r="E359" s="1" t="n">
        <v>46253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46253</v>
      </c>
      <c r="F360" t="inlineStr">
        <is>
          <t>SÖDERMANLANDS LÄN</t>
        </is>
      </c>
      <c r="G360" t="inlineStr">
        <is>
          <t>ESKILSTUNA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25483-2026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46253</v>
      </c>
      <c r="F361" t="inlineStr">
        <is>
          <t>SÖDERMANLANDS LÄN</t>
        </is>
      </c>
      <c r="G361" t="inlineStr">
        <is>
          <t>ESKILSTUNA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55763-2022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44886</v>
      </c>
      <c r="E362" s="1" t="n">
        <v>46253</v>
      </c>
      <c r="F362" t="inlineStr">
        <is>
          <t>SÖDERMANLANDS LÄN</t>
        </is>
      </c>
      <c r="G362" t="inlineStr">
        <is>
          <t>ESKILSTUNA</t>
        </is>
      </c>
      <c r="I362" t="n">
        <v>15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46253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46253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45237</v>
      </c>
      <c r="E365" s="1" t="n">
        <v>46253</v>
      </c>
      <c r="F365" t="inlineStr">
        <is>
          <t>SÖDERMANLANDS LÄN</t>
        </is>
      </c>
      <c r="G365" t="inlineStr">
        <is>
          <t>ESKILSTUNA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46253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4200-2025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45685</v>
      </c>
      <c r="E367" s="1" t="n">
        <v>46253</v>
      </c>
      <c r="F367" t="inlineStr">
        <is>
          <t>SÖDERMANLANDS LÄN</t>
        </is>
      </c>
      <c r="G367" t="inlineStr">
        <is>
          <t>ESKILSTUNA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44664</v>
      </c>
      <c r="E368" s="1" t="n">
        <v>46253</v>
      </c>
      <c r="F368" t="inlineStr">
        <is>
          <t>SÖDERMANLANDS LÄN</t>
        </is>
      </c>
      <c r="G368" t="inlineStr">
        <is>
          <t>ESKILSTUNA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45723</v>
      </c>
      <c r="E369" s="1" t="n">
        <v>46253</v>
      </c>
      <c r="F369" t="inlineStr">
        <is>
          <t>SÖDERMANLANDS LÄN</t>
        </is>
      </c>
      <c r="G369" t="inlineStr">
        <is>
          <t>ESKILSTUNA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45240</v>
      </c>
      <c r="E370" s="1" t="n">
        <v>46253</v>
      </c>
      <c r="F370" t="inlineStr">
        <is>
          <t>SÖDERMANLANDS LÄN</t>
        </is>
      </c>
      <c r="G370" t="inlineStr">
        <is>
          <t>ESKILSTUNA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25229-2022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44729</v>
      </c>
      <c r="E371" s="1" t="n">
        <v>46253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Allmännings- och besparingsskogar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46253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61831-2023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45266</v>
      </c>
      <c r="E373" s="1" t="n">
        <v>46253</v>
      </c>
      <c r="F373" t="inlineStr">
        <is>
          <t>SÖDERMANLANDS LÄN</t>
        </is>
      </c>
      <c r="G373" t="inlineStr">
        <is>
          <t>ESKILSTUNA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29068-2022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46253</v>
      </c>
      <c r="F374" t="inlineStr">
        <is>
          <t>SÖDERMANLANDS LÄN</t>
        </is>
      </c>
      <c r="G374" t="inlineStr">
        <is>
          <t>ESKILSTUNA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1330-2024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45303</v>
      </c>
      <c r="E375" s="1" t="n">
        <v>46253</v>
      </c>
      <c r="F375" t="inlineStr">
        <is>
          <t>SÖDERMANLANDS LÄN</t>
        </is>
      </c>
      <c r="G375" t="inlineStr">
        <is>
          <t>ESKILSTUNA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1334-2024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45303</v>
      </c>
      <c r="E376" s="1" t="n">
        <v>46253</v>
      </c>
      <c r="F376" t="inlineStr">
        <is>
          <t>SÖDERMANLANDS LÄN</t>
        </is>
      </c>
      <c r="G376" t="inlineStr">
        <is>
          <t>ESKILSTUNA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46253</v>
      </c>
      <c r="F377" t="inlineStr">
        <is>
          <t>SÖDERMANLANDS LÄN</t>
        </is>
      </c>
      <c r="G377" t="inlineStr">
        <is>
          <t>ESKILSTUNA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45159</v>
      </c>
      <c r="E378" s="1" t="n">
        <v>46253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Kommuner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29750-2022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44755</v>
      </c>
      <c r="E379" s="1" t="n">
        <v>46253</v>
      </c>
      <c r="F379" t="inlineStr">
        <is>
          <t>SÖDERMANLANDS LÄN</t>
        </is>
      </c>
      <c r="G379" t="inlineStr">
        <is>
          <t>ESKILSTUNA</t>
        </is>
      </c>
      <c r="I379" t="n">
        <v>20.1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9703-2025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45715</v>
      </c>
      <c r="E380" s="1" t="n">
        <v>46253</v>
      </c>
      <c r="F380" t="inlineStr">
        <is>
          <t>SÖDERMANLANDS LÄN</t>
        </is>
      </c>
      <c r="G380" t="inlineStr">
        <is>
          <t>ESKILSTUNA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46191</v>
      </c>
      <c r="E381" s="1" t="n">
        <v>46253</v>
      </c>
      <c r="F381" t="inlineStr">
        <is>
          <t>SÖDERMANLANDS LÄN</t>
        </is>
      </c>
      <c r="G381" t="inlineStr">
        <is>
          <t>ESKILSTUNA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30968-2022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44768</v>
      </c>
      <c r="E382" s="1" t="n">
        <v>46253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45225</v>
      </c>
      <c r="E383" s="1" t="n">
        <v>46253</v>
      </c>
      <c r="F383" t="inlineStr">
        <is>
          <t>SÖDERMANLANDS LÄN</t>
        </is>
      </c>
      <c r="G383" t="inlineStr">
        <is>
          <t>ESKILSTUNA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27779-2026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46191</v>
      </c>
      <c r="E384" s="1" t="n">
        <v>46253</v>
      </c>
      <c r="F384" t="inlineStr">
        <is>
          <t>SÖDERMANLANDS LÄN</t>
        </is>
      </c>
      <c r="G384" t="inlineStr">
        <is>
          <t>ESKILSTUNA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32373-2026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46238</v>
      </c>
      <c r="E385" s="1" t="n">
        <v>46253</v>
      </c>
      <c r="F385" t="inlineStr">
        <is>
          <t>SÖDERMANLANDS LÄN</t>
        </is>
      </c>
      <c r="G385" t="inlineStr">
        <is>
          <t>ESKILSTUNA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46253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44804</v>
      </c>
      <c r="E387" s="1" t="n">
        <v>46253</v>
      </c>
      <c r="F387" t="inlineStr">
        <is>
          <t>SÖDERMANLANDS LÄN</t>
        </is>
      </c>
      <c r="G387" t="inlineStr">
        <is>
          <t>ESKILSTUNA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46253</v>
      </c>
      <c r="F388" t="inlineStr">
        <is>
          <t>SÖDERMANLANDS LÄN</t>
        </is>
      </c>
      <c r="G388" t="inlineStr">
        <is>
          <t>ESKILSTUNA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44917</v>
      </c>
      <c r="E389" s="1" t="n">
        <v>46253</v>
      </c>
      <c r="F389" t="inlineStr">
        <is>
          <t>SÖDERMANLANDS LÄN</t>
        </is>
      </c>
      <c r="G389" t="inlineStr">
        <is>
          <t>ESKILSTUNA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32365-2026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46238</v>
      </c>
      <c r="E390" s="1" t="n">
        <v>46253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32177-2026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46237</v>
      </c>
      <c r="E391" s="1" t="n">
        <v>46253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Sveaskog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32461-2026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46239</v>
      </c>
      <c r="E392" s="1" t="n">
        <v>46253</v>
      </c>
      <c r="F392" t="inlineStr">
        <is>
          <t>SÖDERMANLANDS LÄN</t>
        </is>
      </c>
      <c r="G392" t="inlineStr">
        <is>
          <t>ESKILSTUNA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44998</v>
      </c>
      <c r="E393" s="1" t="n">
        <v>46253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Kommuner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61830-2023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45266</v>
      </c>
      <c r="E394" s="1" t="n">
        <v>46253</v>
      </c>
      <c r="F394" t="inlineStr">
        <is>
          <t>SÖDERMANLANDS LÄN</t>
        </is>
      </c>
      <c r="G394" t="inlineStr">
        <is>
          <t>ESKILSTUNA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46197</v>
      </c>
      <c r="E395" s="1" t="n">
        <v>46253</v>
      </c>
      <c r="F395" t="inlineStr">
        <is>
          <t>SÖDERMANLANDS LÄN</t>
        </is>
      </c>
      <c r="G395" t="inlineStr">
        <is>
          <t>ESKILSTUNA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46244</v>
      </c>
      <c r="E396" s="1" t="n">
        <v>46253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Kommuner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45531</v>
      </c>
      <c r="E397" s="1" t="n">
        <v>46253</v>
      </c>
      <c r="F397" t="inlineStr">
        <is>
          <t>SÖDERMANLANDS LÄN</t>
        </is>
      </c>
      <c r="G397" t="inlineStr">
        <is>
          <t>ESKILSTUNA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45537</v>
      </c>
      <c r="E398" s="1" t="n">
        <v>46253</v>
      </c>
      <c r="F398" t="inlineStr">
        <is>
          <t>SÖDERMANLANDS LÄN</t>
        </is>
      </c>
      <c r="G398" t="inlineStr">
        <is>
          <t>ESKILSTUNA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29053-2026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46199</v>
      </c>
      <c r="E399" s="1" t="n">
        <v>46253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Sveaskog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46253</v>
      </c>
      <c r="F400" t="inlineStr">
        <is>
          <t>SÖDERMANLANDS LÄN</t>
        </is>
      </c>
      <c r="G400" t="inlineStr">
        <is>
          <t>ESKILSTUNA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44582</v>
      </c>
      <c r="E401" s="1" t="n">
        <v>46253</v>
      </c>
      <c r="F401" t="inlineStr">
        <is>
          <t>SÖDERMANLANDS LÄN</t>
        </is>
      </c>
      <c r="G401" t="inlineStr">
        <is>
          <t>ESKILSTUNA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36142-2022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44803</v>
      </c>
      <c r="E402" s="1" t="n">
        <v>46253</v>
      </c>
      <c r="F402" t="inlineStr">
        <is>
          <t>SÖDERMANLANDS LÄN</t>
        </is>
      </c>
      <c r="G402" t="inlineStr">
        <is>
          <t>ESKILSTUNA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44803</v>
      </c>
      <c r="E403" s="1" t="n">
        <v>46253</v>
      </c>
      <c r="F403" t="inlineStr">
        <is>
          <t>SÖDERMANLANDS LÄN</t>
        </is>
      </c>
      <c r="G403" t="inlineStr">
        <is>
          <t>ESKILSTUNA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29051-2026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46199</v>
      </c>
      <c r="E404" s="1" t="n">
        <v>46253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70613-2021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46253</v>
      </c>
      <c r="F405" t="inlineStr">
        <is>
          <t>SÖDERMANLANDS LÄN</t>
        </is>
      </c>
      <c r="G405" t="inlineStr">
        <is>
          <t>ESKILSTUNA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46241</v>
      </c>
      <c r="E406" s="1" t="n">
        <v>46253</v>
      </c>
      <c r="F406" t="inlineStr">
        <is>
          <t>SÖDERMANLANDS LÄN</t>
        </is>
      </c>
      <c r="G406" t="inlineStr">
        <is>
          <t>ESKILSTUNA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44615-2022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44839</v>
      </c>
      <c r="E407" s="1" t="n">
        <v>46253</v>
      </c>
      <c r="F407" t="inlineStr">
        <is>
          <t>SÖDERMANLANDS LÄN</t>
        </is>
      </c>
      <c r="G407" t="inlineStr">
        <is>
          <t>ESKILSTUNA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33087-2026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46245</v>
      </c>
      <c r="E408" s="1" t="n">
        <v>46253</v>
      </c>
      <c r="F408" t="inlineStr">
        <is>
          <t>SÖDERMANLANDS LÄN</t>
        </is>
      </c>
      <c r="G408" t="inlineStr">
        <is>
          <t>ESKILSTUNA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45763</v>
      </c>
      <c r="E409" s="1" t="n">
        <v>46253</v>
      </c>
      <c r="F409" t="inlineStr">
        <is>
          <t>SÖDERMANLANDS LÄN</t>
        </is>
      </c>
      <c r="G409" t="inlineStr">
        <is>
          <t>ESKILSTUNA</t>
        </is>
      </c>
      <c r="I409" t="n">
        <v>15.6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33125-2026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46245</v>
      </c>
      <c r="E410" s="1" t="n">
        <v>46253</v>
      </c>
      <c r="F410" t="inlineStr">
        <is>
          <t>SÖDERMANLANDS LÄN</t>
        </is>
      </c>
      <c r="G410" t="inlineStr">
        <is>
          <t>ESKILSTUNA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33278-2026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46246</v>
      </c>
      <c r="E411" s="1" t="n">
        <v>46253</v>
      </c>
      <c r="F411" t="inlineStr">
        <is>
          <t>SÖDERMANLANDS LÄN</t>
        </is>
      </c>
      <c r="G411" t="inlineStr">
        <is>
          <t>ESKILSTUNA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46083</v>
      </c>
      <c r="E412" s="1" t="n">
        <v>46253</v>
      </c>
      <c r="F412" t="inlineStr">
        <is>
          <t>SÖDERMANLANDS LÄN</t>
        </is>
      </c>
      <c r="G412" t="inlineStr">
        <is>
          <t>ESKILSTUNA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46164</v>
      </c>
      <c r="E413" s="1" t="n">
        <v>46253</v>
      </c>
      <c r="F413" t="inlineStr">
        <is>
          <t>SÖDERMANLANDS LÄN</t>
        </is>
      </c>
      <c r="G413" t="inlineStr">
        <is>
          <t>ESKILSTUNA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53374-2022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44874</v>
      </c>
      <c r="E414" s="1" t="n">
        <v>46253</v>
      </c>
      <c r="F414" t="inlineStr">
        <is>
          <t>SÖDERMANLANDS LÄN</t>
        </is>
      </c>
      <c r="G414" t="inlineStr">
        <is>
          <t>ESKILSTUNA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44938</v>
      </c>
      <c r="E415" s="1" t="n">
        <v>46253</v>
      </c>
      <c r="F415" t="inlineStr">
        <is>
          <t>SÖDERMANLANDS LÄN</t>
        </is>
      </c>
      <c r="G415" t="inlineStr">
        <is>
          <t>ESKILSTUNA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22767-2026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46157</v>
      </c>
      <c r="E416" s="1" t="n">
        <v>46253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46253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Sveaskog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45005</v>
      </c>
      <c r="E418" s="1" t="n">
        <v>46253</v>
      </c>
      <c r="F418" t="inlineStr">
        <is>
          <t>SÖDERMANLANDS LÄN</t>
        </is>
      </c>
      <c r="G418" t="inlineStr">
        <is>
          <t>ESKILSTUNA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46253</v>
      </c>
      <c r="F419" t="inlineStr">
        <is>
          <t>SÖDERMANLANDS LÄN</t>
        </is>
      </c>
      <c r="G419" t="inlineStr">
        <is>
          <t>ESKILSTUNA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46253</v>
      </c>
      <c r="F420" t="inlineStr">
        <is>
          <t>SÖDERMANLANDS LÄN</t>
        </is>
      </c>
      <c r="G420" t="inlineStr">
        <is>
          <t>ESKILSTUNA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40386-2022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44819</v>
      </c>
      <c r="E421" s="1" t="n">
        <v>46253</v>
      </c>
      <c r="F421" t="inlineStr">
        <is>
          <t>SÖDERMANLANDS LÄN</t>
        </is>
      </c>
      <c r="G421" t="inlineStr">
        <is>
          <t>ESKILSTUNA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48671-2021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44452</v>
      </c>
      <c r="E422" s="1" t="n">
        <v>46253</v>
      </c>
      <c r="F422" t="inlineStr">
        <is>
          <t>SÖDERMANLANDS LÄN</t>
        </is>
      </c>
      <c r="G422" t="inlineStr">
        <is>
          <t>ESKILSTUNA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44468</v>
      </c>
      <c r="E423" s="1" t="n">
        <v>46253</v>
      </c>
      <c r="F423" t="inlineStr">
        <is>
          <t>SÖDERMANLANDS LÄN</t>
        </is>
      </c>
      <c r="G423" t="inlineStr">
        <is>
          <t>ESKILSTUNA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46253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Övriga Aktiebolag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46253</v>
      </c>
      <c r="F425" t="inlineStr">
        <is>
          <t>SÖDERMANLANDS LÄN</t>
        </is>
      </c>
      <c r="G425" t="inlineStr">
        <is>
          <t>ESKILSTUNA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45006</v>
      </c>
      <c r="E426" s="1" t="n">
        <v>46253</v>
      </c>
      <c r="F426" t="inlineStr">
        <is>
          <t>SÖDERMANLANDS LÄN</t>
        </is>
      </c>
      <c r="G426" t="inlineStr">
        <is>
          <t>ESKILSTUNA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55673-2024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45622</v>
      </c>
      <c r="E427" s="1" t="n">
        <v>46253</v>
      </c>
      <c r="F427" t="inlineStr">
        <is>
          <t>SÖDERMANLANDS LÄN</t>
        </is>
      </c>
      <c r="G427" t="inlineStr">
        <is>
          <t>ESKILSTUNA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44964</v>
      </c>
      <c r="E428" s="1" t="n">
        <v>46253</v>
      </c>
      <c r="F428" t="inlineStr">
        <is>
          <t>SÖDERMANLANDS LÄN</t>
        </is>
      </c>
      <c r="G428" t="inlineStr">
        <is>
          <t>ESKILSTUNA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45004</v>
      </c>
      <c r="E429" s="1" t="n">
        <v>46253</v>
      </c>
      <c r="F429" t="inlineStr">
        <is>
          <t>SÖDERMANLANDS LÄN</t>
        </is>
      </c>
      <c r="G429" t="inlineStr">
        <is>
          <t>ESKILSTUNA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46872-2022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46253</v>
      </c>
      <c r="F430" t="inlineStr">
        <is>
          <t>SÖDERMANLANDS LÄN</t>
        </is>
      </c>
      <c r="G430" t="inlineStr">
        <is>
          <t>ESKILSTUNA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45198</v>
      </c>
      <c r="E431" s="1" t="n">
        <v>46253</v>
      </c>
      <c r="F431" t="inlineStr">
        <is>
          <t>SÖDERMANLANDS LÄN</t>
        </is>
      </c>
      <c r="G431" t="inlineStr">
        <is>
          <t>ESKILSTUNA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44729</v>
      </c>
      <c r="E432" s="1" t="n">
        <v>46253</v>
      </c>
      <c r="F432" t="inlineStr">
        <is>
          <t>SÖDERMANLANDS LÄN</t>
        </is>
      </c>
      <c r="G432" t="inlineStr">
        <is>
          <t>ESKILSTUNA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59151-2022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44904</v>
      </c>
      <c r="E433" s="1" t="n">
        <v>46253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44946</v>
      </c>
      <c r="E434" s="1" t="n">
        <v>46253</v>
      </c>
      <c r="F434" t="inlineStr">
        <is>
          <t>SÖDERMANLANDS LÄN</t>
        </is>
      </c>
      <c r="G434" t="inlineStr">
        <is>
          <t>ESKILSTUNA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57541-2022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44889</v>
      </c>
      <c r="E435" s="1" t="n">
        <v>46253</v>
      </c>
      <c r="F435" t="inlineStr">
        <is>
          <t>SÖDERMANLANDS LÄN</t>
        </is>
      </c>
      <c r="G435" t="inlineStr">
        <is>
          <t>ESKILSTUNA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44592</v>
      </c>
      <c r="E436" s="1" t="n">
        <v>46253</v>
      </c>
      <c r="F436" t="inlineStr">
        <is>
          <t>SÖDERMANLANDS LÄN</t>
        </is>
      </c>
      <c r="G436" t="inlineStr">
        <is>
          <t>ESKILSTUNA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46253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Allmännings- och besparingsskogar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35076-2022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44797</v>
      </c>
      <c r="E438" s="1" t="n">
        <v>46253</v>
      </c>
      <c r="F438" t="inlineStr">
        <is>
          <t>SÖDERMANLANDS LÄN</t>
        </is>
      </c>
      <c r="G438" t="inlineStr">
        <is>
          <t>ESKILSTUNA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45329</v>
      </c>
      <c r="E439" s="1" t="n">
        <v>46253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Kyrkan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46253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46253</v>
      </c>
      <c r="F441" t="inlineStr">
        <is>
          <t>SÖDERMANLANDS LÄN</t>
        </is>
      </c>
      <c r="G441" t="inlineStr">
        <is>
          <t>ESKILSTUNA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46253</v>
      </c>
      <c r="F442" t="inlineStr">
        <is>
          <t>SÖDERMANLANDS LÄN</t>
        </is>
      </c>
      <c r="G442" t="inlineStr">
        <is>
          <t>ESKILSTUNA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46253</v>
      </c>
      <c r="F443" t="inlineStr">
        <is>
          <t>SÖDERMANLANDS LÄN</t>
        </is>
      </c>
      <c r="G443" t="inlineStr">
        <is>
          <t>ESKILSTUNA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36648-2022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44804</v>
      </c>
      <c r="E444" s="1" t="n">
        <v>46253</v>
      </c>
      <c r="F444" t="inlineStr">
        <is>
          <t>SÖDERMANLANDS LÄN</t>
        </is>
      </c>
      <c r="G444" t="inlineStr">
        <is>
          <t>ESKILSTUNA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39543-2023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45167</v>
      </c>
      <c r="E445" s="1" t="n">
        <v>46253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44732</v>
      </c>
      <c r="E446" s="1" t="n">
        <v>46253</v>
      </c>
      <c r="F446" t="inlineStr">
        <is>
          <t>SÖDERMANLANDS LÄN</t>
        </is>
      </c>
      <c r="G446" t="inlineStr">
        <is>
          <t>ESKILSTUNA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31002-2023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46253</v>
      </c>
      <c r="F447" t="inlineStr">
        <is>
          <t>SÖDERMANLANDS LÄN</t>
        </is>
      </c>
      <c r="G447" t="inlineStr">
        <is>
          <t>ESKILSTUNA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45664</v>
      </c>
      <c r="E448" s="1" t="n">
        <v>46253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61989-2023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45266</v>
      </c>
      <c r="E449" s="1" t="n">
        <v>46253</v>
      </c>
      <c r="F449" t="inlineStr">
        <is>
          <t>SÖDERMANLANDS LÄN</t>
        </is>
      </c>
      <c r="G449" t="inlineStr">
        <is>
          <t>ESKILSTUNA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45518</v>
      </c>
      <c r="E450" s="1" t="n">
        <v>46253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Övriga Aktiebolag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45708</v>
      </c>
      <c r="E451" s="1" t="n">
        <v>46253</v>
      </c>
      <c r="F451" t="inlineStr">
        <is>
          <t>SÖDERMANLANDS LÄN</t>
        </is>
      </c>
      <c r="G451" t="inlineStr">
        <is>
          <t>ESKILSTUNA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45303</v>
      </c>
      <c r="E452" s="1" t="n">
        <v>46253</v>
      </c>
      <c r="F452" t="inlineStr">
        <is>
          <t>SÖDERMANLANDS LÄN</t>
        </is>
      </c>
      <c r="G452" t="inlineStr">
        <is>
          <t>ESKILSTUNA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1346-2024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45303</v>
      </c>
      <c r="E453" s="1" t="n">
        <v>46253</v>
      </c>
      <c r="F453" t="inlineStr">
        <is>
          <t>SÖDERMANLANDS LÄN</t>
        </is>
      </c>
      <c r="G453" t="inlineStr">
        <is>
          <t>ESKILSTUNA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53098-2022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44873</v>
      </c>
      <c r="E454" s="1" t="n">
        <v>46253</v>
      </c>
      <c r="F454" t="inlineStr">
        <is>
          <t>SÖDERMANLANDS LÄN</t>
        </is>
      </c>
      <c r="G454" t="inlineStr">
        <is>
          <t>ESKILSTUNA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44965</v>
      </c>
      <c r="E455" s="1" t="n">
        <v>46253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11705-2022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44634</v>
      </c>
      <c r="E456" s="1" t="n">
        <v>46253</v>
      </c>
      <c r="F456" t="inlineStr">
        <is>
          <t>SÖDERMANLANDS LÄN</t>
        </is>
      </c>
      <c r="G456" t="inlineStr">
        <is>
          <t>ESKILSTUNA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45209</v>
      </c>
      <c r="E457" s="1" t="n">
        <v>46253</v>
      </c>
      <c r="F457" t="inlineStr">
        <is>
          <t>SÖDERMANLANDS LÄN</t>
        </is>
      </c>
      <c r="G457" t="inlineStr">
        <is>
          <t>ESKILSTUNA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46253</v>
      </c>
      <c r="F458" t="inlineStr">
        <is>
          <t>SÖDERMANLANDS LÄN</t>
        </is>
      </c>
      <c r="G458" t="inlineStr">
        <is>
          <t>ESKILSTUNA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44844</v>
      </c>
      <c r="E459" s="1" t="n">
        <v>46253</v>
      </c>
      <c r="F459" t="inlineStr">
        <is>
          <t>SÖDERMANLANDS LÄN</t>
        </is>
      </c>
      <c r="G459" t="inlineStr">
        <is>
          <t>ESKILSTUNA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44942</v>
      </c>
      <c r="E460" s="1" t="n">
        <v>46253</v>
      </c>
      <c r="F460" t="inlineStr">
        <is>
          <t>SÖDERMANLANDS LÄN</t>
        </is>
      </c>
      <c r="G460" t="inlineStr">
        <is>
          <t>ESKILSTUNA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45514</v>
      </c>
      <c r="E461" s="1" t="n">
        <v>46253</v>
      </c>
      <c r="F461" t="inlineStr">
        <is>
          <t>SÖDERMANLANDS LÄN</t>
        </is>
      </c>
      <c r="G461" t="inlineStr">
        <is>
          <t>ESKILSTUNA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20842-2023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45058</v>
      </c>
      <c r="E462" s="1" t="n">
        <v>46253</v>
      </c>
      <c r="F462" t="inlineStr">
        <is>
          <t>SÖDERMANLANDS LÄN</t>
        </is>
      </c>
      <c r="G462" t="inlineStr">
        <is>
          <t>ESKILSTUNA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33585-2022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44789</v>
      </c>
      <c r="E463" s="1" t="n">
        <v>46253</v>
      </c>
      <c r="F463" t="inlineStr">
        <is>
          <t>SÖDERMANLANDS LÄN</t>
        </is>
      </c>
      <c r="G463" t="inlineStr">
        <is>
          <t>ESKILSTUNA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45341</v>
      </c>
      <c r="E464" s="1" t="n">
        <v>46253</v>
      </c>
      <c r="F464" t="inlineStr">
        <is>
          <t>SÖDERMANLANDS LÄN</t>
        </is>
      </c>
      <c r="G464" t="inlineStr">
        <is>
          <t>ESKILSTUNA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46253</v>
      </c>
      <c r="F465" t="inlineStr">
        <is>
          <t>SÖDERMANLANDS LÄN</t>
        </is>
      </c>
      <c r="G465" t="inlineStr">
        <is>
          <t>ESKILSTUNA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15592-2023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45020</v>
      </c>
      <c r="E466" s="1" t="n">
        <v>46253</v>
      </c>
      <c r="F466" t="inlineStr">
        <is>
          <t>SÖDERMANLANDS LÄN</t>
        </is>
      </c>
      <c r="G466" t="inlineStr">
        <is>
          <t>ESKILSTUNA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6659-2024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45341</v>
      </c>
      <c r="E467" s="1" t="n">
        <v>46253</v>
      </c>
      <c r="F467" t="inlineStr">
        <is>
          <t>SÖDERMANLANDS LÄN</t>
        </is>
      </c>
      <c r="G467" t="inlineStr">
        <is>
          <t>ESKILSTUNA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46253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46253</v>
      </c>
      <c r="F469" t="inlineStr">
        <is>
          <t>SÖDERMANLANDS LÄN</t>
        </is>
      </c>
      <c r="G469" t="inlineStr">
        <is>
          <t>ESKILSTUNA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59138-2024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46253</v>
      </c>
      <c r="F470" t="inlineStr">
        <is>
          <t>SÖDERMANLANDS LÄN</t>
        </is>
      </c>
      <c r="G470" t="inlineStr">
        <is>
          <t>ESKILSTUNA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45301</v>
      </c>
      <c r="E471" s="1" t="n">
        <v>46253</v>
      </c>
      <c r="F471" t="inlineStr">
        <is>
          <t>SÖDERMANLANDS LÄN</t>
        </is>
      </c>
      <c r="G471" t="inlineStr">
        <is>
          <t>ESKILSTUNA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53181-2024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45611</v>
      </c>
      <c r="E472" s="1" t="n">
        <v>46253</v>
      </c>
      <c r="F472" t="inlineStr">
        <is>
          <t>SÖDERMANLANDS LÄN</t>
        </is>
      </c>
      <c r="G472" t="inlineStr">
        <is>
          <t>ESKILSTUNA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1538-2025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45670</v>
      </c>
      <c r="E473" s="1" t="n">
        <v>46253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70560-2021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44536</v>
      </c>
      <c r="E474" s="1" t="n">
        <v>46253</v>
      </c>
      <c r="F474" t="inlineStr">
        <is>
          <t>SÖDERMANLANDS LÄN</t>
        </is>
      </c>
      <c r="G474" t="inlineStr">
        <is>
          <t>ESKILSTUNA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46253</v>
      </c>
      <c r="F475" t="inlineStr">
        <is>
          <t>SÖDERMANLANDS LÄN</t>
        </is>
      </c>
      <c r="G475" t="inlineStr">
        <is>
          <t>ESKILSTUNA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46253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45642</v>
      </c>
      <c r="E477" s="1" t="n">
        <v>46253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44953</v>
      </c>
      <c r="E478" s="1" t="n">
        <v>46253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46253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46253</v>
      </c>
      <c r="F480" t="inlineStr">
        <is>
          <t>SÖDERMANLANDS LÄN</t>
        </is>
      </c>
      <c r="G480" t="inlineStr">
        <is>
          <t>ESKILSTUNA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46253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46253</v>
      </c>
      <c r="F482" t="inlineStr">
        <is>
          <t>SÖDERMANLANDS LÄN</t>
        </is>
      </c>
      <c r="G482" t="inlineStr">
        <is>
          <t>ESKILSTUNA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46253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46253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46253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46253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45798</v>
      </c>
      <c r="E487" s="1" t="n">
        <v>46253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46253</v>
      </c>
      <c r="F488" t="inlineStr">
        <is>
          <t>SÖDERMANLANDS LÄN</t>
        </is>
      </c>
      <c r="G488" t="inlineStr">
        <is>
          <t>ESKILSTUNA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46253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46253</v>
      </c>
      <c r="F490" t="inlineStr">
        <is>
          <t>SÖDERMANLANDS LÄN</t>
        </is>
      </c>
      <c r="G490" t="inlineStr">
        <is>
          <t>ESKILSTUNA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43488-2024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45568</v>
      </c>
      <c r="E491" s="1" t="n">
        <v>46253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Allmännings- och besparingsskogar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43489-2024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46253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46253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46253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46253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46253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46253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46253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46253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46253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46253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46253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46253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46253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46253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2026-08-19T01:44:42Z</dcterms:created>
  <dcterms:modified xmlns:dcterms="http://purl.org/dc/terms/" xmlns:xsi="http://www.w3.org/2001/XMLSchema-instance" xsi:type="dcterms:W3CDTF">2026-08-19T01:44:42Z</dcterms:modified>
</cp:coreProperties>
</file>