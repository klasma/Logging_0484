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46276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46276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46276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46276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46276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46276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46276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46276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46276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46276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46276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46276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46276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46276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46276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46276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46276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46276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46276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46276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46276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46276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46276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46276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46276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46276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46276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46276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46276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46276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46276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46276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46276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46276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46276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46276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46276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46276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8518-2026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46065</v>
      </c>
      <c r="E69" s="1" t="n">
        <v>46276</v>
      </c>
      <c r="F69" t="inlineStr">
        <is>
          <t>SÖDERMANLANDS LÄN</t>
        </is>
      </c>
      <c r="G69" t="inlineStr">
        <is>
          <t>ESKILSTUNA</t>
        </is>
      </c>
      <c r="I69" t="n">
        <v>8.9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Igelkott</t>
        </is>
      </c>
      <c r="W69">
        <f>HYPERLINK("https://klasma.github.io/Logging_0484/artfynd/A 8518-2026 artfynd.xlsx", "A 8518-2026")</f>
        <v/>
      </c>
      <c r="X69">
        <f>HYPERLINK("https://klasma.github.io/Logging_0484/kartor/A 8518-2026 karta.png", "A 8518-2026")</f>
        <v/>
      </c>
      <c r="Y69">
        <f>HYPERLINK("https://klasma.github.io/Logging_0484/kartor_geotiff/A 8518-2026 georefererad karta.tif", "A 8518-2026")</f>
        <v/>
      </c>
      <c r="AA69">
        <f>HYPERLINK("https://klasma.github.io/Logging_0484/klagomål/A 8518-2026 FSC-klagomål.docx", "A 8518-2026")</f>
        <v/>
      </c>
      <c r="AB69">
        <f>HYPERLINK("https://klasma.github.io/Logging_0484/klagomålsmail/A 8518-2026 FSC-klagomål mail.docx", "A 8518-2026")</f>
        <v/>
      </c>
      <c r="AC69">
        <f>HYPERLINK("https://klasma.github.io/Logging_0484/tillsyn/A 8518-2026 tillsynsbegäran.docx", "A 8518-2026")</f>
        <v/>
      </c>
      <c r="AD69">
        <f>HYPERLINK("https://klasma.github.io/Logging_0484/tillsynsmail/A 8518-2026 tillsynsbegäran mail.docx", "A 8518-2026")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46276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46276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46276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46276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46276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46276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46276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46276</v>
      </c>
      <c r="F77" t="inlineStr">
        <is>
          <t>SÖDERMANLANDS LÄN</t>
        </is>
      </c>
      <c r="G77" t="inlineStr">
        <is>
          <t>ESKILSTUNA</t>
        </is>
      </c>
      <c r="I77" t="n">
        <v>8.4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Bronshjon</t>
        </is>
      </c>
      <c r="W77">
        <f>HYPERLINK("https://klasma.github.io/Logging_0484/artfynd/A 48676-2021 artfynd.xlsx", "A 48676-2021")</f>
        <v/>
      </c>
      <c r="X77">
        <f>HYPERLINK("https://klasma.github.io/Logging_0484/kartor/A 48676-2021 karta.png", "A 48676-2021")</f>
        <v/>
      </c>
      <c r="Y77">
        <f>HYPERLINK("https://klasma.github.io/Logging_0484/kartor_geotiff/A 48676-2021 georefererad karta.tif", "A 48676-2021")</f>
        <v/>
      </c>
      <c r="AA77">
        <f>HYPERLINK("https://klasma.github.io/Logging_0484/klagomål/A 48676-2021 FSC-klagomål.docx", "A 48676-2021")</f>
        <v/>
      </c>
      <c r="AB77">
        <f>HYPERLINK("https://klasma.github.io/Logging_0484/klagomålsmail/A 48676-2021 FSC-klagomål mail.docx", "A 48676-2021")</f>
        <v/>
      </c>
      <c r="AC77">
        <f>HYPERLINK("https://klasma.github.io/Logging_0484/tillsyn/A 48676-2021 tillsynsbegäran.docx", "A 48676-2021")</f>
        <v/>
      </c>
      <c r="AD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46276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46276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46276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46276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46276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46276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46276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33004-2026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46244</v>
      </c>
      <c r="E85" s="1" t="n">
        <v>46276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33004-2026 artfynd.xlsx", "A 33004-2026")</f>
        <v/>
      </c>
      <c r="X85">
        <f>HYPERLINK("https://klasma.github.io/Logging_0484/kartor/A 33004-2026 karta.png", "A 33004-2026")</f>
        <v/>
      </c>
      <c r="Y85">
        <f>HYPERLINK("https://klasma.github.io/Logging_0484/kartor_geotiff/A 33004-2026 georefererad karta.tif", "A 33004-2026")</f>
        <v/>
      </c>
      <c r="AA85">
        <f>HYPERLINK("https://klasma.github.io/Logging_0484/klagomål/A 33004-2026 FSC-klagomål.docx", "A 33004-2026")</f>
        <v/>
      </c>
      <c r="AB85">
        <f>HYPERLINK("https://klasma.github.io/Logging_0484/klagomålsmail/A 33004-2026 FSC-klagomål mail.docx", "A 33004-2026")</f>
        <v/>
      </c>
      <c r="AC85">
        <f>HYPERLINK("https://klasma.github.io/Logging_0484/tillsyn/A 33004-2026 tillsynsbegäran.docx", "A 33004-2026")</f>
        <v/>
      </c>
      <c r="AD85">
        <f>HYPERLINK("https://klasma.github.io/Logging_0484/tillsynsmail/A 33004-2026 tillsynsbegäran mail.docx", "A 33004-2026")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46276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46276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46276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46276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46276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46276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46276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46276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46276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46276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46276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46276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46276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46276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46276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46276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46276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46276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46276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46276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46276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46276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46276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46276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46276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46276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46276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46276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46276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46276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46276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46276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46276</v>
      </c>
      <c r="F118" t="inlineStr">
        <is>
          <t>SÖDERMANLANDS LÄN</t>
        </is>
      </c>
      <c r="G118" t="inlineStr">
        <is>
          <t>ESKILSTUNA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46276</v>
      </c>
      <c r="F119" t="inlineStr">
        <is>
          <t>SÖDERMANLANDS LÄN</t>
        </is>
      </c>
      <c r="G119" t="inlineStr">
        <is>
          <t>ESKILSTUNA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46276</v>
      </c>
      <c r="F120" t="inlineStr">
        <is>
          <t>SÖDERMANLANDS LÄN</t>
        </is>
      </c>
      <c r="G120" t="inlineStr">
        <is>
          <t>ESKILSTUNA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46276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46276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46276</v>
      </c>
      <c r="F123" t="inlineStr">
        <is>
          <t>SÖDERMANLANDS LÄN</t>
        </is>
      </c>
      <c r="G123" t="inlineStr">
        <is>
          <t>ESKILSTUNA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46276</v>
      </c>
      <c r="F124" t="inlineStr">
        <is>
          <t>SÖDERMANLANDS LÄN</t>
        </is>
      </c>
      <c r="G124" t="inlineStr">
        <is>
          <t>ESKILSTUNA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46276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44628</v>
      </c>
      <c r="E126" s="1" t="n">
        <v>46276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46276</v>
      </c>
      <c r="F127" t="inlineStr">
        <is>
          <t>SÖDERMANLANDS LÄN</t>
        </is>
      </c>
      <c r="G127" t="inlineStr">
        <is>
          <t>ESKILSTUNA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70490-2021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46276</v>
      </c>
      <c r="F128" t="inlineStr">
        <is>
          <t>SÖDERMANLANDS LÄN</t>
        </is>
      </c>
      <c r="G128" t="inlineStr">
        <is>
          <t>ESKILSTUNA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46276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46276</v>
      </c>
      <c r="F130" t="inlineStr">
        <is>
          <t>SÖDERMANLANDS LÄN</t>
        </is>
      </c>
      <c r="G130" t="inlineStr">
        <is>
          <t>ESKILSTUNA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46276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46276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46276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46276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46276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Naturvårdsverket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46276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46276</v>
      </c>
      <c r="F137" t="inlineStr">
        <is>
          <t>SÖDERMANLANDS LÄN</t>
        </is>
      </c>
      <c r="G137" t="inlineStr">
        <is>
          <t>ESKILSTUNA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46276</v>
      </c>
      <c r="F138" t="inlineStr">
        <is>
          <t>SÖDERMANLANDS LÄN</t>
        </is>
      </c>
      <c r="G138" t="inlineStr">
        <is>
          <t>ESKILSTUNA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46276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46276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46276</v>
      </c>
      <c r="F141" t="inlineStr">
        <is>
          <t>SÖDERMANLANDS LÄN</t>
        </is>
      </c>
      <c r="G141" t="inlineStr">
        <is>
          <t>ESKILSTUNA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46276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46276</v>
      </c>
      <c r="F143" t="inlineStr">
        <is>
          <t>SÖDERMANLANDS LÄN</t>
        </is>
      </c>
      <c r="G143" t="inlineStr">
        <is>
          <t>ESKILSTUNA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46276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46276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46276</v>
      </c>
      <c r="F146" t="inlineStr">
        <is>
          <t>SÖDERMANLANDS LÄN</t>
        </is>
      </c>
      <c r="G146" t="inlineStr">
        <is>
          <t>ESKILSTUNA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46276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46276</v>
      </c>
      <c r="F148" t="inlineStr">
        <is>
          <t>SÖDERMANLANDS LÄN</t>
        </is>
      </c>
      <c r="G148" t="inlineStr">
        <is>
          <t>ESKILSTUNA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46276</v>
      </c>
      <c r="F149" t="inlineStr">
        <is>
          <t>SÖDERMANLANDS LÄN</t>
        </is>
      </c>
      <c r="G149" t="inlineStr">
        <is>
          <t>ESKILSTUNA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46276</v>
      </c>
      <c r="F150" t="inlineStr">
        <is>
          <t>SÖDERMANLANDS LÄN</t>
        </is>
      </c>
      <c r="G150" t="inlineStr">
        <is>
          <t>ESKILSTUNA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46276</v>
      </c>
      <c r="F151" t="inlineStr">
        <is>
          <t>SÖDERMANLANDS LÄN</t>
        </is>
      </c>
      <c r="G151" t="inlineStr">
        <is>
          <t>ESKILSTUNA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44636</v>
      </c>
      <c r="E152" s="1" t="n">
        <v>46276</v>
      </c>
      <c r="F152" t="inlineStr">
        <is>
          <t>SÖDERMANLANDS LÄN</t>
        </is>
      </c>
      <c r="G152" t="inlineStr">
        <is>
          <t>ESKILSTUNA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44782</v>
      </c>
      <c r="E153" s="1" t="n">
        <v>46276</v>
      </c>
      <c r="F153" t="inlineStr">
        <is>
          <t>SÖDERMANLANDS LÄN</t>
        </is>
      </c>
      <c r="G153" t="inlineStr">
        <is>
          <t>ESKILSTUNA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46276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70191-2021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44533</v>
      </c>
      <c r="E155" s="1" t="n">
        <v>46276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46276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46276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46276</v>
      </c>
      <c r="F158" t="inlineStr">
        <is>
          <t>SÖDERMANLANDS LÄN</t>
        </is>
      </c>
      <c r="G158" t="inlineStr">
        <is>
          <t>ESKILSTUNA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46276</v>
      </c>
      <c r="F159" t="inlineStr">
        <is>
          <t>SÖDERMANLANDS LÄN</t>
        </is>
      </c>
      <c r="G159" t="inlineStr">
        <is>
          <t>ESKILSTUNA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46276</v>
      </c>
      <c r="F160" t="inlineStr">
        <is>
          <t>SÖDERMANLANDS LÄN</t>
        </is>
      </c>
      <c r="G160" t="inlineStr">
        <is>
          <t>ESKILSTUNA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46276</v>
      </c>
      <c r="F161" t="inlineStr">
        <is>
          <t>SÖDERMANLANDS LÄN</t>
        </is>
      </c>
      <c r="G161" t="inlineStr">
        <is>
          <t>ESKILSTUNA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44664</v>
      </c>
      <c r="E162" s="1" t="n">
        <v>46276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44755</v>
      </c>
      <c r="E163" s="1" t="n">
        <v>46276</v>
      </c>
      <c r="F163" t="inlineStr">
        <is>
          <t>SÖDERMANLANDS LÄN</t>
        </is>
      </c>
      <c r="G163" t="inlineStr">
        <is>
          <t>ESKILSTUNA</t>
        </is>
      </c>
      <c r="I163" t="n">
        <v>20.1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46276</v>
      </c>
      <c r="F164" t="inlineStr">
        <is>
          <t>SÖDERMANLANDS LÄN</t>
        </is>
      </c>
      <c r="G164" t="inlineStr">
        <is>
          <t>ESKILSTUNA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46276</v>
      </c>
      <c r="F165" t="inlineStr">
        <is>
          <t>SÖDERMANLANDS LÄN</t>
        </is>
      </c>
      <c r="G165" t="inlineStr">
        <is>
          <t>ESKILSTUNA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46276</v>
      </c>
      <c r="F166" t="inlineStr">
        <is>
          <t>SÖDERMANLANDS LÄN</t>
        </is>
      </c>
      <c r="G166" t="inlineStr">
        <is>
          <t>ESKILSTUNA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46276</v>
      </c>
      <c r="F167" t="inlineStr">
        <is>
          <t>SÖDERMANLANDS LÄN</t>
        </is>
      </c>
      <c r="G167" t="inlineStr">
        <is>
          <t>ESKILSTUNA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46276</v>
      </c>
      <c r="F168" t="inlineStr">
        <is>
          <t>SÖDERMANLANDS LÄN</t>
        </is>
      </c>
      <c r="G168" t="inlineStr">
        <is>
          <t>ESKILSTUNA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46276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Kommuner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46276</v>
      </c>
      <c r="F170" t="inlineStr">
        <is>
          <t>SÖDERMANLANDS LÄN</t>
        </is>
      </c>
      <c r="G170" t="inlineStr">
        <is>
          <t>ESKILSTUNA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15592-2023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45020</v>
      </c>
      <c r="E171" s="1" t="n">
        <v>46276</v>
      </c>
      <c r="F171" t="inlineStr">
        <is>
          <t>SÖDERMANLANDS LÄN</t>
        </is>
      </c>
      <c r="G171" t="inlineStr">
        <is>
          <t>ESKILSTUNA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46276</v>
      </c>
      <c r="F172" t="inlineStr">
        <is>
          <t>SÖDERMANLANDS LÄN</t>
        </is>
      </c>
      <c r="G172" t="inlineStr">
        <is>
          <t>ESKILSTUNA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65595-2021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44516</v>
      </c>
      <c r="E173" s="1" t="n">
        <v>46276</v>
      </c>
      <c r="F173" t="inlineStr">
        <is>
          <t>SÖDERMANLANDS LÄN</t>
        </is>
      </c>
      <c r="G173" t="inlineStr">
        <is>
          <t>ESKILSTUNA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46276</v>
      </c>
      <c r="F174" t="inlineStr">
        <is>
          <t>SÖDERMANLANDS LÄN</t>
        </is>
      </c>
      <c r="G174" t="inlineStr">
        <is>
          <t>ESKILSTUNA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46276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Övriga Aktiebolag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46276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46276</v>
      </c>
      <c r="F177" t="inlineStr">
        <is>
          <t>SÖDERMANLANDS LÄN</t>
        </is>
      </c>
      <c r="G177" t="inlineStr">
        <is>
          <t>ESKILSTUNA</t>
        </is>
      </c>
      <c r="I177" t="n">
        <v>11.6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45514</v>
      </c>
      <c r="E178" s="1" t="n">
        <v>46276</v>
      </c>
      <c r="F178" t="inlineStr">
        <is>
          <t>SÖDERMANLANDS LÄN</t>
        </is>
      </c>
      <c r="G178" t="inlineStr">
        <is>
          <t>ESKILSTUNA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30968-2022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44768</v>
      </c>
      <c r="E179" s="1" t="n">
        <v>46276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46276</v>
      </c>
      <c r="F180" t="inlineStr">
        <is>
          <t>SÖDERMANLANDS LÄN</t>
        </is>
      </c>
      <c r="G180" t="inlineStr">
        <is>
          <t>ESKILSTUNA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46276</v>
      </c>
      <c r="F181" t="inlineStr">
        <is>
          <t>SÖDERMANLANDS LÄN</t>
        </is>
      </c>
      <c r="G181" t="inlineStr">
        <is>
          <t>ESKILSTUNA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45301</v>
      </c>
      <c r="E182" s="1" t="n">
        <v>46276</v>
      </c>
      <c r="F182" t="inlineStr">
        <is>
          <t>SÖDERMANLANDS LÄN</t>
        </is>
      </c>
      <c r="G182" t="inlineStr">
        <is>
          <t>ESKILSTUNA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46276</v>
      </c>
      <c r="F183" t="inlineStr">
        <is>
          <t>SÖDERMANLANDS LÄN</t>
        </is>
      </c>
      <c r="G183" t="inlineStr">
        <is>
          <t>ESKILSTUNA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46276</v>
      </c>
      <c r="F184" t="inlineStr">
        <is>
          <t>SÖDERMANLANDS LÄN</t>
        </is>
      </c>
      <c r="G184" t="inlineStr">
        <is>
          <t>ESKILSTUNA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46276</v>
      </c>
      <c r="F185" t="inlineStr">
        <is>
          <t>SÖDERMANLANDS LÄN</t>
        </is>
      </c>
      <c r="G185" t="inlineStr">
        <is>
          <t>ESKILSTUNA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44729</v>
      </c>
      <c r="E186" s="1" t="n">
        <v>46276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44889</v>
      </c>
      <c r="E187" s="1" t="n">
        <v>46276</v>
      </c>
      <c r="F187" t="inlineStr">
        <is>
          <t>SÖDERMANLANDS LÄN</t>
        </is>
      </c>
      <c r="G187" t="inlineStr">
        <is>
          <t>ESKILSTUNA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46276</v>
      </c>
      <c r="F188" t="inlineStr">
        <is>
          <t>SÖDERMANLANDS LÄN</t>
        </is>
      </c>
      <c r="G188" t="inlineStr">
        <is>
          <t>ESKILSTUNA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46276</v>
      </c>
      <c r="F189" t="inlineStr">
        <is>
          <t>SÖDERMANLANDS LÄN</t>
        </is>
      </c>
      <c r="G189" t="inlineStr">
        <is>
          <t>ESKILSTUNA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46276</v>
      </c>
      <c r="F190" t="inlineStr">
        <is>
          <t>SÖDERMANLANDS LÄN</t>
        </is>
      </c>
      <c r="G190" t="inlineStr">
        <is>
          <t>ESKILSTUNA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46276</v>
      </c>
      <c r="F191" t="inlineStr">
        <is>
          <t>SÖDERMANLANDS LÄN</t>
        </is>
      </c>
      <c r="G191" t="inlineStr">
        <is>
          <t>ESKILSTUNA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45798</v>
      </c>
      <c r="E192" s="1" t="n">
        <v>46276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24535-2025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45798</v>
      </c>
      <c r="E193" s="1" t="n">
        <v>46276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45798</v>
      </c>
      <c r="E194" s="1" t="n">
        <v>46276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46276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46276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46276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46276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24537-2025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45798</v>
      </c>
      <c r="E199" s="1" t="n">
        <v>46276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38895-2023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45163</v>
      </c>
      <c r="E200" s="1" t="n">
        <v>46276</v>
      </c>
      <c r="F200" t="inlineStr">
        <is>
          <t>SÖDERMANLANDS LÄN</t>
        </is>
      </c>
      <c r="G200" t="inlineStr">
        <is>
          <t>ESKILSTUNA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46276</v>
      </c>
      <c r="F201" t="inlineStr">
        <is>
          <t>SÖDERMANLANDS LÄN</t>
        </is>
      </c>
      <c r="G201" t="inlineStr">
        <is>
          <t>ESKILSTUNA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45882-2022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46276</v>
      </c>
      <c r="F202" t="inlineStr">
        <is>
          <t>SÖDERMANLANDS LÄN</t>
        </is>
      </c>
      <c r="G202" t="inlineStr">
        <is>
          <t>ESKILSTUNA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46276</v>
      </c>
      <c r="F203" t="inlineStr">
        <is>
          <t>SÖDERMANLANDS LÄN</t>
        </is>
      </c>
      <c r="G203" t="inlineStr">
        <is>
          <t>ESKILSTUNA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44883</v>
      </c>
      <c r="E204" s="1" t="n">
        <v>46276</v>
      </c>
      <c r="F204" t="inlineStr">
        <is>
          <t>SÖDERMANLANDS LÄN</t>
        </is>
      </c>
      <c r="G204" t="inlineStr">
        <is>
          <t>ESKILSTUNA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44626</v>
      </c>
      <c r="E205" s="1" t="n">
        <v>46276</v>
      </c>
      <c r="F205" t="inlineStr">
        <is>
          <t>SÖDERMANLANDS LÄN</t>
        </is>
      </c>
      <c r="G205" t="inlineStr">
        <is>
          <t>ESKILSTUNA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45708</v>
      </c>
      <c r="E206" s="1" t="n">
        <v>46276</v>
      </c>
      <c r="F206" t="inlineStr">
        <is>
          <t>SÖDERMANLANDS LÄN</t>
        </is>
      </c>
      <c r="G206" t="inlineStr">
        <is>
          <t>ESKILSTUNA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61830-2023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45266</v>
      </c>
      <c r="E207" s="1" t="n">
        <v>46276</v>
      </c>
      <c r="F207" t="inlineStr">
        <is>
          <t>SÖDERMANLANDS LÄN</t>
        </is>
      </c>
      <c r="G207" t="inlineStr">
        <is>
          <t>ESKILSTUNA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46276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46276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46276</v>
      </c>
      <c r="F210" t="inlineStr">
        <is>
          <t>SÖDERMANLANDS LÄN</t>
        </is>
      </c>
      <c r="G210" t="inlineStr">
        <is>
          <t>ESKILSTUNA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46276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46276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46276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46276</v>
      </c>
      <c r="F214" t="inlineStr">
        <is>
          <t>SÖDERMANLANDS LÄN</t>
        </is>
      </c>
      <c r="G214" t="inlineStr">
        <is>
          <t>ESKILSTUNA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45365</v>
      </c>
      <c r="E215" s="1" t="n">
        <v>46276</v>
      </c>
      <c r="F215" t="inlineStr">
        <is>
          <t>SÖDERMANLANDS LÄN</t>
        </is>
      </c>
      <c r="G215" t="inlineStr">
        <is>
          <t>ESKILSTUNA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46276</v>
      </c>
      <c r="F216" t="inlineStr">
        <is>
          <t>SÖDERMANLANDS LÄN</t>
        </is>
      </c>
      <c r="G216" t="inlineStr">
        <is>
          <t>ESKILSTUNA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30096-2025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45826</v>
      </c>
      <c r="E217" s="1" t="n">
        <v>46276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46276</v>
      </c>
      <c r="F218" t="inlineStr">
        <is>
          <t>SÖDERMANLANDS LÄN</t>
        </is>
      </c>
      <c r="G218" t="inlineStr">
        <is>
          <t>ESKILSTUNA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46276</v>
      </c>
      <c r="F219" t="inlineStr">
        <is>
          <t>SÖDERMANLANDS LÄN</t>
        </is>
      </c>
      <c r="G219" t="inlineStr">
        <is>
          <t>ESKILSTUNA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46276</v>
      </c>
      <c r="F220" t="inlineStr">
        <is>
          <t>SÖDERMANLANDS LÄN</t>
        </is>
      </c>
      <c r="G220" t="inlineStr">
        <is>
          <t>ESKILSTUNA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46276</v>
      </c>
      <c r="F221" t="inlineStr">
        <is>
          <t>SÖDERMANLANDS LÄN</t>
        </is>
      </c>
      <c r="G221" t="inlineStr">
        <is>
          <t>ESKILSTUNA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44889</v>
      </c>
      <c r="E222" s="1" t="n">
        <v>46276</v>
      </c>
      <c r="F222" t="inlineStr">
        <is>
          <t>SÖDERMANLANDS LÄN</t>
        </is>
      </c>
      <c r="G222" t="inlineStr">
        <is>
          <t>ESKILSTUNA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45006</v>
      </c>
      <c r="E223" s="1" t="n">
        <v>46276</v>
      </c>
      <c r="F223" t="inlineStr">
        <is>
          <t>SÖDERMANLANDS LÄN</t>
        </is>
      </c>
      <c r="G223" t="inlineStr">
        <is>
          <t>ESKILSTUNA</t>
        </is>
      </c>
      <c r="I223" t="n">
        <v>16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46276</v>
      </c>
      <c r="F224" t="inlineStr">
        <is>
          <t>SÖDERMANLANDS LÄN</t>
        </is>
      </c>
      <c r="G224" t="inlineStr">
        <is>
          <t>ESKILSTUNA</t>
        </is>
      </c>
      <c r="I224" t="n">
        <v>15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70265-2021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46276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44889</v>
      </c>
      <c r="E226" s="1" t="n">
        <v>46276</v>
      </c>
      <c r="F226" t="inlineStr">
        <is>
          <t>SÖDERMANLANDS LÄN</t>
        </is>
      </c>
      <c r="G226" t="inlineStr">
        <is>
          <t>ESKILSTUNA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46276</v>
      </c>
      <c r="F227" t="inlineStr">
        <is>
          <t>SÖDERMANLANDS LÄN</t>
        </is>
      </c>
      <c r="G227" t="inlineStr">
        <is>
          <t>ESKILSTUNA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45685</v>
      </c>
      <c r="E228" s="1" t="n">
        <v>46276</v>
      </c>
      <c r="F228" t="inlineStr">
        <is>
          <t>SÖDERMANLANDS LÄN</t>
        </is>
      </c>
      <c r="G228" t="inlineStr">
        <is>
          <t>ESKILSTUNA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46276</v>
      </c>
      <c r="F229" t="inlineStr">
        <is>
          <t>SÖDERMANLANDS LÄN</t>
        </is>
      </c>
      <c r="G229" t="inlineStr">
        <is>
          <t>ESKILSTUNA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44537</v>
      </c>
      <c r="E230" s="1" t="n">
        <v>46276</v>
      </c>
      <c r="F230" t="inlineStr">
        <is>
          <t>SÖDERMANLANDS LÄN</t>
        </is>
      </c>
      <c r="G230" t="inlineStr">
        <is>
          <t>ESKILSTUNA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65614-2021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46276</v>
      </c>
      <c r="F231" t="inlineStr">
        <is>
          <t>SÖDERMANLANDS LÄN</t>
        </is>
      </c>
      <c r="G231" t="inlineStr">
        <is>
          <t>ESKILSTUNA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46276</v>
      </c>
      <c r="F232" t="inlineStr">
        <is>
          <t>SÖDERMANLANDS LÄN</t>
        </is>
      </c>
      <c r="G232" t="inlineStr">
        <is>
          <t>ESKILSTUNA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46276</v>
      </c>
      <c r="F233" t="inlineStr">
        <is>
          <t>SÖDERMANLANDS LÄN</t>
        </is>
      </c>
      <c r="G233" t="inlineStr">
        <is>
          <t>ESKILSTUNA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46276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Allmännings- och besparingsskogar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46276</v>
      </c>
      <c r="F235" t="inlineStr">
        <is>
          <t>SÖDERMANLANDS LÄN</t>
        </is>
      </c>
      <c r="G235" t="inlineStr">
        <is>
          <t>ESKILSTUNA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46276</v>
      </c>
      <c r="F236" t="inlineStr">
        <is>
          <t>SÖDERMANLANDS LÄN</t>
        </is>
      </c>
      <c r="G236" t="inlineStr">
        <is>
          <t>ESKILSTUNA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46276</v>
      </c>
      <c r="F237" t="inlineStr">
        <is>
          <t>SÖDERMANLANDS LÄN</t>
        </is>
      </c>
      <c r="G237" t="inlineStr">
        <is>
          <t>ESKILSTUNA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44983</v>
      </c>
      <c r="E238" s="1" t="n">
        <v>46276</v>
      </c>
      <c r="F238" t="inlineStr">
        <is>
          <t>SÖDERMANLANDS LÄN</t>
        </is>
      </c>
      <c r="G238" t="inlineStr">
        <is>
          <t>ESKILSTUNA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46276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46276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46276</v>
      </c>
      <c r="F241" t="inlineStr">
        <is>
          <t>SÖDERMANLANDS LÄN</t>
        </is>
      </c>
      <c r="G241" t="inlineStr">
        <is>
          <t>ESKILSTUNA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57304-2023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45245</v>
      </c>
      <c r="E242" s="1" t="n">
        <v>46276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46276</v>
      </c>
      <c r="F243" t="inlineStr">
        <is>
          <t>SÖDERMANLANDS LÄN</t>
        </is>
      </c>
      <c r="G243" t="inlineStr">
        <is>
          <t>ESKILSTUNA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46276</v>
      </c>
      <c r="F244" t="inlineStr">
        <is>
          <t>SÖDERMANLANDS LÄN</t>
        </is>
      </c>
      <c r="G244" t="inlineStr">
        <is>
          <t>ESKILSTUNA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46276</v>
      </c>
      <c r="F245" t="inlineStr">
        <is>
          <t>SÖDERMANLANDS LÄN</t>
        </is>
      </c>
      <c r="G245" t="inlineStr">
        <is>
          <t>ESKILSTUNA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45334</v>
      </c>
      <c r="E246" s="1" t="n">
        <v>46276</v>
      </c>
      <c r="F246" t="inlineStr">
        <is>
          <t>SÖDERMANLANDS LÄN</t>
        </is>
      </c>
      <c r="G246" t="inlineStr">
        <is>
          <t>ESKILSTUNA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46276</v>
      </c>
      <c r="F247" t="inlineStr">
        <is>
          <t>SÖDERMANLANDS LÄN</t>
        </is>
      </c>
      <c r="G247" t="inlineStr">
        <is>
          <t>ESKILSTUNA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46276</v>
      </c>
      <c r="F248" t="inlineStr">
        <is>
          <t>SÖDERMANLANDS LÄN</t>
        </is>
      </c>
      <c r="G248" t="inlineStr">
        <is>
          <t>ESKILSTUNA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44858</v>
      </c>
      <c r="E249" s="1" t="n">
        <v>46276</v>
      </c>
      <c r="F249" t="inlineStr">
        <is>
          <t>SÖDERMANLANDS LÄN</t>
        </is>
      </c>
      <c r="G249" t="inlineStr">
        <is>
          <t>ESKILSTUNA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46276</v>
      </c>
      <c r="F250" t="inlineStr">
        <is>
          <t>SÖDERMANLANDS LÄN</t>
        </is>
      </c>
      <c r="G250" t="inlineStr">
        <is>
          <t>ESKILSTUNA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51801-2025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45950</v>
      </c>
      <c r="E251" s="1" t="n">
        <v>46276</v>
      </c>
      <c r="F251" t="inlineStr">
        <is>
          <t>SÖDERMANLANDS LÄN</t>
        </is>
      </c>
      <c r="G251" t="inlineStr">
        <is>
          <t>ESKILSTUNA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46276</v>
      </c>
      <c r="F252" t="inlineStr">
        <is>
          <t>SÖDERMANLANDS LÄN</t>
        </is>
      </c>
      <c r="G252" t="inlineStr">
        <is>
          <t>ESKILSTUNA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45464</v>
      </c>
      <c r="E253" s="1" t="n">
        <v>46276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46276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46276</v>
      </c>
      <c r="F255" t="inlineStr">
        <is>
          <t>SÖDERMANLANDS LÄN</t>
        </is>
      </c>
      <c r="G255" t="inlineStr">
        <is>
          <t>ESKILSTUNA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59276-2021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44490</v>
      </c>
      <c r="E256" s="1" t="n">
        <v>46276</v>
      </c>
      <c r="F256" t="inlineStr">
        <is>
          <t>SÖDERMANLANDS LÄN</t>
        </is>
      </c>
      <c r="G256" t="inlineStr">
        <is>
          <t>ESKILSTUNA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46276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1538-2025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45670</v>
      </c>
      <c r="E258" s="1" t="n">
        <v>46276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61367-2021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44499</v>
      </c>
      <c r="E259" s="1" t="n">
        <v>46276</v>
      </c>
      <c r="F259" t="inlineStr">
        <is>
          <t>SÖDERMANLANDS LÄN</t>
        </is>
      </c>
      <c r="G259" t="inlineStr">
        <is>
          <t>ESKILSTUNA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46276</v>
      </c>
      <c r="F260" t="inlineStr">
        <is>
          <t>SÖDERMANLANDS LÄN</t>
        </is>
      </c>
      <c r="G260" t="inlineStr">
        <is>
          <t>ESKILSTUNA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46276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46276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46276</v>
      </c>
      <c r="F263" t="inlineStr">
        <is>
          <t>SÖDERMANLANDS LÄN</t>
        </is>
      </c>
      <c r="G263" t="inlineStr">
        <is>
          <t>ESKILSTUNA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44799</v>
      </c>
      <c r="E264" s="1" t="n">
        <v>46276</v>
      </c>
      <c r="F264" t="inlineStr">
        <is>
          <t>SÖDERMANLANDS LÄN</t>
        </is>
      </c>
      <c r="G264" t="inlineStr">
        <is>
          <t>ESKILSTUNA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46276</v>
      </c>
      <c r="F265" t="inlineStr">
        <is>
          <t>SÖDERMANLANDS LÄN</t>
        </is>
      </c>
      <c r="G265" t="inlineStr">
        <is>
          <t>ESKILSTUNA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46608-2024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45582</v>
      </c>
      <c r="E266" s="1" t="n">
        <v>46276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46276</v>
      </c>
      <c r="F267" t="inlineStr">
        <is>
          <t>SÖDERMANLANDS LÄN</t>
        </is>
      </c>
      <c r="G267" t="inlineStr">
        <is>
          <t>ESKILSTUNA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44616</v>
      </c>
      <c r="E268" s="1" t="n">
        <v>46276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46276</v>
      </c>
      <c r="F269" t="inlineStr">
        <is>
          <t>SÖDERMANLANDS LÄN</t>
        </is>
      </c>
      <c r="G269" t="inlineStr">
        <is>
          <t>ESKILSTUNA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46276</v>
      </c>
      <c r="F270" t="inlineStr">
        <is>
          <t>SÖDERMANLANDS LÄN</t>
        </is>
      </c>
      <c r="G270" t="inlineStr">
        <is>
          <t>ESKILSTUNA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46276</v>
      </c>
      <c r="F271" t="inlineStr">
        <is>
          <t>SÖDERMANLANDS LÄN</t>
        </is>
      </c>
      <c r="G271" t="inlineStr">
        <is>
          <t>ESKILSTUNA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46276</v>
      </c>
      <c r="F272" t="inlineStr">
        <is>
          <t>SÖDERMANLANDS LÄN</t>
        </is>
      </c>
      <c r="G272" t="inlineStr">
        <is>
          <t>ESKILSTUNA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46276</v>
      </c>
      <c r="F273" t="inlineStr">
        <is>
          <t>SÖDERMANLANDS LÄN</t>
        </is>
      </c>
      <c r="G273" t="inlineStr">
        <is>
          <t>ESKILSTUNA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46276</v>
      </c>
      <c r="F274" t="inlineStr">
        <is>
          <t>SÖDERMANLANDS LÄN</t>
        </is>
      </c>
      <c r="G274" t="inlineStr">
        <is>
          <t>ESKILSTUNA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59276-2021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44490</v>
      </c>
      <c r="E275" s="1" t="n">
        <v>46276</v>
      </c>
      <c r="F275" t="inlineStr">
        <is>
          <t>SÖDERMANLANDS LÄN</t>
        </is>
      </c>
      <c r="G275" t="inlineStr">
        <is>
          <t>ESKILSTUNA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46276</v>
      </c>
      <c r="F276" t="inlineStr">
        <is>
          <t>SÖDERMANLANDS LÄN</t>
        </is>
      </c>
      <c r="G276" t="inlineStr">
        <is>
          <t>ESKILSTUNA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46276</v>
      </c>
      <c r="F277" t="inlineStr">
        <is>
          <t>SÖDERMANLANDS LÄN</t>
        </is>
      </c>
      <c r="G277" t="inlineStr">
        <is>
          <t>ESKILSTUNA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46276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46276</v>
      </c>
      <c r="F279" t="inlineStr">
        <is>
          <t>SÖDERMANLANDS LÄN</t>
        </is>
      </c>
      <c r="G279" t="inlineStr">
        <is>
          <t>ESKILSTUNA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46276</v>
      </c>
      <c r="F280" t="inlineStr">
        <is>
          <t>SÖDERMANLANDS LÄN</t>
        </is>
      </c>
      <c r="G280" t="inlineStr">
        <is>
          <t>ESKILSTUNA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46276</v>
      </c>
      <c r="F281" t="inlineStr">
        <is>
          <t>SÖDERMANLANDS LÄN</t>
        </is>
      </c>
      <c r="G281" t="inlineStr">
        <is>
          <t>ESKILSTUNA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46276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53098-2022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44873</v>
      </c>
      <c r="E283" s="1" t="n">
        <v>46276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46276</v>
      </c>
      <c r="F284" t="inlineStr">
        <is>
          <t>SÖDERMANLANDS LÄN</t>
        </is>
      </c>
      <c r="G284" t="inlineStr">
        <is>
          <t>ESKILSTUNA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46276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45198</v>
      </c>
      <c r="E286" s="1" t="n">
        <v>46276</v>
      </c>
      <c r="F286" t="inlineStr">
        <is>
          <t>SÖDERMANLANDS LÄN</t>
        </is>
      </c>
      <c r="G286" t="inlineStr">
        <is>
          <t>ESKILSTUNA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46276</v>
      </c>
      <c r="F287" t="inlineStr">
        <is>
          <t>SÖDERMANLANDS LÄN</t>
        </is>
      </c>
      <c r="G287" t="inlineStr">
        <is>
          <t>ESKILSTUNA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46276</v>
      </c>
      <c r="F288" t="inlineStr">
        <is>
          <t>SÖDERMANLANDS LÄN</t>
        </is>
      </c>
      <c r="G288" t="inlineStr">
        <is>
          <t>ESKILSTUNA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46276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46276</v>
      </c>
      <c r="F290" t="inlineStr">
        <is>
          <t>SÖDERMANLANDS LÄN</t>
        </is>
      </c>
      <c r="G290" t="inlineStr">
        <is>
          <t>ESKILSTUNA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46276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46276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46276</v>
      </c>
      <c r="F293" t="inlineStr">
        <is>
          <t>SÖDERMANLANDS LÄN</t>
        </is>
      </c>
      <c r="G293" t="inlineStr">
        <is>
          <t>ESKILSTUNA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46276</v>
      </c>
      <c r="F294" t="inlineStr">
        <is>
          <t>SÖDERMANLANDS LÄN</t>
        </is>
      </c>
      <c r="G294" t="inlineStr">
        <is>
          <t>ESKILSTUNA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46276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46276</v>
      </c>
      <c r="F296" t="inlineStr">
        <is>
          <t>SÖDERMANLANDS LÄN</t>
        </is>
      </c>
      <c r="G296" t="inlineStr">
        <is>
          <t>ESKILSTUNA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46276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46276</v>
      </c>
      <c r="F298" t="inlineStr">
        <is>
          <t>SÖDERMANLANDS LÄN</t>
        </is>
      </c>
      <c r="G298" t="inlineStr">
        <is>
          <t>ESKILSTUNA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46276</v>
      </c>
      <c r="F299" t="inlineStr">
        <is>
          <t>SÖDERMANLANDS LÄN</t>
        </is>
      </c>
      <c r="G299" t="inlineStr">
        <is>
          <t>ESKILSTUNA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46276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44861</v>
      </c>
      <c r="E301" s="1" t="n">
        <v>46276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46276</v>
      </c>
      <c r="F302" t="inlineStr">
        <is>
          <t>SÖDERMANLANDS LÄN</t>
        </is>
      </c>
      <c r="G302" t="inlineStr">
        <is>
          <t>ESKILSTUNA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46276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Kommuner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45058</v>
      </c>
      <c r="E304" s="1" t="n">
        <v>46276</v>
      </c>
      <c r="F304" t="inlineStr">
        <is>
          <t>SÖDERMANLANDS LÄN</t>
        </is>
      </c>
      <c r="G304" t="inlineStr">
        <is>
          <t>ESKILSTUNA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46276</v>
      </c>
      <c r="F305" t="inlineStr">
        <is>
          <t>SÖDERMANLANDS LÄN</t>
        </is>
      </c>
      <c r="G305" t="inlineStr">
        <is>
          <t>ESKILSTUNA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46276</v>
      </c>
      <c r="F306" t="inlineStr">
        <is>
          <t>SÖDERMANLANDS LÄN</t>
        </is>
      </c>
      <c r="G306" t="inlineStr">
        <is>
          <t>ESKILSTUNA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46276</v>
      </c>
      <c r="F307" t="inlineStr">
        <is>
          <t>SÖDERMANLANDS LÄN</t>
        </is>
      </c>
      <c r="G307" t="inlineStr">
        <is>
          <t>ESKILSTUNA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59151-2022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46276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46276</v>
      </c>
      <c r="F309" t="inlineStr">
        <is>
          <t>SÖDERMANLANDS LÄN</t>
        </is>
      </c>
      <c r="G309" t="inlineStr">
        <is>
          <t>ESKILSTUNA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42545-2025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46276</v>
      </c>
      <c r="F310" t="inlineStr">
        <is>
          <t>SÖDERMANLANDS LÄN</t>
        </is>
      </c>
      <c r="G310" t="inlineStr">
        <is>
          <t>ESKILSTUNA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44626</v>
      </c>
      <c r="E311" s="1" t="n">
        <v>46276</v>
      </c>
      <c r="F311" t="inlineStr">
        <is>
          <t>SÖDERMANLANDS LÄN</t>
        </is>
      </c>
      <c r="G311" t="inlineStr">
        <is>
          <t>ESKILSTUNA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46276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44803</v>
      </c>
      <c r="E313" s="1" t="n">
        <v>46276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44803</v>
      </c>
      <c r="E314" s="1" t="n">
        <v>46276</v>
      </c>
      <c r="F314" t="inlineStr">
        <is>
          <t>SÖDERMANLANDS LÄN</t>
        </is>
      </c>
      <c r="G314" t="inlineStr">
        <is>
          <t>ESKILSTUNA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18105-2026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46125</v>
      </c>
      <c r="E315" s="1" t="n">
        <v>46276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Sveaskog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1340-2024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45303</v>
      </c>
      <c r="E316" s="1" t="n">
        <v>46276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46276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46276</v>
      </c>
      <c r="F318" t="inlineStr">
        <is>
          <t>SÖDERMANLANDS LÄN</t>
        </is>
      </c>
      <c r="G318" t="inlineStr">
        <is>
          <t>ESKILSTUNA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46276</v>
      </c>
      <c r="F319" t="inlineStr">
        <is>
          <t>SÖDERMANLANDS LÄN</t>
        </is>
      </c>
      <c r="G319" t="inlineStr">
        <is>
          <t>ESKILSTUNA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13280-2023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45004</v>
      </c>
      <c r="E320" s="1" t="n">
        <v>46276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45750</v>
      </c>
      <c r="E321" s="1" t="n">
        <v>46276</v>
      </c>
      <c r="F321" t="inlineStr">
        <is>
          <t>SÖDERMANLANDS LÄN</t>
        </is>
      </c>
      <c r="G321" t="inlineStr">
        <is>
          <t>ESKILSTUNA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46276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46276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45918</v>
      </c>
      <c r="E324" s="1" t="n">
        <v>46276</v>
      </c>
      <c r="F324" t="inlineStr">
        <is>
          <t>SÖDERMANLANDS LÄN</t>
        </is>
      </c>
      <c r="G324" t="inlineStr">
        <is>
          <t>ESKILSTUNA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46276</v>
      </c>
      <c r="F325" t="inlineStr">
        <is>
          <t>SÖDERMANLANDS LÄN</t>
        </is>
      </c>
      <c r="G325" t="inlineStr">
        <is>
          <t>ESKILSTUNA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46276</v>
      </c>
      <c r="F326" t="inlineStr">
        <is>
          <t>SÖDERMANLANDS LÄN</t>
        </is>
      </c>
      <c r="G326" t="inlineStr">
        <is>
          <t>ESKILSTUNA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52830-2021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46276</v>
      </c>
      <c r="F327" t="inlineStr">
        <is>
          <t>SÖDERMANLANDS LÄN</t>
        </is>
      </c>
      <c r="G327" t="inlineStr">
        <is>
          <t>ESKILSTUNA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46276</v>
      </c>
      <c r="F328" t="inlineStr">
        <is>
          <t>SÖDERMANLANDS LÄN</t>
        </is>
      </c>
      <c r="G328" t="inlineStr">
        <is>
          <t>ESKILSTUNA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23639-2023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45077</v>
      </c>
      <c r="E329" s="1" t="n">
        <v>46276</v>
      </c>
      <c r="F329" t="inlineStr">
        <is>
          <t>SÖDERMANLANDS LÄN</t>
        </is>
      </c>
      <c r="G329" t="inlineStr">
        <is>
          <t>ESKILSTUNA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1346-2024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45303</v>
      </c>
      <c r="E330" s="1" t="n">
        <v>46276</v>
      </c>
      <c r="F330" t="inlineStr">
        <is>
          <t>SÖDERMANLANDS LÄN</t>
        </is>
      </c>
      <c r="G330" t="inlineStr">
        <is>
          <t>ESKILSTUNA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20984-2023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45061</v>
      </c>
      <c r="E331" s="1" t="n">
        <v>46276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46276</v>
      </c>
      <c r="F332" t="inlineStr">
        <is>
          <t>SÖDERMANLANDS LÄN</t>
        </is>
      </c>
      <c r="G332" t="inlineStr">
        <is>
          <t>ESKILSTUNA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45756</v>
      </c>
      <c r="E333" s="1" t="n">
        <v>46276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44732</v>
      </c>
      <c r="E334" s="1" t="n">
        <v>46276</v>
      </c>
      <c r="F334" t="inlineStr">
        <is>
          <t>SÖDERMANLANDS LÄN</t>
        </is>
      </c>
      <c r="G334" t="inlineStr">
        <is>
          <t>ESKILSTUNA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45643</v>
      </c>
      <c r="E335" s="1" t="n">
        <v>46276</v>
      </c>
      <c r="F335" t="inlineStr">
        <is>
          <t>SÖDERMANLANDS LÄN</t>
        </is>
      </c>
      <c r="G335" t="inlineStr">
        <is>
          <t>ESKILSTUNA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50484-2025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45945</v>
      </c>
      <c r="E336" s="1" t="n">
        <v>46276</v>
      </c>
      <c r="F336" t="inlineStr">
        <is>
          <t>SÖDERMANLANDS LÄN</t>
        </is>
      </c>
      <c r="G336" t="inlineStr">
        <is>
          <t>ESKILSTUNA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44837</v>
      </c>
      <c r="E337" s="1" t="n">
        <v>46276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45518</v>
      </c>
      <c r="E338" s="1" t="n">
        <v>46276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46276</v>
      </c>
      <c r="F339" t="inlineStr">
        <is>
          <t>SÖDERMANLANDS LÄN</t>
        </is>
      </c>
      <c r="G339" t="inlineStr">
        <is>
          <t>ESKILSTUNA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44671</v>
      </c>
      <c r="E340" s="1" t="n">
        <v>46276</v>
      </c>
      <c r="F340" t="inlineStr">
        <is>
          <t>SÖDERMANLANDS LÄN</t>
        </is>
      </c>
      <c r="G340" t="inlineStr">
        <is>
          <t>ESKILSTUNA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46276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36565-2022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44804</v>
      </c>
      <c r="E342" s="1" t="n">
        <v>46276</v>
      </c>
      <c r="F342" t="inlineStr">
        <is>
          <t>SÖDERMANLANDS LÄN</t>
        </is>
      </c>
      <c r="G342" t="inlineStr">
        <is>
          <t>ESKILSTUNA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44701</v>
      </c>
      <c r="E343" s="1" t="n">
        <v>46276</v>
      </c>
      <c r="F343" t="inlineStr">
        <is>
          <t>SÖDERMANLANDS LÄN</t>
        </is>
      </c>
      <c r="G343" t="inlineStr">
        <is>
          <t>ESKILSTUNA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46276</v>
      </c>
      <c r="F344" t="inlineStr">
        <is>
          <t>SÖDERMANLANDS LÄN</t>
        </is>
      </c>
      <c r="G344" t="inlineStr">
        <is>
          <t>ESKILSTUNA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44468</v>
      </c>
      <c r="E345" s="1" t="n">
        <v>46276</v>
      </c>
      <c r="F345" t="inlineStr">
        <is>
          <t>SÖDERMANLANDS LÄN</t>
        </is>
      </c>
      <c r="G345" t="inlineStr">
        <is>
          <t>ESKILSTUNA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46276</v>
      </c>
      <c r="F346" t="inlineStr">
        <is>
          <t>SÖDERMANLANDS LÄN</t>
        </is>
      </c>
      <c r="G346" t="inlineStr">
        <is>
          <t>ESKILSTUNA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44572</v>
      </c>
      <c r="E347" s="1" t="n">
        <v>46276</v>
      </c>
      <c r="F347" t="inlineStr">
        <is>
          <t>SÖDERMANLANDS LÄN</t>
        </is>
      </c>
      <c r="G347" t="inlineStr">
        <is>
          <t>ESKILSTUNA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44797</v>
      </c>
      <c r="E348" s="1" t="n">
        <v>46276</v>
      </c>
      <c r="F348" t="inlineStr">
        <is>
          <t>SÖDERMANLANDS LÄN</t>
        </is>
      </c>
      <c r="G348" t="inlineStr">
        <is>
          <t>ESKILSTUNA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19502-2024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46276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46276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44832</v>
      </c>
      <c r="E351" s="1" t="n">
        <v>46276</v>
      </c>
      <c r="F351" t="inlineStr">
        <is>
          <t>SÖDERMANLANDS LÄN</t>
        </is>
      </c>
      <c r="G351" t="inlineStr">
        <is>
          <t>ESKILSTUNA</t>
        </is>
      </c>
      <c r="I351" t="n">
        <v>19.9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46276</v>
      </c>
      <c r="F352" t="inlineStr">
        <is>
          <t>SÖDERMANLANDS LÄN</t>
        </is>
      </c>
      <c r="G352" t="inlineStr">
        <is>
          <t>ESKILSTUNA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46276</v>
      </c>
      <c r="F353" t="inlineStr">
        <is>
          <t>SÖDERMANLANDS LÄN</t>
        </is>
      </c>
      <c r="G353" t="inlineStr">
        <is>
          <t>ESKILSTUNA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45387</v>
      </c>
      <c r="E354" s="1" t="n">
        <v>46276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36648-2022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46276</v>
      </c>
      <c r="F355" t="inlineStr">
        <is>
          <t>SÖDERMANLANDS LÄN</t>
        </is>
      </c>
      <c r="G355" t="inlineStr">
        <is>
          <t>ESKILSTUNA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61988-2022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44918</v>
      </c>
      <c r="E356" s="1" t="n">
        <v>46276</v>
      </c>
      <c r="F356" t="inlineStr">
        <is>
          <t>SÖDERMANLANDS LÄN</t>
        </is>
      </c>
      <c r="G356" t="inlineStr">
        <is>
          <t>ESKILSTUNA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46276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46276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Allmännings- och besparingsskogar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10010-2024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45363</v>
      </c>
      <c r="E359" s="1" t="n">
        <v>46276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46157</v>
      </c>
      <c r="E360" s="1" t="n">
        <v>46276</v>
      </c>
      <c r="F360" t="inlineStr">
        <is>
          <t>SÖDERMANLANDS LÄN</t>
        </is>
      </c>
      <c r="G360" t="inlineStr">
        <is>
          <t>ESKILSTUNA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45664</v>
      </c>
      <c r="E361" s="1" t="n">
        <v>46276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46276</v>
      </c>
      <c r="F362" t="inlineStr">
        <is>
          <t>SÖDERMANLANDS LÄN</t>
        </is>
      </c>
      <c r="G362" t="inlineStr">
        <is>
          <t>ESKILSTUNA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9711-2025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45715</v>
      </c>
      <c r="E363" s="1" t="n">
        <v>46276</v>
      </c>
      <c r="F363" t="inlineStr">
        <is>
          <t>SÖDERMANLANDS LÄN</t>
        </is>
      </c>
      <c r="G363" t="inlineStr">
        <is>
          <t>ESKILSTUNA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46161</v>
      </c>
      <c r="E364" s="1" t="n">
        <v>46276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40930-2025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45897</v>
      </c>
      <c r="E365" s="1" t="n">
        <v>46276</v>
      </c>
      <c r="F365" t="inlineStr">
        <is>
          <t>SÖDERMANLANDS LÄN</t>
        </is>
      </c>
      <c r="G365" t="inlineStr">
        <is>
          <t>ESKILSTUNA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46276</v>
      </c>
      <c r="F366" t="inlineStr">
        <is>
          <t>SÖDERMANLANDS LÄN</t>
        </is>
      </c>
      <c r="G366" t="inlineStr">
        <is>
          <t>ESKILSTUNA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47581-2024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45587</v>
      </c>
      <c r="E367" s="1" t="n">
        <v>46276</v>
      </c>
      <c r="F367" t="inlineStr">
        <is>
          <t>SÖDERMANLANDS LÄN</t>
        </is>
      </c>
      <c r="G367" t="inlineStr">
        <is>
          <t>ESKILSTUNA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48671-2021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44452</v>
      </c>
      <c r="E368" s="1" t="n">
        <v>46276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46276</v>
      </c>
      <c r="F369" t="inlineStr">
        <is>
          <t>SÖDERMANLANDS LÄN</t>
        </is>
      </c>
      <c r="G369" t="inlineStr">
        <is>
          <t>ESKILSTUNA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45953</v>
      </c>
      <c r="E370" s="1" t="n">
        <v>46276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46276</v>
      </c>
      <c r="F371" t="inlineStr">
        <is>
          <t>SÖDERMANLANDS LÄN</t>
        </is>
      </c>
      <c r="G371" t="inlineStr">
        <is>
          <t>ESKILSTUNA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46276</v>
      </c>
      <c r="F372" t="inlineStr">
        <is>
          <t>SÖDERMANLANDS LÄN</t>
        </is>
      </c>
      <c r="G372" t="inlineStr">
        <is>
          <t>ESKILSTUNA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44956</v>
      </c>
      <c r="E373" s="1" t="n">
        <v>46276</v>
      </c>
      <c r="F373" t="inlineStr">
        <is>
          <t>SÖDERMANLANDS LÄN</t>
        </is>
      </c>
      <c r="G373" t="inlineStr">
        <is>
          <t>ESKILSTUNA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45429</v>
      </c>
      <c r="E374" s="1" t="n">
        <v>46276</v>
      </c>
      <c r="F374" t="inlineStr">
        <is>
          <t>SÖDERMANLANDS LÄN</t>
        </is>
      </c>
      <c r="G374" t="inlineStr">
        <is>
          <t>ESKILSTUNA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46276</v>
      </c>
      <c r="F375" t="inlineStr">
        <is>
          <t>SÖDERMANLANDS LÄN</t>
        </is>
      </c>
      <c r="G375" t="inlineStr">
        <is>
          <t>ESKILSTUNA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44938</v>
      </c>
      <c r="E376" s="1" t="n">
        <v>46276</v>
      </c>
      <c r="F376" t="inlineStr">
        <is>
          <t>SÖDERMANLANDS LÄN</t>
        </is>
      </c>
      <c r="G376" t="inlineStr">
        <is>
          <t>ESKILSTUNA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52221-2025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45953</v>
      </c>
      <c r="E377" s="1" t="n">
        <v>46276</v>
      </c>
      <c r="F377" t="inlineStr">
        <is>
          <t>SÖDERMANLANDS LÄN</t>
        </is>
      </c>
      <c r="G377" t="inlineStr">
        <is>
          <t>ESKILSTUNA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46872-2022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44851</v>
      </c>
      <c r="E378" s="1" t="n">
        <v>46276</v>
      </c>
      <c r="F378" t="inlineStr">
        <is>
          <t>SÖDERMANLANDS LÄN</t>
        </is>
      </c>
      <c r="G378" t="inlineStr">
        <is>
          <t>ESKILSTUNA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46276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46276</v>
      </c>
      <c r="F380" t="inlineStr">
        <is>
          <t>SÖDERMANLANDS LÄN</t>
        </is>
      </c>
      <c r="G380" t="inlineStr">
        <is>
          <t>ESKILSTUNA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44606</v>
      </c>
      <c r="E381" s="1" t="n">
        <v>46276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Kyrkan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46276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46276</v>
      </c>
      <c r="F383" t="inlineStr">
        <is>
          <t>SÖDERMANLANDS LÄN</t>
        </is>
      </c>
      <c r="G383" t="inlineStr">
        <is>
          <t>ESKILSTUNA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46276</v>
      </c>
      <c r="F384" t="inlineStr">
        <is>
          <t>SÖDERMANLANDS LÄN</t>
        </is>
      </c>
      <c r="G384" t="inlineStr">
        <is>
          <t>ESKILSTUNA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61298-2022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44915</v>
      </c>
      <c r="E385" s="1" t="n">
        <v>46276</v>
      </c>
      <c r="F385" t="inlineStr">
        <is>
          <t>SÖDERMANLANDS LÄN</t>
        </is>
      </c>
      <c r="G385" t="inlineStr">
        <is>
          <t>ESKILSTUNA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46276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44865</v>
      </c>
      <c r="E387" s="1" t="n">
        <v>46276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44592</v>
      </c>
      <c r="E388" s="1" t="n">
        <v>46276</v>
      </c>
      <c r="F388" t="inlineStr">
        <is>
          <t>SÖDERMANLANDS LÄN</t>
        </is>
      </c>
      <c r="G388" t="inlineStr">
        <is>
          <t>ESKILSTUNA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25730-2024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45464</v>
      </c>
      <c r="E389" s="1" t="n">
        <v>46276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46276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46276</v>
      </c>
      <c r="F391" t="inlineStr">
        <is>
          <t>SÖDERMANLANDS LÄN</t>
        </is>
      </c>
      <c r="G391" t="inlineStr">
        <is>
          <t>ESKILSTUNA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61829-2023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45266</v>
      </c>
      <c r="E392" s="1" t="n">
        <v>46276</v>
      </c>
      <c r="F392" t="inlineStr">
        <is>
          <t>SÖDERMANLANDS LÄN</t>
        </is>
      </c>
      <c r="G392" t="inlineStr">
        <is>
          <t>ESKILSTUNA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61831-2023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45266</v>
      </c>
      <c r="E393" s="1" t="n">
        <v>46276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61367-2021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44499</v>
      </c>
      <c r="E394" s="1" t="n">
        <v>46276</v>
      </c>
      <c r="F394" t="inlineStr">
        <is>
          <t>SÖDERMANLANDS LÄN</t>
        </is>
      </c>
      <c r="G394" t="inlineStr">
        <is>
          <t>ESKILSTUNA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70560-2021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44536</v>
      </c>
      <c r="E395" s="1" t="n">
        <v>46276</v>
      </c>
      <c r="F395" t="inlineStr">
        <is>
          <t>SÖDERMANLANDS LÄN</t>
        </is>
      </c>
      <c r="G395" t="inlineStr">
        <is>
          <t>ESKILSTUNA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46276</v>
      </c>
      <c r="F396" t="inlineStr">
        <is>
          <t>SÖDERMANLANDS LÄN</t>
        </is>
      </c>
      <c r="G396" t="inlineStr">
        <is>
          <t>ESKILSTUNA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46276</v>
      </c>
      <c r="F397" t="inlineStr">
        <is>
          <t>SÖDERMANLANDS LÄN</t>
        </is>
      </c>
      <c r="G397" t="inlineStr">
        <is>
          <t>ESKILSTUNA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46276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46276</v>
      </c>
      <c r="F399" t="inlineStr">
        <is>
          <t>SÖDERMANLANDS LÄN</t>
        </is>
      </c>
      <c r="G399" t="inlineStr">
        <is>
          <t>ESKILSTUNA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44482</v>
      </c>
      <c r="E400" s="1" t="n">
        <v>46276</v>
      </c>
      <c r="F400" t="inlineStr">
        <is>
          <t>SÖDERMANLANDS LÄN</t>
        </is>
      </c>
      <c r="G400" t="inlineStr">
        <is>
          <t>ESKILSTUNA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26532-2022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46276</v>
      </c>
      <c r="F401" t="inlineStr">
        <is>
          <t>SÖDERMANLANDS LÄN</t>
        </is>
      </c>
      <c r="G401" t="inlineStr">
        <is>
          <t>ESKILSTUNA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46276</v>
      </c>
      <c r="F402" t="inlineStr">
        <is>
          <t>SÖDERMANLANDS LÄN</t>
        </is>
      </c>
      <c r="G402" t="inlineStr">
        <is>
          <t>ESKILSTUNA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46276</v>
      </c>
      <c r="F403" t="inlineStr">
        <is>
          <t>SÖDERMANLANDS LÄN</t>
        </is>
      </c>
      <c r="G403" t="inlineStr">
        <is>
          <t>ESKILSTUNA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46276</v>
      </c>
      <c r="F404" t="inlineStr">
        <is>
          <t>SÖDERMANLANDS LÄN</t>
        </is>
      </c>
      <c r="G404" t="inlineStr">
        <is>
          <t>ESKILSTUNA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46276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46276</v>
      </c>
      <c r="F406" t="inlineStr">
        <is>
          <t>SÖDERMANLANDS LÄN</t>
        </is>
      </c>
      <c r="G406" t="inlineStr">
        <is>
          <t>ESKILSTUNA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27779-2026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46191</v>
      </c>
      <c r="E407" s="1" t="n">
        <v>46276</v>
      </c>
      <c r="F407" t="inlineStr">
        <is>
          <t>SÖDERMANLANDS LÄN</t>
        </is>
      </c>
      <c r="G407" t="inlineStr">
        <is>
          <t>ESKILSTUNA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46276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Övriga Aktiebolag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20180-2022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44698</v>
      </c>
      <c r="E409" s="1" t="n">
        <v>46276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46276</v>
      </c>
      <c r="F410" t="inlineStr">
        <is>
          <t>SÖDERMANLANDS LÄN</t>
        </is>
      </c>
      <c r="G410" t="inlineStr">
        <is>
          <t>ESKILSTUNA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46237</v>
      </c>
      <c r="E411" s="1" t="n">
        <v>46276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Sveaskog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46276</v>
      </c>
      <c r="F412" t="inlineStr">
        <is>
          <t>SÖDERMANLANDS LÄN</t>
        </is>
      </c>
      <c r="G412" t="inlineStr">
        <is>
          <t>ESKILSTUNA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45387</v>
      </c>
      <c r="E413" s="1" t="n">
        <v>46276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Kyrkan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44852</v>
      </c>
      <c r="E414" s="1" t="n">
        <v>46276</v>
      </c>
      <c r="F414" t="inlineStr">
        <is>
          <t>SÖDERMANLANDS LÄN</t>
        </is>
      </c>
      <c r="G414" t="inlineStr">
        <is>
          <t>ESKILSTUNA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32373-2026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46238</v>
      </c>
      <c r="E415" s="1" t="n">
        <v>46276</v>
      </c>
      <c r="F415" t="inlineStr">
        <is>
          <t>SÖDERMANLANDS LÄN</t>
        </is>
      </c>
      <c r="G415" t="inlineStr">
        <is>
          <t>ESKILSTUNA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46238</v>
      </c>
      <c r="E416" s="1" t="n">
        <v>46276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46276</v>
      </c>
      <c r="F417" t="inlineStr">
        <is>
          <t>SÖDERMANLANDS LÄN</t>
        </is>
      </c>
      <c r="G417" t="inlineStr">
        <is>
          <t>ESKILSTUNA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32461-2026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46239</v>
      </c>
      <c r="E418" s="1" t="n">
        <v>46276</v>
      </c>
      <c r="F418" t="inlineStr">
        <is>
          <t>SÖDERMANLANDS LÄN</t>
        </is>
      </c>
      <c r="G418" t="inlineStr">
        <is>
          <t>ESKILSTUNA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46276</v>
      </c>
      <c r="F419" t="inlineStr">
        <is>
          <t>SÖDERMANLANDS LÄN</t>
        </is>
      </c>
      <c r="G419" t="inlineStr">
        <is>
          <t>ESKILSTUNA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46276</v>
      </c>
      <c r="F420" t="inlineStr">
        <is>
          <t>SÖDERMANLANDS LÄN</t>
        </is>
      </c>
      <c r="G420" t="inlineStr">
        <is>
          <t>ESKILSTUNA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27255-2022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44741</v>
      </c>
      <c r="E421" s="1" t="n">
        <v>46276</v>
      </c>
      <c r="F421" t="inlineStr">
        <is>
          <t>SÖDERMANLANDS LÄN</t>
        </is>
      </c>
      <c r="G421" t="inlineStr">
        <is>
          <t>ESKILSTUNA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62268-2023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46276</v>
      </c>
      <c r="F422" t="inlineStr">
        <is>
          <t>SÖDERMANLANDS LÄN</t>
        </is>
      </c>
      <c r="G422" t="inlineStr">
        <is>
          <t>ESKILSTUNA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46276</v>
      </c>
      <c r="F423" t="inlineStr">
        <is>
          <t>SÖDERMANLANDS LÄN</t>
        </is>
      </c>
      <c r="G423" t="inlineStr">
        <is>
          <t>ESKILSTUNA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29053-2026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46199</v>
      </c>
      <c r="E424" s="1" t="n">
        <v>46276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45329</v>
      </c>
      <c r="E425" s="1" t="n">
        <v>46276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44927-2023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45190</v>
      </c>
      <c r="E426" s="1" t="n">
        <v>46276</v>
      </c>
      <c r="F426" t="inlineStr">
        <is>
          <t>SÖDERMANLANDS LÄN</t>
        </is>
      </c>
      <c r="G426" t="inlineStr">
        <is>
          <t>ESKILSTUNA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46276</v>
      </c>
      <c r="F427" t="inlineStr">
        <is>
          <t>SÖDERMANLANDS LÄN</t>
        </is>
      </c>
      <c r="G427" t="inlineStr">
        <is>
          <t>ESKILSTUNA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43221-2023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45183</v>
      </c>
      <c r="E428" s="1" t="n">
        <v>46276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Allmännings- och besparingsskogar</t>
        </is>
      </c>
      <c r="I428" t="n">
        <v>15.8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46276</v>
      </c>
      <c r="F429" t="inlineStr">
        <is>
          <t>SÖDERMANLANDS LÄN</t>
        </is>
      </c>
      <c r="G429" t="inlineStr">
        <is>
          <t>ESKILSTUNA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46276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46276</v>
      </c>
      <c r="F431" t="inlineStr">
        <is>
          <t>SÖDERMANLANDS LÄN</t>
        </is>
      </c>
      <c r="G431" t="inlineStr">
        <is>
          <t>ESKILSTUNA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29051-2026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46199</v>
      </c>
      <c r="E432" s="1" t="n">
        <v>46276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46276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46245</v>
      </c>
      <c r="E434" s="1" t="n">
        <v>46276</v>
      </c>
      <c r="F434" t="inlineStr">
        <is>
          <t>SÖDERMANLANDS LÄN</t>
        </is>
      </c>
      <c r="G434" t="inlineStr">
        <is>
          <t>ESKILSTUNA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46245</v>
      </c>
      <c r="E435" s="1" t="n">
        <v>46276</v>
      </c>
      <c r="F435" t="inlineStr">
        <is>
          <t>SÖDERMANLANDS LÄN</t>
        </is>
      </c>
      <c r="G435" t="inlineStr">
        <is>
          <t>ESKILSTUNA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46276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Kommuner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46276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46276</v>
      </c>
      <c r="F438" t="inlineStr">
        <is>
          <t>SÖDERMANLANDS LÄN</t>
        </is>
      </c>
      <c r="G438" t="inlineStr">
        <is>
          <t>ESKILSTUNA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44664</v>
      </c>
      <c r="E439" s="1" t="n">
        <v>46276</v>
      </c>
      <c r="F439" t="inlineStr">
        <is>
          <t>SÖDERMANLANDS LÄN</t>
        </is>
      </c>
      <c r="G439" t="inlineStr">
        <is>
          <t>ESKILSTUNA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46276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44789</v>
      </c>
      <c r="E441" s="1" t="n">
        <v>46276</v>
      </c>
      <c r="F441" t="inlineStr">
        <is>
          <t>SÖDERMANLANDS LÄN</t>
        </is>
      </c>
      <c r="G441" t="inlineStr">
        <is>
          <t>ESKILSTUNA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46276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46276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46276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46276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54598-2021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44473</v>
      </c>
      <c r="E446" s="1" t="n">
        <v>46276</v>
      </c>
      <c r="F446" t="inlineStr">
        <is>
          <t>SÖDERMANLANDS LÄN</t>
        </is>
      </c>
      <c r="G446" t="inlineStr">
        <is>
          <t>ESKILSTUNA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44886</v>
      </c>
      <c r="E447" s="1" t="n">
        <v>46276</v>
      </c>
      <c r="F447" t="inlineStr">
        <is>
          <t>SÖDERMANLANDS LÄN</t>
        </is>
      </c>
      <c r="G447" t="inlineStr">
        <is>
          <t>ESKILSTUNA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23662-2026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46164</v>
      </c>
      <c r="E448" s="1" t="n">
        <v>46276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46157</v>
      </c>
      <c r="E449" s="1" t="n">
        <v>46276</v>
      </c>
      <c r="F449" t="inlineStr">
        <is>
          <t>SÖDERMANLANDS LÄN</t>
        </is>
      </c>
      <c r="G449" t="inlineStr">
        <is>
          <t>ESKILSTUNA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46276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46276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46276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46276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46276</v>
      </c>
      <c r="F454" t="inlineStr">
        <is>
          <t>SÖDERMANLANDS LÄN</t>
        </is>
      </c>
      <c r="G454" t="inlineStr">
        <is>
          <t>ESKILSTUNA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46276</v>
      </c>
      <c r="F455" t="inlineStr">
        <is>
          <t>SÖDERMANLANDS LÄN</t>
        </is>
      </c>
      <c r="G455" t="inlineStr">
        <is>
          <t>ESKILSTUNA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46276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44638</v>
      </c>
      <c r="E457" s="1" t="n">
        <v>46276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46276</v>
      </c>
      <c r="F458" t="inlineStr">
        <is>
          <t>SÖDERMANLANDS LÄN</t>
        </is>
      </c>
      <c r="G458" t="inlineStr">
        <is>
          <t>ESKILSTUNA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46276</v>
      </c>
      <c r="F459" t="inlineStr">
        <is>
          <t>SÖDERMANLANDS LÄN</t>
        </is>
      </c>
      <c r="G459" t="inlineStr">
        <is>
          <t>ESKILSTUNA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46276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68022-2021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44525</v>
      </c>
      <c r="E461" s="1" t="n">
        <v>46276</v>
      </c>
      <c r="F461" t="inlineStr">
        <is>
          <t>SÖDERMANLANDS LÄN</t>
        </is>
      </c>
      <c r="G461" t="inlineStr">
        <is>
          <t>ESKILSTUNA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61170-2021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44497</v>
      </c>
      <c r="E462" s="1" t="n">
        <v>46276</v>
      </c>
      <c r="F462" t="inlineStr">
        <is>
          <t>SÖDERMANLANDS LÄN</t>
        </is>
      </c>
      <c r="G462" t="inlineStr">
        <is>
          <t>ESKILSTUNA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31131-2026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46216</v>
      </c>
      <c r="E463" s="1" t="n">
        <v>46276</v>
      </c>
      <c r="F463" t="inlineStr">
        <is>
          <t>SÖDERMANLANDS LÄN</t>
        </is>
      </c>
      <c r="G463" t="inlineStr">
        <is>
          <t>ESKILSTUNA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46276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46276</v>
      </c>
      <c r="F465" t="inlineStr">
        <is>
          <t>SÖDERMANLANDS LÄN</t>
        </is>
      </c>
      <c r="G465" t="inlineStr">
        <is>
          <t>ESKILSTUNA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46276</v>
      </c>
      <c r="F466" t="inlineStr">
        <is>
          <t>SÖDERMANLANDS LÄN</t>
        </is>
      </c>
      <c r="G466" t="inlineStr">
        <is>
          <t>ESKILSTUNA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44946</v>
      </c>
      <c r="E467" s="1" t="n">
        <v>46276</v>
      </c>
      <c r="F467" t="inlineStr">
        <is>
          <t>SÖDERMANLANDS LÄN</t>
        </is>
      </c>
      <c r="G467" t="inlineStr">
        <is>
          <t>ESKILSTUNA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46276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46213</v>
      </c>
      <c r="E469" s="1" t="n">
        <v>46276</v>
      </c>
      <c r="F469" t="inlineStr">
        <is>
          <t>SÖDERMANLANDS LÄN</t>
        </is>
      </c>
      <c r="G469" t="inlineStr">
        <is>
          <t>ESKILSTUNA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28011-2022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44746</v>
      </c>
      <c r="E470" s="1" t="n">
        <v>46276</v>
      </c>
      <c r="F470" t="inlineStr">
        <is>
          <t>SÖDERMANLANDS LÄN</t>
        </is>
      </c>
      <c r="G470" t="inlineStr">
        <is>
          <t>ESKILSTUNA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31200-2026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46217</v>
      </c>
      <c r="E471" s="1" t="n">
        <v>46276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31203-2026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46217</v>
      </c>
      <c r="E472" s="1" t="n">
        <v>46276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Kommuner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46276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46219</v>
      </c>
      <c r="E474" s="1" t="n">
        <v>46276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22605-2023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45071</v>
      </c>
      <c r="E475" s="1" t="n">
        <v>46276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Kyrkan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46276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46276</v>
      </c>
      <c r="F477" t="inlineStr">
        <is>
          <t>SÖDERMANLANDS LÄN</t>
        </is>
      </c>
      <c r="G477" t="inlineStr">
        <is>
          <t>ESKILSTUNA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46276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46276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45365</v>
      </c>
      <c r="E480" s="1" t="n">
        <v>46276</v>
      </c>
      <c r="F480" t="inlineStr">
        <is>
          <t>SÖDERMANLANDS LÄN</t>
        </is>
      </c>
      <c r="G480" t="inlineStr">
        <is>
          <t>ESKILSTUNA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44953</v>
      </c>
      <c r="E481" s="1" t="n">
        <v>46276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9.6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46276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44593</v>
      </c>
      <c r="E483" s="1" t="n">
        <v>46276</v>
      </c>
      <c r="F483" t="inlineStr">
        <is>
          <t>SÖDERMANLANDS LÄN</t>
        </is>
      </c>
      <c r="G483" t="inlineStr">
        <is>
          <t>ESKILSTUNA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46276</v>
      </c>
      <c r="F484" t="inlineStr">
        <is>
          <t>SÖDERMANLANDS LÄN</t>
        </is>
      </c>
      <c r="G484" t="inlineStr">
        <is>
          <t>ESKILSTUNA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13153-2026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46092</v>
      </c>
      <c r="E485" s="1" t="n">
        <v>46276</v>
      </c>
      <c r="F485" t="inlineStr">
        <is>
          <t>SÖDERMANLANDS LÄN</t>
        </is>
      </c>
      <c r="G485" t="inlineStr">
        <is>
          <t>ESKILSTUNA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1333-2020</t>
        </is>
      </c>
      <c r="B486" t="inlineStr">
        <is>
          <t>samrådsanmälan</t>
        </is>
      </c>
      <c r="C486" t="inlineStr">
        <is>
          <t>Åtgärd i nyckelbiotop</t>
        </is>
      </c>
      <c r="D486" s="1" t="n">
        <v>43993</v>
      </c>
      <c r="E486" s="1" t="n">
        <v>46276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383-2023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44959</v>
      </c>
      <c r="E487" s="1" t="n">
        <v>46276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3665-2023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45217</v>
      </c>
      <c r="E488" s="1" t="n">
        <v>46276</v>
      </c>
      <c r="F488" t="inlineStr">
        <is>
          <t>SÖDERMANLANDS LÄN</t>
        </is>
      </c>
      <c r="G488" t="inlineStr">
        <is>
          <t>ESKILSTUNA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4583-2023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45282</v>
      </c>
      <c r="E489" s="1" t="n">
        <v>46276</v>
      </c>
      <c r="F489" t="inlineStr">
        <is>
          <t>SÖDERMANLANDS LÄN</t>
        </is>
      </c>
      <c r="G489" t="inlineStr">
        <is>
          <t>ESKILSTUNA</t>
        </is>
      </c>
      <c r="I489" t="n">
        <v>31.4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1601-2025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46276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1602-2025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45798</v>
      </c>
      <c r="E491" s="1" t="n">
        <v>46276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45686</v>
      </c>
      <c r="E492" s="1" t="n">
        <v>46276</v>
      </c>
      <c r="F492" t="inlineStr">
        <is>
          <t>SÖDERMANLANDS LÄN</t>
        </is>
      </c>
      <c r="G492" t="inlineStr">
        <is>
          <t>ESKILSTUNA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2917-2024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45504</v>
      </c>
      <c r="E493" s="1" t="n">
        <v>46276</v>
      </c>
      <c r="F493" t="inlineStr">
        <is>
          <t>SÖDERMANLANDS LÄN</t>
        </is>
      </c>
      <c r="G493" t="inlineStr">
        <is>
          <t>ESKILSTUNA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1920-2025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45826</v>
      </c>
      <c r="E494" s="1" t="n">
        <v>46276</v>
      </c>
      <c r="F494" t="inlineStr">
        <is>
          <t>SÖDERMANLANDS LÄN</t>
        </is>
      </c>
      <c r="G494" t="inlineStr">
        <is>
          <t>ESKILSTUNA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1030-2026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46125</v>
      </c>
      <c r="E495" s="1" t="n">
        <v>46276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1870-2026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46276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1871-2026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46199</v>
      </c>
      <c r="E497" s="1" t="n">
        <v>46276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2026-09-11T02:14:02Z</dcterms:created>
  <dcterms:modified xmlns:dcterms="http://purl.org/dc/terms/" xmlns:xsi="http://www.w3.org/2001/XMLSchema-instance" xsi:type="dcterms:W3CDTF">2026-09-11T02:14:02Z</dcterms:modified>
</cp:coreProperties>
</file>