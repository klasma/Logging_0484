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46242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46242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46242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46242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46242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46242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46242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46242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46242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46242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46242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46242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46242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46242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46242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46242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46242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46242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46242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46242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46242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46242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46242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Blåsippa
Mattlummer
Revlummer</t>
        </is>
      </c>
      <c r="W25">
        <f>HYPERLINK("https://klasma.github.io/Logging_0484/artfynd/A 12443-2024 artfynd.xlsx", "A 12443-2024")</f>
        <v/>
      </c>
      <c r="X25">
        <f>HYPERLINK("https://klasma.github.io/Logging_0484/kartor/A 12443-2024 karta.png", "A 12443-2024")</f>
        <v/>
      </c>
      <c r="Y25">
        <f>HYPERLINK("https://klasma.github.io/Logging_0484/kartor_geotiff/A 12443-2024 georefererad karta.tif", "A 12443-2024")</f>
        <v/>
      </c>
      <c r="AA25">
        <f>HYPERLINK("https://klasma.github.io/Logging_0484/klagomål/A 12443-2024 FSC-klagomål.docx", "A 12443-2024")</f>
        <v/>
      </c>
      <c r="AB25">
        <f>HYPERLINK("https://klasma.github.io/Logging_0484/klagomålsmail/A 12443-2024 FSC-klagomål mail.docx", "A 12443-2024")</f>
        <v/>
      </c>
      <c r="AC25">
        <f>HYPERLINK("https://klasma.github.io/Logging_0484/tillsyn/A 12443-2024 tillsynsbegäran.docx", "A 12443-2024")</f>
        <v/>
      </c>
      <c r="AD25">
        <f>HYPERLINK("https://klasma.github.io/Logging_0484/tillsynsmail/A 12443-2024 tillsynsbegäran mail.docx", "A 12443-2024")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46242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46242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46242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46242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46242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28983-2026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46242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4.1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Motaggsvamp
Rävticka
Trådticka</t>
        </is>
      </c>
      <c r="W31">
        <f>HYPERLINK("https://klasma.github.io/Logging_0484/artfynd/A 28983-2026 artfynd.xlsx", "A 28983-2026")</f>
        <v/>
      </c>
      <c r="X31">
        <f>HYPERLINK("https://klasma.github.io/Logging_0484/kartor/A 28983-2026 karta.png", "A 28983-2026")</f>
        <v/>
      </c>
      <c r="Y31">
        <f>HYPERLINK("https://klasma.github.io/Logging_0484/kartor_geotiff/A 28983-2026 georefererad karta.tif", "A 28983-2026")</f>
        <v/>
      </c>
      <c r="AA31">
        <f>HYPERLINK("https://klasma.github.io/Logging_0484/klagomål/A 28983-2026 FSC-klagomål.docx", "A 28983-2026")</f>
        <v/>
      </c>
      <c r="AB31">
        <f>HYPERLINK("https://klasma.github.io/Logging_0484/klagomålsmail/A 28983-2026 FSC-klagomål mail.docx", "A 28983-2026")</f>
        <v/>
      </c>
      <c r="AC31">
        <f>HYPERLINK("https://klasma.github.io/Logging_0484/tillsyn/A 28983-2026 tillsynsbegäran.docx", "A 28983-2026")</f>
        <v/>
      </c>
      <c r="AD31">
        <f>HYPERLINK("https://klasma.github.io/Logging_0484/tillsynsmail/A 28983-2026 tillsynsbegäran mail.docx", "A 28983-2026")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46242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46242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46242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46242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46242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46242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46242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46242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46242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46242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46242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46242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46242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34986-2025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46242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Svart trolldruva
Spillkråka</t>
        </is>
      </c>
      <c r="W45">
        <f>HYPERLINK("https://klasma.github.io/Logging_0484/artfynd/A 34986-2025 artfynd.xlsx", "A 34986-2025")</f>
        <v/>
      </c>
      <c r="X45">
        <f>HYPERLINK("https://klasma.github.io/Logging_0484/kartor/A 34986-2025 karta.png", "A 34986-2025")</f>
        <v/>
      </c>
      <c r="Y45">
        <f>HYPERLINK("https://klasma.github.io/Logging_0484/kartor_geotiff/A 34986-2025 georefererad karta.tif", "A 34986-2025")</f>
        <v/>
      </c>
      <c r="AA45">
        <f>HYPERLINK("https://klasma.github.io/Logging_0484/klagomål/A 34986-2025 FSC-klagomål.docx", "A 34986-2025")</f>
        <v/>
      </c>
      <c r="AB45">
        <f>HYPERLINK("https://klasma.github.io/Logging_0484/klagomålsmail/A 34986-2025 FSC-klagomål mail.docx", "A 34986-2025")</f>
        <v/>
      </c>
      <c r="AC45">
        <f>HYPERLINK("https://klasma.github.io/Logging_0484/tillsyn/A 34986-2025 tillsynsbegäran.docx", "A 34986-2025")</f>
        <v/>
      </c>
      <c r="AD45">
        <f>HYPERLINK("https://klasma.github.io/Logging_0484/tillsynsmail/A 34986-2025 tillsynsbegäran mail.docx", "A 34986-2025")</f>
        <v/>
      </c>
      <c r="AE45">
        <f>HYPERLINK("https://klasma.github.io/Logging_0484/fåglar/A 34986-2025 prioriterade fågelarter.docx", "A 34986-2025")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46242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46242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46242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46242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46242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46242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46242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46242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46242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46242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46242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46242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46242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42002-2021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46242</v>
      </c>
      <c r="F59" t="inlineStr">
        <is>
          <t>SÖDERMANLANDS LÄN</t>
        </is>
      </c>
      <c r="G59" t="inlineStr">
        <is>
          <t>ESKILSTUNA</t>
        </is>
      </c>
      <c r="I59" t="n">
        <v>5.5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HYPERLINK("https://klasma.github.io/Logging_0484/artfynd/A 42002-2021 artfynd.xlsx", "A 42002-2021")</f>
        <v/>
      </c>
      <c r="X59">
        <f>HYPERLINK("https://klasma.github.io/Logging_0484/kartor/A 42002-2021 karta.png", "A 42002-2021")</f>
        <v/>
      </c>
      <c r="Y59">
        <f>HYPERLINK("https://klasma.github.io/Logging_0484/kartor_geotiff/A 42002-2021 georefererad karta.tif", "A 42002-2021")</f>
        <v/>
      </c>
      <c r="AA59">
        <f>HYPERLINK("https://klasma.github.io/Logging_0484/klagomål/A 42002-2021 FSC-klagomål.docx", "A 42002-2021")</f>
        <v/>
      </c>
      <c r="AB59">
        <f>HYPERLINK("https://klasma.github.io/Logging_0484/klagomålsmail/A 42002-2021 FSC-klagomål mail.docx", "A 42002-2021")</f>
        <v/>
      </c>
      <c r="AC59">
        <f>HYPERLINK("https://klasma.github.io/Logging_0484/tillsyn/A 42002-2021 tillsynsbegäran.docx", "A 42002-2021")</f>
        <v/>
      </c>
      <c r="AD59">
        <f>HYPERLINK("https://klasma.github.io/Logging_0484/tillsynsmail/A 42002-2021 tillsynsbegäran mail.docx", "A 42002-2021")</f>
        <v/>
      </c>
      <c r="AE59">
        <f>HYPERLINK("https://klasma.github.io/Logging_0484/fåglar/A 42002-2021 prioriterade fågelarter.docx", "A 42002-2021")</f>
        <v/>
      </c>
    </row>
    <row r="60" ht="15" customHeight="1">
      <c r="A60" t="inlineStr">
        <is>
          <t>A 49439-2021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46242</v>
      </c>
      <c r="F60" t="inlineStr">
        <is>
          <t>SÖDERMANLANDS LÄN</t>
        </is>
      </c>
      <c r="G60" t="inlineStr">
        <is>
          <t>ESKILSTUNA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Klasefibbla</t>
        </is>
      </c>
      <c r="W60">
        <f>HYPERLINK("https://klasma.github.io/Logging_0484/artfynd/A 49439-2021 artfynd.xlsx", "A 49439-2021")</f>
        <v/>
      </c>
      <c r="X60">
        <f>HYPERLINK("https://klasma.github.io/Logging_0484/kartor/A 49439-2021 karta.png", "A 49439-2021")</f>
        <v/>
      </c>
      <c r="Y60">
        <f>HYPERLINK("https://klasma.github.io/Logging_0484/kartor_geotiff/A 49439-2021 georefererad karta.tif", "A 49439-2021")</f>
        <v/>
      </c>
      <c r="AA60">
        <f>HYPERLINK("https://klasma.github.io/Logging_0484/klagomål/A 49439-2021 FSC-klagomål.docx", "A 49439-2021")</f>
        <v/>
      </c>
      <c r="AB60">
        <f>HYPERLINK("https://klasma.github.io/Logging_0484/klagomålsmail/A 49439-2021 FSC-klagomål mail.docx", "A 49439-2021")</f>
        <v/>
      </c>
      <c r="AC60">
        <f>HYPERLINK("https://klasma.github.io/Logging_0484/tillsyn/A 49439-2021 tillsynsbegäran.docx", "A 49439-2021")</f>
        <v/>
      </c>
      <c r="AD60">
        <f>HYPERLINK("https://klasma.github.io/Logging_0484/tillsynsmail/A 49439-2021 tillsynsbegäran mail.docx", "A 49439-2021")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46242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46242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46242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46242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46242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46242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46242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8518-2026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46242</v>
      </c>
      <c r="F68" t="inlineStr">
        <is>
          <t>SÖDERMANLANDS LÄN</t>
        </is>
      </c>
      <c r="G68" t="inlineStr">
        <is>
          <t>ESKILSTUNA</t>
        </is>
      </c>
      <c r="I68" t="n">
        <v>8.9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8518-2026 artfynd.xlsx", "A 8518-2026")</f>
        <v/>
      </c>
      <c r="X68">
        <f>HYPERLINK("https://klasma.github.io/Logging_0484/kartor/A 8518-2026 karta.png", "A 8518-2026")</f>
        <v/>
      </c>
      <c r="Y68">
        <f>HYPERLINK("https://klasma.github.io/Logging_0484/kartor_geotiff/A 8518-2026 georefererad karta.tif", "A 8518-2026")</f>
        <v/>
      </c>
      <c r="AA68">
        <f>HYPERLINK("https://klasma.github.io/Logging_0484/klagomål/A 8518-2026 FSC-klagomål.docx", "A 8518-2026")</f>
        <v/>
      </c>
      <c r="AB68">
        <f>HYPERLINK("https://klasma.github.io/Logging_0484/klagomålsmail/A 8518-2026 FSC-klagomål mail.docx", "A 8518-2026")</f>
        <v/>
      </c>
      <c r="AC68">
        <f>HYPERLINK("https://klasma.github.io/Logging_0484/tillsyn/A 8518-2026 tillsynsbegäran.docx", "A 8518-2026")</f>
        <v/>
      </c>
      <c r="AD68">
        <f>HYPERLINK("https://klasma.github.io/Logging_0484/tillsynsmail/A 8518-2026 tillsynsbegäran mail.docx", "A 8518-2026")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46242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46242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52840-2025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46242</v>
      </c>
      <c r="F71" t="inlineStr">
        <is>
          <t>SÖDERMANLANDS LÄN</t>
        </is>
      </c>
      <c r="G71" t="inlineStr">
        <is>
          <t>ESKILSTUNA</t>
        </is>
      </c>
      <c r="I71" t="n">
        <v>1.3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Skrovlig taggsvamp</t>
        </is>
      </c>
      <c r="W71">
        <f>HYPERLINK("https://klasma.github.io/Logging_0484/artfynd/A 52840-2025 artfynd.xlsx", "A 52840-2025")</f>
        <v/>
      </c>
      <c r="X71">
        <f>HYPERLINK("https://klasma.github.io/Logging_0484/kartor/A 52840-2025 karta.png", "A 52840-2025")</f>
        <v/>
      </c>
      <c r="Y71">
        <f>HYPERLINK("https://klasma.github.io/Logging_0484/kartor_geotiff/A 52840-2025 georefererad karta.tif", "A 52840-2025")</f>
        <v/>
      </c>
      <c r="AA71">
        <f>HYPERLINK("https://klasma.github.io/Logging_0484/klagomål/A 52840-2025 FSC-klagomål.docx", "A 52840-2025")</f>
        <v/>
      </c>
      <c r="AB71">
        <f>HYPERLINK("https://klasma.github.io/Logging_0484/klagomålsmail/A 52840-2025 FSC-klagomål mail.docx", "A 52840-2025")</f>
        <v/>
      </c>
      <c r="AC71">
        <f>HYPERLINK("https://klasma.github.io/Logging_0484/tillsyn/A 52840-2025 tillsynsbegäran.docx", "A 52840-2025")</f>
        <v/>
      </c>
      <c r="AD71">
        <f>HYPERLINK("https://klasma.github.io/Logging_0484/tillsynsmail/A 52840-2025 tillsynsbegäran mail.docx", "A 52840-2025")</f>
        <v/>
      </c>
    </row>
    <row r="72" ht="15" customHeight="1">
      <c r="A72" t="inlineStr">
        <is>
          <t>A 31056-2025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46242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HYPERLINK("https://klasma.github.io/Logging_0484/artfynd/A 31056-2025 artfynd.xlsx", "A 31056-2025")</f>
        <v/>
      </c>
      <c r="X72">
        <f>HYPERLINK("https://klasma.github.io/Logging_0484/kartor/A 31056-2025 karta.png", "A 31056-2025")</f>
        <v/>
      </c>
      <c r="Y72">
        <f>HYPERLINK("https://klasma.github.io/Logging_0484/kartor_geotiff/A 31056-2025 georefererad karta.tif", "A 31056-2025")</f>
        <v/>
      </c>
      <c r="AA72">
        <f>HYPERLINK("https://klasma.github.io/Logging_0484/klagomål/A 31056-2025 FSC-klagomål.docx", "A 31056-2025")</f>
        <v/>
      </c>
      <c r="AB72">
        <f>HYPERLINK("https://klasma.github.io/Logging_0484/klagomålsmail/A 31056-2025 FSC-klagomål mail.docx", "A 31056-2025")</f>
        <v/>
      </c>
      <c r="AC72">
        <f>HYPERLINK("https://klasma.github.io/Logging_0484/tillsyn/A 31056-2025 tillsynsbegäran.docx", "A 31056-2025")</f>
        <v/>
      </c>
      <c r="AD72">
        <f>HYPERLINK("https://klasma.github.io/Logging_0484/tillsynsmail/A 31056-2025 tillsynsbegäran mail.docx", "A 31056-2025")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46242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59070-2022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46242</v>
      </c>
      <c r="F74" t="inlineStr">
        <is>
          <t>SÖDERMANLANDS LÄN</t>
        </is>
      </c>
      <c r="G74" t="inlineStr">
        <is>
          <t>ESKILSTUNA</t>
        </is>
      </c>
      <c r="I74" t="n">
        <v>6.6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HYPERLINK("https://klasma.github.io/Logging_0484/artfynd/A 59070-2022 artfynd.xlsx", "A 59070-2022")</f>
        <v/>
      </c>
      <c r="X74">
        <f>HYPERLINK("https://klasma.github.io/Logging_0484/kartor/A 59070-2022 karta.png", "A 59070-2022")</f>
        <v/>
      </c>
      <c r="Y74">
        <f>HYPERLINK("https://klasma.github.io/Logging_0484/kartor_geotiff/A 59070-2022 georefererad karta.tif", "A 59070-2022")</f>
        <v/>
      </c>
      <c r="AA74">
        <f>HYPERLINK("https://klasma.github.io/Logging_0484/klagomål/A 59070-2022 FSC-klagomål.docx", "A 59070-2022")</f>
        <v/>
      </c>
      <c r="AB74">
        <f>HYPERLINK("https://klasma.github.io/Logging_0484/klagomålsmail/A 59070-2022 FSC-klagomål mail.docx", "A 59070-2022")</f>
        <v/>
      </c>
      <c r="AC74">
        <f>HYPERLINK("https://klasma.github.io/Logging_0484/tillsyn/A 59070-2022 tillsynsbegäran.docx", "A 59070-2022")</f>
        <v/>
      </c>
      <c r="AD74">
        <f>HYPERLINK("https://klasma.github.io/Logging_0484/tillsynsmail/A 59070-2022 tillsynsbegäran mail.docx", "A 59070-2022")</f>
        <v/>
      </c>
    </row>
    <row r="75" ht="15" customHeight="1">
      <c r="A75" t="inlineStr">
        <is>
          <t>A 42012-2021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46242</v>
      </c>
      <c r="F75" t="inlineStr">
        <is>
          <t>SÖDERMANLANDS LÄN</t>
        </is>
      </c>
      <c r="G75" t="inlineStr">
        <is>
          <t>ESKILSTUNA</t>
        </is>
      </c>
      <c r="I75" t="n">
        <v>7.9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 sköldmossa</t>
        </is>
      </c>
      <c r="W75">
        <f>HYPERLINK("https://klasma.github.io/Logging_0484/artfynd/A 42012-2021 artfynd.xlsx", "A 42012-2021")</f>
        <v/>
      </c>
      <c r="X75">
        <f>HYPERLINK("https://klasma.github.io/Logging_0484/kartor/A 42012-2021 karta.png", "A 42012-2021")</f>
        <v/>
      </c>
      <c r="Y75">
        <f>HYPERLINK("https://klasma.github.io/Logging_0484/kartor_geotiff/A 42012-2021 georefererad karta.tif", "A 42012-2021")</f>
        <v/>
      </c>
      <c r="AA75">
        <f>HYPERLINK("https://klasma.github.io/Logging_0484/klagomål/A 42012-2021 FSC-klagomål.docx", "A 42012-2021")</f>
        <v/>
      </c>
      <c r="AB75">
        <f>HYPERLINK("https://klasma.github.io/Logging_0484/klagomålsmail/A 42012-2021 FSC-klagomål mail.docx", "A 42012-2021")</f>
        <v/>
      </c>
      <c r="AC75">
        <f>HYPERLINK("https://klasma.github.io/Logging_0484/tillsyn/A 42012-2021 tillsynsbegäran.docx", "A 42012-2021")</f>
        <v/>
      </c>
      <c r="AD75">
        <f>HYPERLINK("https://klasma.github.io/Logging_0484/tillsynsmail/A 42012-2021 tillsynsbegäran mail.docx", "A 42012-2021")</f>
        <v/>
      </c>
    </row>
    <row r="76" ht="15" customHeight="1">
      <c r="A76" t="inlineStr">
        <is>
          <t>A 36216-2025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46242</v>
      </c>
      <c r="F76" t="inlineStr">
        <is>
          <t>SÖDERMANLANDS LÄN</t>
        </is>
      </c>
      <c r="G76" t="inlineStr">
        <is>
          <t>ESKILSTUNA</t>
        </is>
      </c>
      <c r="I76" t="n">
        <v>18.7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Blomkålssvamp</t>
        </is>
      </c>
      <c r="W76">
        <f>HYPERLINK("https://klasma.github.io/Logging_0484/artfynd/A 36216-2025 artfynd.xlsx", "A 36216-2025")</f>
        <v/>
      </c>
      <c r="X76">
        <f>HYPERLINK("https://klasma.github.io/Logging_0484/kartor/A 36216-2025 karta.png", "A 36216-2025")</f>
        <v/>
      </c>
      <c r="Y76">
        <f>HYPERLINK("https://klasma.github.io/Logging_0484/kartor_geotiff/A 36216-2025 georefererad karta.tif", "A 36216-2025")</f>
        <v/>
      </c>
      <c r="AA76">
        <f>HYPERLINK("https://klasma.github.io/Logging_0484/klagomål/A 36216-2025 FSC-klagomål.docx", "A 36216-2025")</f>
        <v/>
      </c>
      <c r="AB76">
        <f>HYPERLINK("https://klasma.github.io/Logging_0484/klagomålsmail/A 36216-2025 FSC-klagomål mail.docx", "A 36216-2025")</f>
        <v/>
      </c>
      <c r="AC76">
        <f>HYPERLINK("https://klasma.github.io/Logging_0484/tillsyn/A 36216-2025 tillsynsbegäran.docx", "A 36216-2025")</f>
        <v/>
      </c>
      <c r="AD76">
        <f>HYPERLINK("https://klasma.github.io/Logging_0484/tillsynsmail/A 36216-2025 tillsynsbegäran mail.docx", "A 36216-2025")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46242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46242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46242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48676-2021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46242</v>
      </c>
      <c r="F80" t="inlineStr">
        <is>
          <t>SÖDERMANLANDS LÄN</t>
        </is>
      </c>
      <c r="G80" t="inlineStr">
        <is>
          <t>ESKILSTUNA</t>
        </is>
      </c>
      <c r="I80" t="n">
        <v>8.4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Bronshjon</t>
        </is>
      </c>
      <c r="W80">
        <f>HYPERLINK("https://klasma.github.io/Logging_0484/artfynd/A 48676-2021 artfynd.xlsx", "A 48676-2021")</f>
        <v/>
      </c>
      <c r="X80">
        <f>HYPERLINK("https://klasma.github.io/Logging_0484/kartor/A 48676-2021 karta.png", "A 48676-2021")</f>
        <v/>
      </c>
      <c r="Y80">
        <f>HYPERLINK("https://klasma.github.io/Logging_0484/kartor_geotiff/A 48676-2021 georefererad karta.tif", "A 48676-2021")</f>
        <v/>
      </c>
      <c r="AA80">
        <f>HYPERLINK("https://klasma.github.io/Logging_0484/klagomål/A 48676-2021 FSC-klagomål.docx", "A 48676-2021")</f>
        <v/>
      </c>
      <c r="AB80">
        <f>HYPERLINK("https://klasma.github.io/Logging_0484/klagomålsmail/A 48676-2021 FSC-klagomål mail.docx", "A 48676-2021")</f>
        <v/>
      </c>
      <c r="AC80">
        <f>HYPERLINK("https://klasma.github.io/Logging_0484/tillsyn/A 48676-2021 tillsynsbegäran.docx", "A 48676-2021")</f>
        <v/>
      </c>
      <c r="AD80">
        <f>HYPERLINK("https://klasma.github.io/Logging_0484/tillsynsmail/A 48676-2021 tillsynsbegäran mail.docx", "A 48676-2021")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46242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46242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46242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46242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46242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27892-2026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46242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Nattviol</t>
        </is>
      </c>
      <c r="W86">
        <f>HYPERLINK("https://klasma.github.io/Logging_0484/artfynd/A 27892-2026 artfynd.xlsx", "A 27892-2026")</f>
        <v/>
      </c>
      <c r="X86">
        <f>HYPERLINK("https://klasma.github.io/Logging_0484/kartor/A 27892-2026 karta.png", "A 27892-2026")</f>
        <v/>
      </c>
      <c r="Y86">
        <f>HYPERLINK("https://klasma.github.io/Logging_0484/kartor_geotiff/A 27892-2026 georefererad karta.tif", "A 27892-2026")</f>
        <v/>
      </c>
      <c r="AA86">
        <f>HYPERLINK("https://klasma.github.io/Logging_0484/klagomål/A 27892-2026 FSC-klagomål.docx", "A 27892-2026")</f>
        <v/>
      </c>
      <c r="AB86">
        <f>HYPERLINK("https://klasma.github.io/Logging_0484/klagomålsmail/A 27892-2026 FSC-klagomål mail.docx", "A 27892-2026")</f>
        <v/>
      </c>
      <c r="AC86">
        <f>HYPERLINK("https://klasma.github.io/Logging_0484/tillsyn/A 27892-2026 tillsynsbegäran.docx", "A 27892-2026")</f>
        <v/>
      </c>
      <c r="AD86">
        <f>HYPERLINK("https://klasma.github.io/Logging_0484/tillsynsmail/A 27892-2026 tillsynsbegäran mail.docx", "A 27892-2026")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46242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Kandelabersvamp</t>
        </is>
      </c>
      <c r="W87">
        <f>HYPERLINK("https://klasma.github.io/Logging_0484/artfynd/A 29047-2026 artfynd.xlsx", "A 29047-2026")</f>
        <v/>
      </c>
      <c r="X87">
        <f>HYPERLINK("https://klasma.github.io/Logging_0484/kartor/A 29047-2026 karta.png", "A 29047-2026")</f>
        <v/>
      </c>
      <c r="Y87">
        <f>HYPERLINK("https://klasma.github.io/Logging_0484/kartor_geotiff/A 29047-2026 georefererad karta.tif", "A 29047-2026")</f>
        <v/>
      </c>
      <c r="AA87">
        <f>HYPERLINK("https://klasma.github.io/Logging_0484/klagomål/A 29047-2026 FSC-klagomål.docx", "A 29047-2026")</f>
        <v/>
      </c>
      <c r="AB87">
        <f>HYPERLINK("https://klasma.github.io/Logging_0484/klagomålsmail/A 29047-2026 FSC-klagomål mail.docx", "A 29047-2026")</f>
        <v/>
      </c>
      <c r="AC87">
        <f>HYPERLINK("https://klasma.github.io/Logging_0484/tillsyn/A 29047-2026 tillsynsbegäran.docx", "A 29047-2026")</f>
        <v/>
      </c>
      <c r="AD87">
        <f>HYPERLINK("https://klasma.github.io/Logging_0484/tillsynsmail/A 29047-2026 tillsynsbegäran mail.docx", "A 29047-2026")</f>
        <v/>
      </c>
    </row>
    <row r="88" ht="15" customHeight="1">
      <c r="A88" t="inlineStr">
        <is>
          <t>A 47648-2022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46242</v>
      </c>
      <c r="F88" t="inlineStr">
        <is>
          <t>SÖDERMANLANDS LÄN</t>
        </is>
      </c>
      <c r="G88" t="inlineStr">
        <is>
          <t>ESKILSTUNA</t>
        </is>
      </c>
      <c r="I88" t="n">
        <v>1.8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Grönsångare</t>
        </is>
      </c>
      <c r="W88">
        <f>HYPERLINK("https://klasma.github.io/Logging_0484/artfynd/A 47648-2022 artfynd.xlsx", "A 47648-2022")</f>
        <v/>
      </c>
      <c r="X88">
        <f>HYPERLINK("https://klasma.github.io/Logging_0484/kartor/A 47648-2022 karta.png", "A 47648-2022")</f>
        <v/>
      </c>
      <c r="Y88">
        <f>HYPERLINK("https://klasma.github.io/Logging_0484/kartor_geotiff/A 47648-2022 georefererad karta.tif", "A 47648-2022")</f>
        <v/>
      </c>
      <c r="AA88">
        <f>HYPERLINK("https://klasma.github.io/Logging_0484/klagomål/A 47648-2022 FSC-klagomål.docx", "A 47648-2022")</f>
        <v/>
      </c>
      <c r="AB88">
        <f>HYPERLINK("https://klasma.github.io/Logging_0484/klagomålsmail/A 47648-2022 FSC-klagomål mail.docx", "A 47648-2022")</f>
        <v/>
      </c>
      <c r="AC88">
        <f>HYPERLINK("https://klasma.github.io/Logging_0484/tillsyn/A 47648-2022 tillsynsbegäran.docx", "A 47648-2022")</f>
        <v/>
      </c>
      <c r="AD88">
        <f>HYPERLINK("https://klasma.github.io/Logging_0484/tillsynsmail/A 47648-2022 tillsynsbegäran mail.docx", "A 47648-2022")</f>
        <v/>
      </c>
      <c r="AE88">
        <f>HYPERLINK("https://klasma.github.io/Logging_0484/fåglar/A 47648-2022 prioriterade fågelarter.docx", "A 47648-2022")</f>
        <v/>
      </c>
    </row>
    <row r="89" ht="15" customHeight="1">
      <c r="A89" t="inlineStr">
        <is>
          <t>A 53399-2023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46242</v>
      </c>
      <c r="F89" t="inlineStr">
        <is>
          <t>SÖDERMANLANDS LÄN</t>
        </is>
      </c>
      <c r="G89" t="inlineStr">
        <is>
          <t>ESKILSTUNA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Grönvit nattviol</t>
        </is>
      </c>
      <c r="W89">
        <f>HYPERLINK("https://klasma.github.io/Logging_0484/artfynd/A 53399-2023 artfynd.xlsx", "A 53399-2023")</f>
        <v/>
      </c>
      <c r="X89">
        <f>HYPERLINK("https://klasma.github.io/Logging_0484/kartor/A 53399-2023 karta.png", "A 53399-2023")</f>
        <v/>
      </c>
      <c r="Y89">
        <f>HYPERLINK("https://klasma.github.io/Logging_0484/kartor_geotiff/A 53399-2023 georefererad karta.tif", "A 53399-2023")</f>
        <v/>
      </c>
      <c r="AA89">
        <f>HYPERLINK("https://klasma.github.io/Logging_0484/klagomål/A 53399-2023 FSC-klagomål.docx", "A 53399-2023")</f>
        <v/>
      </c>
      <c r="AB89">
        <f>HYPERLINK("https://klasma.github.io/Logging_0484/klagomålsmail/A 53399-2023 FSC-klagomål mail.docx", "A 53399-2023")</f>
        <v/>
      </c>
      <c r="AC89">
        <f>HYPERLINK("https://klasma.github.io/Logging_0484/tillsyn/A 53399-2023 tillsynsbegäran.docx", "A 53399-2023")</f>
        <v/>
      </c>
      <c r="AD89">
        <f>HYPERLINK("https://klasma.github.io/Logging_0484/tillsynsmail/A 53399-2023 tillsynsbegäran mail.docx", "A 53399-2023")</f>
        <v/>
      </c>
    </row>
    <row r="90" ht="15" customHeight="1">
      <c r="A90" t="inlineStr">
        <is>
          <t>A 43547-2022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44834</v>
      </c>
      <c r="E90" s="1" t="n">
        <v>46242</v>
      </c>
      <c r="F90" t="inlineStr">
        <is>
          <t>SÖDERMANLANDS LÄN</t>
        </is>
      </c>
      <c r="G90" t="inlineStr">
        <is>
          <t>ESKILSTUNA</t>
        </is>
      </c>
      <c r="I90" t="n">
        <v>3.2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HYPERLINK("https://klasma.github.io/Logging_0484/artfynd/A 43547-2022 artfynd.xlsx", "A 43547-2022")</f>
        <v/>
      </c>
      <c r="X90">
        <f>HYPERLINK("https://klasma.github.io/Logging_0484/kartor/A 43547-2022 karta.png", "A 43547-2022")</f>
        <v/>
      </c>
      <c r="Y90">
        <f>HYPERLINK("https://klasma.github.io/Logging_0484/kartor_geotiff/A 43547-2022 georefererad karta.tif", "A 43547-2022")</f>
        <v/>
      </c>
      <c r="Z90">
        <f>HYPERLINK("https://klasma.github.io/Logging_0484/knärot/A 43547-2022 karta knärot.png", "A 43547-2022")</f>
        <v/>
      </c>
      <c r="AA90">
        <f>HYPERLINK("https://klasma.github.io/Logging_0484/klagomål/A 43547-2022 FSC-klagomål.docx", "A 43547-2022")</f>
        <v/>
      </c>
      <c r="AB90">
        <f>HYPERLINK("https://klasma.github.io/Logging_0484/klagomålsmail/A 43547-2022 FSC-klagomål mail.docx", "A 43547-2022")</f>
        <v/>
      </c>
      <c r="AC90">
        <f>HYPERLINK("https://klasma.github.io/Logging_0484/tillsyn/A 43547-2022 tillsynsbegäran.docx", "A 43547-2022")</f>
        <v/>
      </c>
      <c r="AD90">
        <f>HYPERLINK("https://klasma.github.io/Logging_0484/tillsynsmail/A 43547-2022 tillsynsbegäran mail.docx", "A 43547-2022")</f>
        <v/>
      </c>
    </row>
    <row r="91" ht="15" customHeight="1">
      <c r="A91" t="inlineStr">
        <is>
          <t>A 12984-2024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46242</v>
      </c>
      <c r="F91" t="inlineStr">
        <is>
          <t>SÖDERMANLANDS LÄN</t>
        </is>
      </c>
      <c r="G91" t="inlineStr">
        <is>
          <t>ESKILSTUNA</t>
        </is>
      </c>
      <c r="H91" t="inlineStr">
        <is>
          <t>Allmännings- och besparingsskogar</t>
        </is>
      </c>
      <c r="I91" t="n">
        <v>6.4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HYPERLINK("https://klasma.github.io/Logging_0484/artfynd/A 12984-2024 artfynd.xlsx", "A 12984-2024")</f>
        <v/>
      </c>
      <c r="X91">
        <f>HYPERLINK("https://klasma.github.io/Logging_0484/kartor/A 12984-2024 karta.png", "A 12984-2024")</f>
        <v/>
      </c>
      <c r="Y91">
        <f>HYPERLINK("https://klasma.github.io/Logging_0484/kartor_geotiff/A 12984-2024 georefererad karta.tif", "A 12984-2024")</f>
        <v/>
      </c>
      <c r="AA91">
        <f>HYPERLINK("https://klasma.github.io/Logging_0484/klagomål/A 12984-2024 FSC-klagomål.docx", "A 12984-2024")</f>
        <v/>
      </c>
      <c r="AB91">
        <f>HYPERLINK("https://klasma.github.io/Logging_0484/klagomålsmail/A 12984-2024 FSC-klagomål mail.docx", "A 12984-2024")</f>
        <v/>
      </c>
      <c r="AC91">
        <f>HYPERLINK("https://klasma.github.io/Logging_0484/tillsyn/A 12984-2024 tillsynsbegäran.docx", "A 12984-2024")</f>
        <v/>
      </c>
      <c r="AD91">
        <f>HYPERLINK("https://klasma.github.io/Logging_0484/tillsynsmail/A 12984-2024 tillsynsbegäran mail.docx", "A 12984-2024")</f>
        <v/>
      </c>
    </row>
    <row r="92" ht="15" customHeight="1">
      <c r="A92" t="inlineStr">
        <is>
          <t>A 30975-2023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46242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Bombmurkla</t>
        </is>
      </c>
      <c r="W92">
        <f>HYPERLINK("https://klasma.github.io/Logging_0484/artfynd/A 30975-2023 artfynd.xlsx", "A 30975-2023")</f>
        <v/>
      </c>
      <c r="X92">
        <f>HYPERLINK("https://klasma.github.io/Logging_0484/kartor/A 30975-2023 karta.png", "A 30975-2023")</f>
        <v/>
      </c>
      <c r="Y92">
        <f>HYPERLINK("https://klasma.github.io/Logging_0484/kartor_geotiff/A 30975-2023 georefererad karta.tif", "A 30975-2023")</f>
        <v/>
      </c>
      <c r="AA92">
        <f>HYPERLINK("https://klasma.github.io/Logging_0484/klagomål/A 30975-2023 FSC-klagomål.docx", "A 30975-2023")</f>
        <v/>
      </c>
      <c r="AB92">
        <f>HYPERLINK("https://klasma.github.io/Logging_0484/klagomålsmail/A 30975-2023 FSC-klagomål mail.docx", "A 30975-2023")</f>
        <v/>
      </c>
      <c r="AC92">
        <f>HYPERLINK("https://klasma.github.io/Logging_0484/tillsyn/A 30975-2023 tillsynsbegäran.docx", "A 30975-2023")</f>
        <v/>
      </c>
      <c r="AD92">
        <f>HYPERLINK("https://klasma.github.io/Logging_0484/tillsynsmail/A 30975-2023 tillsynsbegäran mail.docx", "A 30975-2023")</f>
        <v/>
      </c>
    </row>
    <row r="93" ht="15" customHeight="1">
      <c r="A93" t="inlineStr">
        <is>
          <t>A 2512-2025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45674</v>
      </c>
      <c r="E93" s="1" t="n">
        <v>46242</v>
      </c>
      <c r="F93" t="inlineStr">
        <is>
          <t>SÖDERMANLANDS LÄN</t>
        </is>
      </c>
      <c r="G93" t="inlineStr">
        <is>
          <t>ESKILSTUNA</t>
        </is>
      </c>
      <c r="I93" t="n">
        <v>3.9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HYPERLINK("https://klasma.github.io/Logging_0484/artfynd/A 2512-2025 artfynd.xlsx", "A 2512-2025")</f>
        <v/>
      </c>
      <c r="X93">
        <f>HYPERLINK("https://klasma.github.io/Logging_0484/kartor/A 2512-2025 karta.png", "A 2512-2025")</f>
        <v/>
      </c>
      <c r="Y93">
        <f>HYPERLINK("https://klasma.github.io/Logging_0484/kartor_geotiff/A 2512-2025 georefererad karta.tif", "A 2512-2025")</f>
        <v/>
      </c>
      <c r="AA93">
        <f>HYPERLINK("https://klasma.github.io/Logging_0484/klagomål/A 2512-2025 FSC-klagomål.docx", "A 2512-2025")</f>
        <v/>
      </c>
      <c r="AB93">
        <f>HYPERLINK("https://klasma.github.io/Logging_0484/klagomålsmail/A 2512-2025 FSC-klagomål mail.docx", "A 2512-2025")</f>
        <v/>
      </c>
      <c r="AC93">
        <f>HYPERLINK("https://klasma.github.io/Logging_0484/tillsyn/A 2512-2025 tillsynsbegäran.docx", "A 2512-2025")</f>
        <v/>
      </c>
      <c r="AD93">
        <f>HYPERLINK("https://klasma.github.io/Logging_0484/tillsynsmail/A 2512-2025 tillsynsbegäran mail.docx", "A 2512-2025")</f>
        <v/>
      </c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46242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46242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44490</v>
      </c>
      <c r="E96" s="1" t="n">
        <v>46242</v>
      </c>
      <c r="F96" t="inlineStr">
        <is>
          <t>SÖDERMANLANDS LÄN</t>
        </is>
      </c>
      <c r="G96" t="inlineStr">
        <is>
          <t>ESKILSTUNA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46242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46242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46242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46242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46242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46242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46242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46242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46242</v>
      </c>
      <c r="F105" t="inlineStr">
        <is>
          <t>SÖDERMANLANDS LÄN</t>
        </is>
      </c>
      <c r="G105" t="inlineStr">
        <is>
          <t>ESKILSTUNA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46242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46242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46242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46242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46242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46242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46242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46242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46242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46242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46242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44799</v>
      </c>
      <c r="E117" s="1" t="n">
        <v>46242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46242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46242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46242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46242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46242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46242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46242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46242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46242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46242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46242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46242</v>
      </c>
      <c r="F129" t="inlineStr">
        <is>
          <t>SÖDERMANLANDS LÄN</t>
        </is>
      </c>
      <c r="G129" t="inlineStr">
        <is>
          <t>ESKILSTUNA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46242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46242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46242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46242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46242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46242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46242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46242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46242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46242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46242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46242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46242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46242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46242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46242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60721-2021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44490</v>
      </c>
      <c r="E146" s="1" t="n">
        <v>46242</v>
      </c>
      <c r="F146" t="inlineStr">
        <is>
          <t>SÖDERMANLANDS LÄN</t>
        </is>
      </c>
      <c r="G146" t="inlineStr">
        <is>
          <t>ESKILSTUNA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46242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46242</v>
      </c>
      <c r="F148" t="inlineStr">
        <is>
          <t>SÖDERMANLANDS LÄN</t>
        </is>
      </c>
      <c r="G148" t="inlineStr">
        <is>
          <t>ESKILSTUNA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46242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44654</v>
      </c>
      <c r="E150" s="1" t="n">
        <v>46242</v>
      </c>
      <c r="F150" t="inlineStr">
        <is>
          <t>SÖDERMANLANDS LÄN</t>
        </is>
      </c>
      <c r="G150" t="inlineStr">
        <is>
          <t>ESKILSTUNA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46242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44432</v>
      </c>
      <c r="E152" s="1" t="n">
        <v>46242</v>
      </c>
      <c r="F152" t="inlineStr">
        <is>
          <t>SÖDERMANLANDS LÄN</t>
        </is>
      </c>
      <c r="G152" t="inlineStr">
        <is>
          <t>ESKILSTUNA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46242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46242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46242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46242</v>
      </c>
      <c r="F156" t="inlineStr">
        <is>
          <t>SÖDERMANLANDS LÄN</t>
        </is>
      </c>
      <c r="G156" t="inlineStr">
        <is>
          <t>ESKILSTUNA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46242</v>
      </c>
      <c r="F157" t="inlineStr">
        <is>
          <t>SÖDERMANLANDS LÄN</t>
        </is>
      </c>
      <c r="G157" t="inlineStr">
        <is>
          <t>ESKILSTUNA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42016-2021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44426</v>
      </c>
      <c r="E158" s="1" t="n">
        <v>46242</v>
      </c>
      <c r="F158" t="inlineStr">
        <is>
          <t>SÖDERMANLANDS LÄN</t>
        </is>
      </c>
      <c r="G158" t="inlineStr">
        <is>
          <t>ESKILSTUNA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46242</v>
      </c>
      <c r="F159" t="inlineStr">
        <is>
          <t>SÖDERMANLANDS LÄN</t>
        </is>
      </c>
      <c r="G159" t="inlineStr">
        <is>
          <t>ESKILSTUNA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46242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44636</v>
      </c>
      <c r="E161" s="1" t="n">
        <v>46242</v>
      </c>
      <c r="F161" t="inlineStr">
        <is>
          <t>SÖDERMANLANDS LÄN</t>
        </is>
      </c>
      <c r="G161" t="inlineStr">
        <is>
          <t>ESKILSTUNA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44782</v>
      </c>
      <c r="E162" s="1" t="n">
        <v>46242</v>
      </c>
      <c r="F162" t="inlineStr">
        <is>
          <t>SÖDERMANLANDS LÄN</t>
        </is>
      </c>
      <c r="G162" t="inlineStr">
        <is>
          <t>ESKILSTUNA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46242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46242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46242</v>
      </c>
      <c r="F165" t="inlineStr">
        <is>
          <t>SÖDERMANLANDS LÄN</t>
        </is>
      </c>
      <c r="G165" t="inlineStr">
        <is>
          <t>ESKILSTUNA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46242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46242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46242</v>
      </c>
      <c r="F168" t="inlineStr">
        <is>
          <t>SÖDERMANLANDS LÄN</t>
        </is>
      </c>
      <c r="G168" t="inlineStr">
        <is>
          <t>ESKILSTUNA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46242</v>
      </c>
      <c r="F169" t="inlineStr">
        <is>
          <t>SÖDERMANLANDS LÄN</t>
        </is>
      </c>
      <c r="G169" t="inlineStr">
        <is>
          <t>ESKILSTUNA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46242</v>
      </c>
      <c r="F170" t="inlineStr">
        <is>
          <t>SÖDERMANLANDS LÄN</t>
        </is>
      </c>
      <c r="G170" t="inlineStr">
        <is>
          <t>ESKILSTUNA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46242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46242</v>
      </c>
      <c r="F172" t="inlineStr">
        <is>
          <t>SÖDERMANLANDS LÄN</t>
        </is>
      </c>
      <c r="G172" t="inlineStr">
        <is>
          <t>ESKILSTUNA</t>
        </is>
      </c>
      <c r="I172" t="n">
        <v>20.1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46242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46242</v>
      </c>
      <c r="F174" t="inlineStr">
        <is>
          <t>SÖDERMANLANDS LÄN</t>
        </is>
      </c>
      <c r="G174" t="inlineStr">
        <is>
          <t>ESKILSTUNA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46242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46242</v>
      </c>
      <c r="F176" t="inlineStr">
        <is>
          <t>SÖDERMANLANDS LÄN</t>
        </is>
      </c>
      <c r="G176" t="inlineStr">
        <is>
          <t>ESKILSTUNA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46242</v>
      </c>
      <c r="F177" t="inlineStr">
        <is>
          <t>SÖDERMANLANDS LÄN</t>
        </is>
      </c>
      <c r="G177" t="inlineStr">
        <is>
          <t>ESKILSTUNA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46242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46242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46242</v>
      </c>
      <c r="F180" t="inlineStr">
        <is>
          <t>SÖDERMANLANDS LÄN</t>
        </is>
      </c>
      <c r="G180" t="inlineStr">
        <is>
          <t>ESKILSTUNA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15592-2023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45020</v>
      </c>
      <c r="E181" s="1" t="n">
        <v>46242</v>
      </c>
      <c r="F181" t="inlineStr">
        <is>
          <t>SÖDERMANLANDS LÄN</t>
        </is>
      </c>
      <c r="G181" t="inlineStr">
        <is>
          <t>ESKILSTUNA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46242</v>
      </c>
      <c r="F182" t="inlineStr">
        <is>
          <t>SÖDERMANLANDS LÄN</t>
        </is>
      </c>
      <c r="G182" t="inlineStr">
        <is>
          <t>ESKILSTUNA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46242</v>
      </c>
      <c r="F183" t="inlineStr">
        <is>
          <t>SÖDERMANLANDS LÄN</t>
        </is>
      </c>
      <c r="G183" t="inlineStr">
        <is>
          <t>ESKILSTUNA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46242</v>
      </c>
      <c r="F184" t="inlineStr">
        <is>
          <t>SÖDERMANLANDS LÄN</t>
        </is>
      </c>
      <c r="G184" t="inlineStr">
        <is>
          <t>ESKILSTUNA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44819</v>
      </c>
      <c r="E185" s="1" t="n">
        <v>46242</v>
      </c>
      <c r="F185" t="inlineStr">
        <is>
          <t>SÖDERMANLANDS LÄN</t>
        </is>
      </c>
      <c r="G185" t="inlineStr">
        <is>
          <t>ESKILSTUNA</t>
        </is>
      </c>
      <c r="I185" t="n">
        <v>11.6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45514</v>
      </c>
      <c r="E186" s="1" t="n">
        <v>46242</v>
      </c>
      <c r="F186" t="inlineStr">
        <is>
          <t>SÖDERMANLANDS LÄN</t>
        </is>
      </c>
      <c r="G186" t="inlineStr">
        <is>
          <t>ESKILSTUNA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46242</v>
      </c>
      <c r="F187" t="inlineStr">
        <is>
          <t>SÖDERMANLANDS LÄN</t>
        </is>
      </c>
      <c r="G187" t="inlineStr">
        <is>
          <t>ESKILSTUNA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46242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46242</v>
      </c>
      <c r="F189" t="inlineStr">
        <is>
          <t>SÖDERMANLANDS LÄN</t>
        </is>
      </c>
      <c r="G189" t="inlineStr">
        <is>
          <t>ESKILSTUNA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44019-2021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46242</v>
      </c>
      <c r="F190" t="inlineStr">
        <is>
          <t>SÖDERMANLANDS LÄN</t>
        </is>
      </c>
      <c r="G190" t="inlineStr">
        <is>
          <t>ESKILSTUNA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30968-2022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44768</v>
      </c>
      <c r="E191" s="1" t="n">
        <v>46242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Sveaskog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46242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45007</v>
      </c>
      <c r="E193" s="1" t="n">
        <v>46242</v>
      </c>
      <c r="F193" t="inlineStr">
        <is>
          <t>SÖDERMANLANDS LÄN</t>
        </is>
      </c>
      <c r="G193" t="inlineStr">
        <is>
          <t>ESKILSTUNA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46242</v>
      </c>
      <c r="F194" t="inlineStr">
        <is>
          <t>SÖDERMANLANDS LÄN</t>
        </is>
      </c>
      <c r="G194" t="inlineStr">
        <is>
          <t>ESKILSTUNA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46242</v>
      </c>
      <c r="F195" t="inlineStr">
        <is>
          <t>SÖDERMANLANDS LÄN</t>
        </is>
      </c>
      <c r="G195" t="inlineStr">
        <is>
          <t>ESKILSTUNA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45301</v>
      </c>
      <c r="E196" s="1" t="n">
        <v>46242</v>
      </c>
      <c r="F196" t="inlineStr">
        <is>
          <t>SÖDERMANLANDS LÄN</t>
        </is>
      </c>
      <c r="G196" t="inlineStr">
        <is>
          <t>ESKILSTUNA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46242</v>
      </c>
      <c r="F197" t="inlineStr">
        <is>
          <t>SÖDERMANLANDS LÄN</t>
        </is>
      </c>
      <c r="G197" t="inlineStr">
        <is>
          <t>ESKILSTUNA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46242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46242</v>
      </c>
      <c r="F199" t="inlineStr">
        <is>
          <t>SÖDERMANLANDS LÄN</t>
        </is>
      </c>
      <c r="G199" t="inlineStr">
        <is>
          <t>ESKILSTUNA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46242</v>
      </c>
      <c r="F200" t="inlineStr">
        <is>
          <t>SÖDERMANLANDS LÄN</t>
        </is>
      </c>
      <c r="G200" t="inlineStr">
        <is>
          <t>ESKILSTUNA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38895-2023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45163</v>
      </c>
      <c r="E201" s="1" t="n">
        <v>46242</v>
      </c>
      <c r="F201" t="inlineStr">
        <is>
          <t>SÖDERMANLANDS LÄN</t>
        </is>
      </c>
      <c r="G201" t="inlineStr">
        <is>
          <t>ESKILSTUNA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46242</v>
      </c>
      <c r="F202" t="inlineStr">
        <is>
          <t>SÖDERMANLANDS LÄN</t>
        </is>
      </c>
      <c r="G202" t="inlineStr">
        <is>
          <t>ESKILSTUNA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46242</v>
      </c>
      <c r="F203" t="inlineStr">
        <is>
          <t>SÖDERMANLANDS LÄN</t>
        </is>
      </c>
      <c r="G203" t="inlineStr">
        <is>
          <t>ESKILSTUNA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46242</v>
      </c>
      <c r="F204" t="inlineStr">
        <is>
          <t>SÖDERMANLANDS LÄN</t>
        </is>
      </c>
      <c r="G204" t="inlineStr">
        <is>
          <t>ESKILSTUNA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46242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46242</v>
      </c>
      <c r="F206" t="inlineStr">
        <is>
          <t>SÖDERMANLANDS LÄN</t>
        </is>
      </c>
      <c r="G206" t="inlineStr">
        <is>
          <t>ESKILSTUNA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61830-2023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45266</v>
      </c>
      <c r="E207" s="1" t="n">
        <v>46242</v>
      </c>
      <c r="F207" t="inlineStr">
        <is>
          <t>SÖDERMANLANDS LÄN</t>
        </is>
      </c>
      <c r="G207" t="inlineStr">
        <is>
          <t>ESKILSTUNA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46242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46242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46242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Allmännings- och besparingsskogar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46242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24537-2025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45798</v>
      </c>
      <c r="E212" s="1" t="n">
        <v>46242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46242</v>
      </c>
      <c r="F213" t="inlineStr">
        <is>
          <t>SÖDERMANLANDS LÄN</t>
        </is>
      </c>
      <c r="G213" t="inlineStr">
        <is>
          <t>ESKILSTUNA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46242</v>
      </c>
      <c r="F214" t="inlineStr">
        <is>
          <t>SÖDERMANLANDS LÄN</t>
        </is>
      </c>
      <c r="G214" t="inlineStr">
        <is>
          <t>ESKILSTUNA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46242</v>
      </c>
      <c r="F215" t="inlineStr">
        <is>
          <t>SÖDERMANLANDS LÄN</t>
        </is>
      </c>
      <c r="G215" t="inlineStr">
        <is>
          <t>ESKILSTUNA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46242</v>
      </c>
      <c r="F216" t="inlineStr">
        <is>
          <t>SÖDERMANLANDS LÄN</t>
        </is>
      </c>
      <c r="G216" t="inlineStr">
        <is>
          <t>ESKILSTUNA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44626</v>
      </c>
      <c r="E217" s="1" t="n">
        <v>46242</v>
      </c>
      <c r="F217" t="inlineStr">
        <is>
          <t>SÖDERMANLANDS LÄN</t>
        </is>
      </c>
      <c r="G217" t="inlineStr">
        <is>
          <t>ESKILSTUNA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46242</v>
      </c>
      <c r="F218" t="inlineStr">
        <is>
          <t>SÖDERMANLANDS LÄN</t>
        </is>
      </c>
      <c r="G218" t="inlineStr">
        <is>
          <t>ESKILSTUNA</t>
        </is>
      </c>
      <c r="I218" t="n">
        <v>15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70265-2021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44536</v>
      </c>
      <c r="E219" s="1" t="n">
        <v>46242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44889</v>
      </c>
      <c r="E220" s="1" t="n">
        <v>46242</v>
      </c>
      <c r="F220" t="inlineStr">
        <is>
          <t>SÖDERMANLANDS LÄN</t>
        </is>
      </c>
      <c r="G220" t="inlineStr">
        <is>
          <t>ESKILSTUNA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46242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46242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4200-2025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45685</v>
      </c>
      <c r="E223" s="1" t="n">
        <v>46242</v>
      </c>
      <c r="F223" t="inlineStr">
        <is>
          <t>SÖDERMANLANDS LÄN</t>
        </is>
      </c>
      <c r="G223" t="inlineStr">
        <is>
          <t>ESKILSTUNA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46242</v>
      </c>
      <c r="F224" t="inlineStr">
        <is>
          <t>SÖDERMANLANDS LÄN</t>
        </is>
      </c>
      <c r="G224" t="inlineStr">
        <is>
          <t>ESKILSTUNA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46242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70613-2021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44537</v>
      </c>
      <c r="E226" s="1" t="n">
        <v>46242</v>
      </c>
      <c r="F226" t="inlineStr">
        <is>
          <t>SÖDERMANLANDS LÄN</t>
        </is>
      </c>
      <c r="G226" t="inlineStr">
        <is>
          <t>ESKILSTUNA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46242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46242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46242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46242</v>
      </c>
      <c r="F230" t="inlineStr">
        <is>
          <t>SÖDERMANLANDS LÄN</t>
        </is>
      </c>
      <c r="G230" t="inlineStr">
        <is>
          <t>ESKILSTUNA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65614-2021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46242</v>
      </c>
      <c r="F231" t="inlineStr">
        <is>
          <t>SÖDERMANLANDS LÄN</t>
        </is>
      </c>
      <c r="G231" t="inlineStr">
        <is>
          <t>ESKILSTUNA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46242</v>
      </c>
      <c r="F232" t="inlineStr">
        <is>
          <t>SÖDERMANLANDS LÄN</t>
        </is>
      </c>
      <c r="G232" t="inlineStr">
        <is>
          <t>ESKILSTUNA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46242</v>
      </c>
      <c r="F233" t="inlineStr">
        <is>
          <t>SÖDERMANLANDS LÄN</t>
        </is>
      </c>
      <c r="G233" t="inlineStr">
        <is>
          <t>ESKILSTUNA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46242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Allmännings- och besparingsskogar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45950</v>
      </c>
      <c r="E235" s="1" t="n">
        <v>46242</v>
      </c>
      <c r="F235" t="inlineStr">
        <is>
          <t>SÖDERMANLANDS LÄN</t>
        </is>
      </c>
      <c r="G235" t="inlineStr">
        <is>
          <t>ESKILSTUNA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46242</v>
      </c>
      <c r="F236" t="inlineStr">
        <is>
          <t>SÖDERMANLANDS LÄN</t>
        </is>
      </c>
      <c r="G236" t="inlineStr">
        <is>
          <t>ESKILSTUNA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44983</v>
      </c>
      <c r="E237" s="1" t="n">
        <v>46242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46242</v>
      </c>
      <c r="F238" t="inlineStr">
        <is>
          <t>SÖDERMANLANDS LÄN</t>
        </is>
      </c>
      <c r="G238" t="inlineStr">
        <is>
          <t>ESKILSTUNA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46242</v>
      </c>
      <c r="F239" t="inlineStr">
        <is>
          <t>SÖDERMANLANDS LÄN</t>
        </is>
      </c>
      <c r="G239" t="inlineStr">
        <is>
          <t>ESKILSTUNA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46242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57304-2023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45245</v>
      </c>
      <c r="E241" s="1" t="n">
        <v>46242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46242</v>
      </c>
      <c r="F242" t="inlineStr">
        <is>
          <t>SÖDERMANLANDS LÄN</t>
        </is>
      </c>
      <c r="G242" t="inlineStr">
        <is>
          <t>ESKILSTUNA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46242</v>
      </c>
      <c r="F243" t="inlineStr">
        <is>
          <t>SÖDERMANLANDS LÄN</t>
        </is>
      </c>
      <c r="G243" t="inlineStr">
        <is>
          <t>ESKILSTUNA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45334</v>
      </c>
      <c r="E244" s="1" t="n">
        <v>46242</v>
      </c>
      <c r="F244" t="inlineStr">
        <is>
          <t>SÖDERMANLANDS LÄN</t>
        </is>
      </c>
      <c r="G244" t="inlineStr">
        <is>
          <t>ESKILSTUNA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46242</v>
      </c>
      <c r="F245" t="inlineStr">
        <is>
          <t>SÖDERMANLANDS LÄN</t>
        </is>
      </c>
      <c r="G245" t="inlineStr">
        <is>
          <t>ESKILSTUNA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46242</v>
      </c>
      <c r="F246" t="inlineStr">
        <is>
          <t>SÖDERMANLANDS LÄN</t>
        </is>
      </c>
      <c r="G246" t="inlineStr">
        <is>
          <t>ESKILSTUNA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46242</v>
      </c>
      <c r="F247" t="inlineStr">
        <is>
          <t>SÖDERMANLANDS LÄN</t>
        </is>
      </c>
      <c r="G247" t="inlineStr">
        <is>
          <t>ESKILSTUNA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46242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46242</v>
      </c>
      <c r="F249" t="inlineStr">
        <is>
          <t>SÖDERMANLANDS LÄN</t>
        </is>
      </c>
      <c r="G249" t="inlineStr">
        <is>
          <t>ESKILSTUNA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46242</v>
      </c>
      <c r="F250" t="inlineStr">
        <is>
          <t>SÖDERMANLANDS LÄN</t>
        </is>
      </c>
      <c r="G250" t="inlineStr">
        <is>
          <t>ESKILSTUNA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43426-2021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46242</v>
      </c>
      <c r="F251" t="inlineStr">
        <is>
          <t>SÖDERMANLANDS LÄN</t>
        </is>
      </c>
      <c r="G251" t="inlineStr">
        <is>
          <t>ESKILSTUNA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45464</v>
      </c>
      <c r="E252" s="1" t="n">
        <v>46242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46242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46242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46242</v>
      </c>
      <c r="F255" t="inlineStr">
        <is>
          <t>SÖDERMANLANDS LÄN</t>
        </is>
      </c>
      <c r="G255" t="inlineStr">
        <is>
          <t>ESKILSTUNA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1538-2025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45670</v>
      </c>
      <c r="E256" s="1" t="n">
        <v>46242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46242</v>
      </c>
      <c r="F257" t="inlineStr">
        <is>
          <t>SÖDERMANLANDS LÄN</t>
        </is>
      </c>
      <c r="G257" t="inlineStr">
        <is>
          <t>ESKILSTUNA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46242</v>
      </c>
      <c r="F258" t="inlineStr">
        <is>
          <t>SÖDERMANLANDS LÄN</t>
        </is>
      </c>
      <c r="G258" t="inlineStr">
        <is>
          <t>ESKILSTUNA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46242</v>
      </c>
      <c r="F259" t="inlineStr">
        <is>
          <t>SÖDERMANLANDS LÄN</t>
        </is>
      </c>
      <c r="G259" t="inlineStr">
        <is>
          <t>ESKILSTUNA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46242</v>
      </c>
      <c r="F260" t="inlineStr">
        <is>
          <t>SÖDERMANLANDS LÄN</t>
        </is>
      </c>
      <c r="G260" t="inlineStr">
        <is>
          <t>ESKILSTUNA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30096-2025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45826</v>
      </c>
      <c r="E261" s="1" t="n">
        <v>46242</v>
      </c>
      <c r="F261" t="inlineStr">
        <is>
          <t>SÖDERMANLANDS LÄN</t>
        </is>
      </c>
      <c r="G261" t="inlineStr">
        <is>
          <t>ESKILSTUNA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46242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45826</v>
      </c>
      <c r="E263" s="1" t="n">
        <v>46242</v>
      </c>
      <c r="F263" t="inlineStr">
        <is>
          <t>SÖDERMANLANDS LÄN</t>
        </is>
      </c>
      <c r="G263" t="inlineStr">
        <is>
          <t>ESKILSTUNA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46242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46242</v>
      </c>
      <c r="F265" t="inlineStr">
        <is>
          <t>SÖDERMANLANDS LÄN</t>
        </is>
      </c>
      <c r="G265" t="inlineStr">
        <is>
          <t>ESKILSTUNA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44799</v>
      </c>
      <c r="E266" s="1" t="n">
        <v>46242</v>
      </c>
      <c r="F266" t="inlineStr">
        <is>
          <t>SÖDERMANLANDS LÄN</t>
        </is>
      </c>
      <c r="G266" t="inlineStr">
        <is>
          <t>ESKILSTUNA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46242</v>
      </c>
      <c r="F267" t="inlineStr">
        <is>
          <t>SÖDERMANLANDS LÄN</t>
        </is>
      </c>
      <c r="G267" t="inlineStr">
        <is>
          <t>ESKILSTUNA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46608-2024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45582</v>
      </c>
      <c r="E268" s="1" t="n">
        <v>46242</v>
      </c>
      <c r="F268" t="inlineStr">
        <is>
          <t>SÖDERMANLANDS LÄN</t>
        </is>
      </c>
      <c r="G268" t="inlineStr">
        <is>
          <t>ESKILSTUNA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46242</v>
      </c>
      <c r="F269" t="inlineStr">
        <is>
          <t>SÖDERMANLANDS LÄN</t>
        </is>
      </c>
      <c r="G269" t="inlineStr">
        <is>
          <t>ESKILSTUNA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9455-2022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44616</v>
      </c>
      <c r="E270" s="1" t="n">
        <v>46242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46242</v>
      </c>
      <c r="F271" t="inlineStr">
        <is>
          <t>SÖDERMANLANDS LÄN</t>
        </is>
      </c>
      <c r="G271" t="inlineStr">
        <is>
          <t>ESKILSTUNA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46242</v>
      </c>
      <c r="F272" t="inlineStr">
        <is>
          <t>SÖDERMANLANDS LÄN</t>
        </is>
      </c>
      <c r="G272" t="inlineStr">
        <is>
          <t>ESKILSTUNA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46242</v>
      </c>
      <c r="F273" t="inlineStr">
        <is>
          <t>SÖDERMANLANDS LÄN</t>
        </is>
      </c>
      <c r="G273" t="inlineStr">
        <is>
          <t>ESKILSTUNA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46242</v>
      </c>
      <c r="F274" t="inlineStr">
        <is>
          <t>SÖDERMANLANDS LÄN</t>
        </is>
      </c>
      <c r="G274" t="inlineStr">
        <is>
          <t>ESKILSTUNA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46242</v>
      </c>
      <c r="F275" t="inlineStr">
        <is>
          <t>SÖDERMANLANDS LÄN</t>
        </is>
      </c>
      <c r="G275" t="inlineStr">
        <is>
          <t>ESKILSTUNA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46242</v>
      </c>
      <c r="F276" t="inlineStr">
        <is>
          <t>SÖDERMANLANDS LÄN</t>
        </is>
      </c>
      <c r="G276" t="inlineStr">
        <is>
          <t>ESKILSTUNA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46242</v>
      </c>
      <c r="F277" t="inlineStr">
        <is>
          <t>SÖDERMANLANDS LÄN</t>
        </is>
      </c>
      <c r="G277" t="inlineStr">
        <is>
          <t>ESKILSTUNA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46242</v>
      </c>
      <c r="F278" t="inlineStr">
        <is>
          <t>SÖDERMANLANDS LÄN</t>
        </is>
      </c>
      <c r="G278" t="inlineStr">
        <is>
          <t>ESKILSTUNA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46242</v>
      </c>
      <c r="F279" t="inlineStr">
        <is>
          <t>SÖDERMANLANDS LÄN</t>
        </is>
      </c>
      <c r="G279" t="inlineStr">
        <is>
          <t>ESKILSTUNA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44490</v>
      </c>
      <c r="E280" s="1" t="n">
        <v>46242</v>
      </c>
      <c r="F280" t="inlineStr">
        <is>
          <t>SÖDERMANLANDS LÄN</t>
        </is>
      </c>
      <c r="G280" t="inlineStr">
        <is>
          <t>ESKILSTUNA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46242</v>
      </c>
      <c r="F281" t="inlineStr">
        <is>
          <t>SÖDERMANLANDS LÄN</t>
        </is>
      </c>
      <c r="G281" t="inlineStr">
        <is>
          <t>ESKILSTUNA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44634</v>
      </c>
      <c r="E282" s="1" t="n">
        <v>46242</v>
      </c>
      <c r="F282" t="inlineStr">
        <is>
          <t>SÖDERMANLANDS LÄN</t>
        </is>
      </c>
      <c r="G282" t="inlineStr">
        <is>
          <t>ESKILSTUNA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44946</v>
      </c>
      <c r="E283" s="1" t="n">
        <v>46242</v>
      </c>
      <c r="F283" t="inlineStr">
        <is>
          <t>SÖDERMANLANDS LÄN</t>
        </is>
      </c>
      <c r="G283" t="inlineStr">
        <is>
          <t>ESKILSTUNA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18105-2026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46125</v>
      </c>
      <c r="E284" s="1" t="n">
        <v>46242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13153-2026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46092</v>
      </c>
      <c r="E285" s="1" t="n">
        <v>46242</v>
      </c>
      <c r="F285" t="inlineStr">
        <is>
          <t>SÖDERMANLANDS LÄN</t>
        </is>
      </c>
      <c r="G285" t="inlineStr">
        <is>
          <t>ESKILSTUNA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46242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53098-2022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46242</v>
      </c>
      <c r="F287" t="inlineStr">
        <is>
          <t>SÖDERMANLANDS LÄN</t>
        </is>
      </c>
      <c r="G287" t="inlineStr">
        <is>
          <t>ESKILSTUNA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46242</v>
      </c>
      <c r="F288" t="inlineStr">
        <is>
          <t>SÖDERMANLANDS LÄN</t>
        </is>
      </c>
      <c r="G288" t="inlineStr">
        <is>
          <t>ESKILSTUNA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46242</v>
      </c>
      <c r="F289" t="inlineStr">
        <is>
          <t>SÖDERMANLANDS LÄN</t>
        </is>
      </c>
      <c r="G289" t="inlineStr">
        <is>
          <t>ESKILSTUNA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46242</v>
      </c>
      <c r="F290" t="inlineStr">
        <is>
          <t>SÖDERMANLANDS LÄN</t>
        </is>
      </c>
      <c r="G290" t="inlineStr">
        <is>
          <t>ESKILSTUNA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44946</v>
      </c>
      <c r="E291" s="1" t="n">
        <v>46242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46242</v>
      </c>
      <c r="F292" t="inlineStr">
        <is>
          <t>SÖDERMANLANDS LÄN</t>
        </is>
      </c>
      <c r="G292" t="inlineStr">
        <is>
          <t>ESKILSTUNA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46242</v>
      </c>
      <c r="F293" t="inlineStr">
        <is>
          <t>SÖDERMANLANDS LÄN</t>
        </is>
      </c>
      <c r="G293" t="inlineStr">
        <is>
          <t>ESKILSTUNA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46242</v>
      </c>
      <c r="F294" t="inlineStr">
        <is>
          <t>SÖDERMANLANDS LÄN</t>
        </is>
      </c>
      <c r="G294" t="inlineStr">
        <is>
          <t>ESKILSTUNA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45341</v>
      </c>
      <c r="E295" s="1" t="n">
        <v>46242</v>
      </c>
      <c r="F295" t="inlineStr">
        <is>
          <t>SÖDERMANLANDS LÄN</t>
        </is>
      </c>
      <c r="G295" t="inlineStr">
        <is>
          <t>ESKILSTUNA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46242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46242</v>
      </c>
      <c r="F297" t="inlineStr">
        <is>
          <t>SÖDERMANLANDS LÄN</t>
        </is>
      </c>
      <c r="G297" t="inlineStr">
        <is>
          <t>ESKILSTUNA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46242</v>
      </c>
      <c r="F298" t="inlineStr">
        <is>
          <t>SÖDERMANLANDS LÄN</t>
        </is>
      </c>
      <c r="G298" t="inlineStr">
        <is>
          <t>ESKILSTUNA</t>
        </is>
      </c>
      <c r="I298" t="n">
        <v>10.8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46242</v>
      </c>
      <c r="F299" t="inlineStr">
        <is>
          <t>SÖDERMANLANDS LÄN</t>
        </is>
      </c>
      <c r="G299" t="inlineStr">
        <is>
          <t>ESKILSTUNA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46242</v>
      </c>
      <c r="F300" t="inlineStr">
        <is>
          <t>SÖDERMANLANDS LÄN</t>
        </is>
      </c>
      <c r="G300" t="inlineStr">
        <is>
          <t>ESKILSTUNA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46242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46242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46242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46242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44965</v>
      </c>
      <c r="E305" s="1" t="n">
        <v>46242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Allmännings- och besparingsskogar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46242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44861</v>
      </c>
      <c r="E307" s="1" t="n">
        <v>46242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46242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Kommuner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46242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46242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46242</v>
      </c>
      <c r="F311" t="inlineStr">
        <is>
          <t>SÖDERMANLANDS LÄN</t>
        </is>
      </c>
      <c r="G311" t="inlineStr">
        <is>
          <t>ESKILSTUNA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46242</v>
      </c>
      <c r="F312" t="inlineStr">
        <is>
          <t>SÖDERMANLANDS LÄN</t>
        </is>
      </c>
      <c r="G312" t="inlineStr">
        <is>
          <t>ESKILSTUNA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46242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46242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46242</v>
      </c>
      <c r="F315" t="inlineStr">
        <is>
          <t>SÖDERMANLANDS LÄN</t>
        </is>
      </c>
      <c r="G315" t="inlineStr">
        <is>
          <t>ESKILSTUNA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50484-2025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45945</v>
      </c>
      <c r="E316" s="1" t="n">
        <v>46242</v>
      </c>
      <c r="F316" t="inlineStr">
        <is>
          <t>SÖDERMANLANDS LÄN</t>
        </is>
      </c>
      <c r="G316" t="inlineStr">
        <is>
          <t>ESKILSTUNA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44626</v>
      </c>
      <c r="E317" s="1" t="n">
        <v>46242</v>
      </c>
      <c r="F317" t="inlineStr">
        <is>
          <t>SÖDERMANLANDS LÄN</t>
        </is>
      </c>
      <c r="G317" t="inlineStr">
        <is>
          <t>ESKILSTUNA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45119</v>
      </c>
      <c r="E318" s="1" t="n">
        <v>46242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Sveaskog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46242</v>
      </c>
      <c r="F319" t="inlineStr">
        <is>
          <t>SÖDERMANLANDS LÄN</t>
        </is>
      </c>
      <c r="G319" t="inlineStr">
        <is>
          <t>ESKILSTUNA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36142-2022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44803</v>
      </c>
      <c r="E320" s="1" t="n">
        <v>46242</v>
      </c>
      <c r="F320" t="inlineStr">
        <is>
          <t>SÖDERMANLANDS LÄN</t>
        </is>
      </c>
      <c r="G320" t="inlineStr">
        <is>
          <t>ESKILSTUNA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44803</v>
      </c>
      <c r="E321" s="1" t="n">
        <v>46242</v>
      </c>
      <c r="F321" t="inlineStr">
        <is>
          <t>SÖDERMANLANDS LÄN</t>
        </is>
      </c>
      <c r="G321" t="inlineStr">
        <is>
          <t>ESKILSTUNA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46242</v>
      </c>
      <c r="F322" t="inlineStr">
        <is>
          <t>SÖDERMANLANDS LÄN</t>
        </is>
      </c>
      <c r="G322" t="inlineStr">
        <is>
          <t>ESKILSTUNA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36565-2022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46242</v>
      </c>
      <c r="F323" t="inlineStr">
        <is>
          <t>SÖDERMANLANDS LÄN</t>
        </is>
      </c>
      <c r="G323" t="inlineStr">
        <is>
          <t>ESKILSTUNA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44701</v>
      </c>
      <c r="E324" s="1" t="n">
        <v>46242</v>
      </c>
      <c r="F324" t="inlineStr">
        <is>
          <t>SÖDERMANLANDS LÄN</t>
        </is>
      </c>
      <c r="G324" t="inlineStr">
        <is>
          <t>ESKILSTUNA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45303</v>
      </c>
      <c r="E325" s="1" t="n">
        <v>46242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46242</v>
      </c>
      <c r="F326" t="inlineStr">
        <is>
          <t>SÖDERMANLANDS LÄN</t>
        </is>
      </c>
      <c r="G326" t="inlineStr">
        <is>
          <t>ESKILSTUNA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46242</v>
      </c>
      <c r="F327" t="inlineStr">
        <is>
          <t>SÖDERMANLANDS LÄN</t>
        </is>
      </c>
      <c r="G327" t="inlineStr">
        <is>
          <t>ESKILSTUNA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45694</v>
      </c>
      <c r="E328" s="1" t="n">
        <v>46242</v>
      </c>
      <c r="F328" t="inlineStr">
        <is>
          <t>SÖDERMANLANDS LÄN</t>
        </is>
      </c>
      <c r="G328" t="inlineStr">
        <is>
          <t>ESKILSTUNA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48877-2023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45209</v>
      </c>
      <c r="E329" s="1" t="n">
        <v>46242</v>
      </c>
      <c r="F329" t="inlineStr">
        <is>
          <t>SÖDERMANLANDS LÄN</t>
        </is>
      </c>
      <c r="G329" t="inlineStr">
        <is>
          <t>ESKILSTUNA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45004</v>
      </c>
      <c r="E330" s="1" t="n">
        <v>46242</v>
      </c>
      <c r="F330" t="inlineStr">
        <is>
          <t>SÖDERMANLANDS LÄN</t>
        </is>
      </c>
      <c r="G330" t="inlineStr">
        <is>
          <t>ESKILSTUNA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45750</v>
      </c>
      <c r="E331" s="1" t="n">
        <v>46242</v>
      </c>
      <c r="F331" t="inlineStr">
        <is>
          <t>SÖDERMANLANDS LÄN</t>
        </is>
      </c>
      <c r="G331" t="inlineStr">
        <is>
          <t>ESKILSTUNA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45604</v>
      </c>
      <c r="E332" s="1" t="n">
        <v>46242</v>
      </c>
      <c r="F332" t="inlineStr">
        <is>
          <t>SÖDERMANLANDS LÄN</t>
        </is>
      </c>
      <c r="G332" t="inlineStr">
        <is>
          <t>ESKILSTUNA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46242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Kyrkan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44467</v>
      </c>
      <c r="E334" s="1" t="n">
        <v>46242</v>
      </c>
      <c r="F334" t="inlineStr">
        <is>
          <t>SÖDERMANLANDS LÄN</t>
        </is>
      </c>
      <c r="G334" t="inlineStr">
        <is>
          <t>ESKILSTUNA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46242</v>
      </c>
      <c r="F335" t="inlineStr">
        <is>
          <t>SÖDERMANLANDS LÄN</t>
        </is>
      </c>
      <c r="G335" t="inlineStr">
        <is>
          <t>ESKILSTUNA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46242</v>
      </c>
      <c r="F336" t="inlineStr">
        <is>
          <t>SÖDERMANLANDS LÄN</t>
        </is>
      </c>
      <c r="G336" t="inlineStr">
        <is>
          <t>ESKILSTUNA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46242</v>
      </c>
      <c r="F337" t="inlineStr">
        <is>
          <t>SÖDERMANLANDS LÄN</t>
        </is>
      </c>
      <c r="G337" t="inlineStr">
        <is>
          <t>ESKILSTUNA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1346-2024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45303</v>
      </c>
      <c r="E338" s="1" t="n">
        <v>46242</v>
      </c>
      <c r="F338" t="inlineStr">
        <is>
          <t>SÖDERMANLANDS LÄN</t>
        </is>
      </c>
      <c r="G338" t="inlineStr">
        <is>
          <t>ESKILSTUNA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45061</v>
      </c>
      <c r="E339" s="1" t="n">
        <v>46242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45756</v>
      </c>
      <c r="E340" s="1" t="n">
        <v>46242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45604</v>
      </c>
      <c r="E341" s="1" t="n">
        <v>46242</v>
      </c>
      <c r="F341" t="inlineStr">
        <is>
          <t>SÖDERMANLANDS LÄN</t>
        </is>
      </c>
      <c r="G341" t="inlineStr">
        <is>
          <t>ESKILSTUNA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25668-2022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44732</v>
      </c>
      <c r="E342" s="1" t="n">
        <v>46242</v>
      </c>
      <c r="F342" t="inlineStr">
        <is>
          <t>SÖDERMANLANDS LÄN</t>
        </is>
      </c>
      <c r="G342" t="inlineStr">
        <is>
          <t>ESKILSTUNA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46157</v>
      </c>
      <c r="E343" s="1" t="n">
        <v>46242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46157</v>
      </c>
      <c r="E344" s="1" t="n">
        <v>46242</v>
      </c>
      <c r="F344" t="inlineStr">
        <is>
          <t>SÖDERMANLANDS LÄN</t>
        </is>
      </c>
      <c r="G344" t="inlineStr">
        <is>
          <t>ESKILSTUNA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46242</v>
      </c>
      <c r="F345" t="inlineStr">
        <is>
          <t>SÖDERMANLANDS LÄN</t>
        </is>
      </c>
      <c r="G345" t="inlineStr">
        <is>
          <t>ESKILSTUNA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9711-2025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45715</v>
      </c>
      <c r="E346" s="1" t="n">
        <v>46242</v>
      </c>
      <c r="F346" t="inlineStr">
        <is>
          <t>SÖDERMANLANDS LÄN</t>
        </is>
      </c>
      <c r="G346" t="inlineStr">
        <is>
          <t>ESKILSTUNA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46242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45897</v>
      </c>
      <c r="E348" s="1" t="n">
        <v>46242</v>
      </c>
      <c r="F348" t="inlineStr">
        <is>
          <t>SÖDERMANLANDS LÄN</t>
        </is>
      </c>
      <c r="G348" t="inlineStr">
        <is>
          <t>ESKILSTUNA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43501-2022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44837</v>
      </c>
      <c r="E349" s="1" t="n">
        <v>46242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33255-2024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45518</v>
      </c>
      <c r="E350" s="1" t="n">
        <v>46242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Övriga Aktiebolag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46242</v>
      </c>
      <c r="F351" t="inlineStr">
        <is>
          <t>SÖDERMANLANDS LÄN</t>
        </is>
      </c>
      <c r="G351" t="inlineStr">
        <is>
          <t>ESKILSTUNA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46242</v>
      </c>
      <c r="F352" t="inlineStr">
        <is>
          <t>SÖDERMANLANDS LÄN</t>
        </is>
      </c>
      <c r="G352" t="inlineStr">
        <is>
          <t>ESKILSTUNA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44671</v>
      </c>
      <c r="E353" s="1" t="n">
        <v>46242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46242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52203-2025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45953</v>
      </c>
      <c r="E355" s="1" t="n">
        <v>46242</v>
      </c>
      <c r="F355" t="inlineStr">
        <is>
          <t>SÖDERMANLANDS LÄN</t>
        </is>
      </c>
      <c r="G355" t="inlineStr">
        <is>
          <t>ESKILSTUNA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45435</v>
      </c>
      <c r="E356" s="1" t="n">
        <v>46242</v>
      </c>
      <c r="F356" t="inlineStr">
        <is>
          <t>SÖDERMANLANDS LÄN</t>
        </is>
      </c>
      <c r="G356" t="inlineStr">
        <is>
          <t>ESKILSTUNA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46242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46242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53476-2021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44468</v>
      </c>
      <c r="E359" s="1" t="n">
        <v>46242</v>
      </c>
      <c r="F359" t="inlineStr">
        <is>
          <t>SÖDERMANLANDS LÄN</t>
        </is>
      </c>
      <c r="G359" t="inlineStr">
        <is>
          <t>ESKILSTUNA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46242</v>
      </c>
      <c r="F360" t="inlineStr">
        <is>
          <t>SÖDERMANLANDS LÄN</t>
        </is>
      </c>
      <c r="G360" t="inlineStr">
        <is>
          <t>ESKILSTUNA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45953</v>
      </c>
      <c r="E361" s="1" t="n">
        <v>46242</v>
      </c>
      <c r="F361" t="inlineStr">
        <is>
          <t>SÖDERMANLANDS LÄN</t>
        </is>
      </c>
      <c r="G361" t="inlineStr">
        <is>
          <t>ESKILSTUNA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45460</v>
      </c>
      <c r="E362" s="1" t="n">
        <v>46242</v>
      </c>
      <c r="F362" t="inlineStr">
        <is>
          <t>SÖDERMANLANDS LÄN</t>
        </is>
      </c>
      <c r="G362" t="inlineStr">
        <is>
          <t>ESKILSTUNA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44572</v>
      </c>
      <c r="E363" s="1" t="n">
        <v>46242</v>
      </c>
      <c r="F363" t="inlineStr">
        <is>
          <t>SÖDERMANLANDS LÄN</t>
        </is>
      </c>
      <c r="G363" t="inlineStr">
        <is>
          <t>ESKILSTUNA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46242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45875</v>
      </c>
      <c r="E365" s="1" t="n">
        <v>46242</v>
      </c>
      <c r="F365" t="inlineStr">
        <is>
          <t>SÖDERMANLANDS LÄN</t>
        </is>
      </c>
      <c r="G365" t="inlineStr">
        <is>
          <t>ESKILSTUNA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46242</v>
      </c>
      <c r="F366" t="inlineStr">
        <is>
          <t>SÖDERMANLANDS LÄN</t>
        </is>
      </c>
      <c r="G366" t="inlineStr">
        <is>
          <t>ESKILSTUNA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46242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46242</v>
      </c>
      <c r="F368" t="inlineStr">
        <is>
          <t>SÖDERMANLANDS LÄN</t>
        </is>
      </c>
      <c r="G368" t="inlineStr">
        <is>
          <t>ESKILSTUNA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46213</v>
      </c>
      <c r="E369" s="1" t="n">
        <v>46242</v>
      </c>
      <c r="F369" t="inlineStr">
        <is>
          <t>SÖDERMANLANDS LÄN</t>
        </is>
      </c>
      <c r="G369" t="inlineStr">
        <is>
          <t>ESKILSTUNA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44832</v>
      </c>
      <c r="E370" s="1" t="n">
        <v>46242</v>
      </c>
      <c r="F370" t="inlineStr">
        <is>
          <t>SÖDERMANLANDS LÄN</t>
        </is>
      </c>
      <c r="G370" t="inlineStr">
        <is>
          <t>ESKILSTUNA</t>
        </is>
      </c>
      <c r="I370" t="n">
        <v>19.9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46242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46242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45387</v>
      </c>
      <c r="E373" s="1" t="n">
        <v>46242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46216</v>
      </c>
      <c r="E374" s="1" t="n">
        <v>46242</v>
      </c>
      <c r="F374" t="inlineStr">
        <is>
          <t>SÖDERMANLANDS LÄN</t>
        </is>
      </c>
      <c r="G374" t="inlineStr">
        <is>
          <t>ESKILSTUNA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46217</v>
      </c>
      <c r="E375" s="1" t="n">
        <v>46242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Kommuner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46242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44804</v>
      </c>
      <c r="E377" s="1" t="n">
        <v>46242</v>
      </c>
      <c r="F377" t="inlineStr">
        <is>
          <t>SÖDERMANLANDS LÄN</t>
        </is>
      </c>
      <c r="G377" t="inlineStr">
        <is>
          <t>ESKILSTUNA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31131-2026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46216</v>
      </c>
      <c r="E378" s="1" t="n">
        <v>46242</v>
      </c>
      <c r="F378" t="inlineStr">
        <is>
          <t>SÖDERMANLANDS LÄN</t>
        </is>
      </c>
      <c r="G378" t="inlineStr">
        <is>
          <t>ESKILSTUNA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44918</v>
      </c>
      <c r="E379" s="1" t="n">
        <v>46242</v>
      </c>
      <c r="F379" t="inlineStr">
        <is>
          <t>SÖDERMANLANDS LÄN</t>
        </is>
      </c>
      <c r="G379" t="inlineStr">
        <is>
          <t>ESKILSTUNA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46242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25229-2022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44729</v>
      </c>
      <c r="E381" s="1" t="n">
        <v>46242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10010-2024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45363</v>
      </c>
      <c r="E382" s="1" t="n">
        <v>46242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Allmännings- och besparingsskogar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59276-2021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46242</v>
      </c>
      <c r="F383" t="inlineStr">
        <is>
          <t>SÖDERMANLANDS LÄN</t>
        </is>
      </c>
      <c r="G383" t="inlineStr">
        <is>
          <t>ESKILSTUNA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61367-2021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44499</v>
      </c>
      <c r="E384" s="1" t="n">
        <v>46242</v>
      </c>
      <c r="F384" t="inlineStr">
        <is>
          <t>SÖDERMANLANDS LÄN</t>
        </is>
      </c>
      <c r="G384" t="inlineStr">
        <is>
          <t>ESKILSTUNA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46242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45664</v>
      </c>
      <c r="E386" s="1" t="n">
        <v>46242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Allmännings- och besparingsskogar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46242</v>
      </c>
      <c r="F387" t="inlineStr">
        <is>
          <t>SÖDERMANLANDS LÄN</t>
        </is>
      </c>
      <c r="G387" t="inlineStr">
        <is>
          <t>ESKILSTUNA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46242</v>
      </c>
      <c r="F388" t="inlineStr">
        <is>
          <t>SÖDERMANLANDS LÄN</t>
        </is>
      </c>
      <c r="G388" t="inlineStr">
        <is>
          <t>ESKILSTUNA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46242</v>
      </c>
      <c r="F389" t="inlineStr">
        <is>
          <t>SÖDERMANLANDS LÄN</t>
        </is>
      </c>
      <c r="G389" t="inlineStr">
        <is>
          <t>ESKILSTUNA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48671-2021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44452</v>
      </c>
      <c r="E390" s="1" t="n">
        <v>46242</v>
      </c>
      <c r="F390" t="inlineStr">
        <is>
          <t>SÖDERMANLANDS LÄN</t>
        </is>
      </c>
      <c r="G390" t="inlineStr">
        <is>
          <t>ESKILSTUNA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46242</v>
      </c>
      <c r="F391" t="inlineStr">
        <is>
          <t>SÖDERMANLANDS LÄN</t>
        </is>
      </c>
      <c r="G391" t="inlineStr">
        <is>
          <t>ESKILSTUNA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46242</v>
      </c>
      <c r="F392" t="inlineStr">
        <is>
          <t>SÖDERMANLANDS LÄN</t>
        </is>
      </c>
      <c r="G392" t="inlineStr">
        <is>
          <t>ESKILSTUNA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45103</v>
      </c>
      <c r="E393" s="1" t="n">
        <v>46242</v>
      </c>
      <c r="F393" t="inlineStr">
        <is>
          <t>SÖDERMANLANDS LÄN</t>
        </is>
      </c>
      <c r="G393" t="inlineStr">
        <is>
          <t>ESKILSTUNA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44956</v>
      </c>
      <c r="E394" s="1" t="n">
        <v>46242</v>
      </c>
      <c r="F394" t="inlineStr">
        <is>
          <t>SÖDERMANLANDS LÄN</t>
        </is>
      </c>
      <c r="G394" t="inlineStr">
        <is>
          <t>ESKILSTUNA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45429</v>
      </c>
      <c r="E395" s="1" t="n">
        <v>46242</v>
      </c>
      <c r="F395" t="inlineStr">
        <is>
          <t>SÖDERMANLANDS LÄN</t>
        </is>
      </c>
      <c r="G395" t="inlineStr">
        <is>
          <t>ESKILSTUNA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46242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46242</v>
      </c>
      <c r="F397" t="inlineStr">
        <is>
          <t>SÖDERMANLANDS LÄN</t>
        </is>
      </c>
      <c r="G397" t="inlineStr">
        <is>
          <t>ESKILSTUNA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46242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46872-2022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44851</v>
      </c>
      <c r="E399" s="1" t="n">
        <v>46242</v>
      </c>
      <c r="F399" t="inlineStr">
        <is>
          <t>SÖDERMANLANDS LÄN</t>
        </is>
      </c>
      <c r="G399" t="inlineStr">
        <is>
          <t>ESKILSTUNA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46242</v>
      </c>
      <c r="F400" t="inlineStr">
        <is>
          <t>SÖDERMANLANDS LÄN</t>
        </is>
      </c>
      <c r="G400" t="inlineStr">
        <is>
          <t>ESKILSTUNA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44606</v>
      </c>
      <c r="E401" s="1" t="n">
        <v>46242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Kyrkan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46242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46242</v>
      </c>
      <c r="F403" t="inlineStr">
        <is>
          <t>SÖDERMANLANDS LÄN</t>
        </is>
      </c>
      <c r="G403" t="inlineStr">
        <is>
          <t>ESKILSTUNA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44998</v>
      </c>
      <c r="E404" s="1" t="n">
        <v>46242</v>
      </c>
      <c r="F404" t="inlineStr">
        <is>
          <t>SÖDERMANLANDS LÄN</t>
        </is>
      </c>
      <c r="G404" t="inlineStr">
        <is>
          <t>ESKILSTUNA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46242</v>
      </c>
      <c r="F405" t="inlineStr">
        <is>
          <t>SÖDERMANLANDS LÄN</t>
        </is>
      </c>
      <c r="G405" t="inlineStr">
        <is>
          <t>ESKILSTUNA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44426</v>
      </c>
      <c r="E406" s="1" t="n">
        <v>46242</v>
      </c>
      <c r="F406" t="inlineStr">
        <is>
          <t>SÖDERMANLANDS LÄN</t>
        </is>
      </c>
      <c r="G406" t="inlineStr">
        <is>
          <t>ESKILSTUNA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44915</v>
      </c>
      <c r="E407" s="1" t="n">
        <v>46242</v>
      </c>
      <c r="F407" t="inlineStr">
        <is>
          <t>SÖDERMANLANDS LÄN</t>
        </is>
      </c>
      <c r="G407" t="inlineStr">
        <is>
          <t>ESKILSTUNA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46242</v>
      </c>
      <c r="F408" t="inlineStr">
        <is>
          <t>SÖDERMANLANDS LÄN</t>
        </is>
      </c>
      <c r="G408" t="inlineStr">
        <is>
          <t>ESKILSTUNA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27779-2026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46191</v>
      </c>
      <c r="E409" s="1" t="n">
        <v>46242</v>
      </c>
      <c r="F409" t="inlineStr">
        <is>
          <t>SÖDERMANLANDS LÄN</t>
        </is>
      </c>
      <c r="G409" t="inlineStr">
        <is>
          <t>ESKILSTUNA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50310-2022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44865</v>
      </c>
      <c r="E410" s="1" t="n">
        <v>46242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44592</v>
      </c>
      <c r="E411" s="1" t="n">
        <v>46242</v>
      </c>
      <c r="F411" t="inlineStr">
        <is>
          <t>SÖDERMANLANDS LÄN</t>
        </is>
      </c>
      <c r="G411" t="inlineStr">
        <is>
          <t>ESKILSTUNA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25730-2024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45464</v>
      </c>
      <c r="E412" s="1" t="n">
        <v>46242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46242</v>
      </c>
      <c r="F413" t="inlineStr">
        <is>
          <t>SÖDERMANLANDS LÄN</t>
        </is>
      </c>
      <c r="G413" t="inlineStr">
        <is>
          <t>ESKILSTUNA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61829-2023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45266</v>
      </c>
      <c r="E414" s="1" t="n">
        <v>46242</v>
      </c>
      <c r="F414" t="inlineStr">
        <is>
          <t>SÖDERMANLANDS LÄN</t>
        </is>
      </c>
      <c r="G414" t="inlineStr">
        <is>
          <t>ESKILSTUNA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61831-2023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45266</v>
      </c>
      <c r="E415" s="1" t="n">
        <v>46242</v>
      </c>
      <c r="F415" t="inlineStr">
        <is>
          <t>SÖDERMANLANDS LÄN</t>
        </is>
      </c>
      <c r="G415" t="inlineStr">
        <is>
          <t>ESKILSTUNA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46242</v>
      </c>
      <c r="F416" t="inlineStr">
        <is>
          <t>SÖDERMANLANDS LÄN</t>
        </is>
      </c>
      <c r="G416" t="inlineStr">
        <is>
          <t>ESKILSTUNA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61367-2021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44499</v>
      </c>
      <c r="E417" s="1" t="n">
        <v>46242</v>
      </c>
      <c r="F417" t="inlineStr">
        <is>
          <t>SÖDERMANLANDS LÄN</t>
        </is>
      </c>
      <c r="G417" t="inlineStr">
        <is>
          <t>ESKILSTUNA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46237</v>
      </c>
      <c r="E418" s="1" t="n">
        <v>46242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Sveaskog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70560-2021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44536</v>
      </c>
      <c r="E419" s="1" t="n">
        <v>46242</v>
      </c>
      <c r="F419" t="inlineStr">
        <is>
          <t>SÖDERMANLANDS LÄN</t>
        </is>
      </c>
      <c r="G419" t="inlineStr">
        <is>
          <t>ESKILSTUNA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46242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46242</v>
      </c>
      <c r="F421" t="inlineStr">
        <is>
          <t>SÖDERMANLANDS LÄN</t>
        </is>
      </c>
      <c r="G421" t="inlineStr">
        <is>
          <t>ESKILSTUNA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46242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46239</v>
      </c>
      <c r="E423" s="1" t="n">
        <v>46242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29053-2026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46199</v>
      </c>
      <c r="E424" s="1" t="n">
        <v>46242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46242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29051-2026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46199</v>
      </c>
      <c r="E426" s="1" t="n">
        <v>46242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44617</v>
      </c>
      <c r="E427" s="1" t="n">
        <v>46242</v>
      </c>
      <c r="F427" t="inlineStr">
        <is>
          <t>SÖDERMANLANDS LÄN</t>
        </is>
      </c>
      <c r="G427" t="inlineStr">
        <is>
          <t>ESKILSTUNA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57061-2021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46242</v>
      </c>
      <c r="F428" t="inlineStr">
        <is>
          <t>SÖDERMANLANDS LÄN</t>
        </is>
      </c>
      <c r="G428" t="inlineStr">
        <is>
          <t>ESKILSTUNA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46084</v>
      </c>
      <c r="E429" s="1" t="n">
        <v>46242</v>
      </c>
      <c r="F429" t="inlineStr">
        <is>
          <t>SÖDERMANLANDS LÄN</t>
        </is>
      </c>
      <c r="G429" t="inlineStr">
        <is>
          <t>ESKILSTUNA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44739</v>
      </c>
      <c r="E430" s="1" t="n">
        <v>46242</v>
      </c>
      <c r="F430" t="inlineStr">
        <is>
          <t>SÖDERMANLANDS LÄN</t>
        </is>
      </c>
      <c r="G430" t="inlineStr">
        <is>
          <t>ESKILSTUNA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46242</v>
      </c>
      <c r="F431" t="inlineStr">
        <is>
          <t>SÖDERMANLANDS LÄN</t>
        </is>
      </c>
      <c r="G431" t="inlineStr">
        <is>
          <t>ESKILSTUNA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46242</v>
      </c>
      <c r="F432" t="inlineStr">
        <is>
          <t>SÖDERMANLANDS LÄN</t>
        </is>
      </c>
      <c r="G432" t="inlineStr">
        <is>
          <t>ESKILSTUNA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44930</v>
      </c>
      <c r="E433" s="1" t="n">
        <v>46242</v>
      </c>
      <c r="F433" t="inlineStr">
        <is>
          <t>SÖDERMANLANDS LÄN</t>
        </is>
      </c>
      <c r="G433" t="inlineStr">
        <is>
          <t>ESKILSTUNA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57524-2022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44889</v>
      </c>
      <c r="E434" s="1" t="n">
        <v>46242</v>
      </c>
      <c r="F434" t="inlineStr">
        <is>
          <t>SÖDERMANLANDS LÄN</t>
        </is>
      </c>
      <c r="G434" t="inlineStr">
        <is>
          <t>ESKILSTUNA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46242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Övriga Aktiebolag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20180-2022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44698</v>
      </c>
      <c r="E436" s="1" t="n">
        <v>46242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Kyrkan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45387</v>
      </c>
      <c r="E437" s="1" t="n">
        <v>46242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Kyrkan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44852</v>
      </c>
      <c r="E438" s="1" t="n">
        <v>46242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44729</v>
      </c>
      <c r="E439" s="1" t="n">
        <v>46242</v>
      </c>
      <c r="F439" t="inlineStr">
        <is>
          <t>SÖDERMANLANDS LÄN</t>
        </is>
      </c>
      <c r="G439" t="inlineStr">
        <is>
          <t>ESKILSTUNA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44741</v>
      </c>
      <c r="E440" s="1" t="n">
        <v>46242</v>
      </c>
      <c r="F440" t="inlineStr">
        <is>
          <t>SÖDERMANLANDS LÄN</t>
        </is>
      </c>
      <c r="G440" t="inlineStr">
        <is>
          <t>ESKILSTUNA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62268-2023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46242</v>
      </c>
      <c r="F441" t="inlineStr">
        <is>
          <t>SÖDERMANLANDS LÄN</t>
        </is>
      </c>
      <c r="G441" t="inlineStr">
        <is>
          <t>ESKILSTUNA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46242</v>
      </c>
      <c r="F442" t="inlineStr">
        <is>
          <t>SÖDERMANLANDS LÄN</t>
        </is>
      </c>
      <c r="G442" t="inlineStr">
        <is>
          <t>ESKILSTUNA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46242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Kyrkan</t>
        </is>
      </c>
      <c r="I443" t="n">
        <v>12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44927-2023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45190</v>
      </c>
      <c r="E444" s="1" t="n">
        <v>46242</v>
      </c>
      <c r="F444" t="inlineStr">
        <is>
          <t>SÖDERMANLANDS LÄN</t>
        </is>
      </c>
      <c r="G444" t="inlineStr">
        <is>
          <t>ESKILSTUNA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45183</v>
      </c>
      <c r="E445" s="1" t="n">
        <v>46242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46881-2022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46242</v>
      </c>
      <c r="F446" t="inlineStr">
        <is>
          <t>SÖDERMANLANDS LÄN</t>
        </is>
      </c>
      <c r="G446" t="inlineStr">
        <is>
          <t>ESKILSTUNA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11117-2025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46242</v>
      </c>
      <c r="F447" t="inlineStr">
        <is>
          <t>SÖDERMANLANDS LÄN</t>
        </is>
      </c>
      <c r="G447" t="inlineStr">
        <is>
          <t>ESKILSTUNA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45363</v>
      </c>
      <c r="E448" s="1" t="n">
        <v>46242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55699-2024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46242</v>
      </c>
      <c r="F449" t="inlineStr">
        <is>
          <t>SÖDERMANLANDS LÄN</t>
        </is>
      </c>
      <c r="G449" t="inlineStr">
        <is>
          <t>ESKILSTUNA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65349-2021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44515</v>
      </c>
      <c r="E450" s="1" t="n">
        <v>46242</v>
      </c>
      <c r="F450" t="inlineStr">
        <is>
          <t>SÖDERMANLANDS LÄN</t>
        </is>
      </c>
      <c r="G450" t="inlineStr">
        <is>
          <t>ESKILSTUNA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44664</v>
      </c>
      <c r="E451" s="1" t="n">
        <v>46242</v>
      </c>
      <c r="F451" t="inlineStr">
        <is>
          <t>SÖDERMANLANDS LÄN</t>
        </is>
      </c>
      <c r="G451" t="inlineStr">
        <is>
          <t>ESKILSTUNA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44789</v>
      </c>
      <c r="E452" s="1" t="n">
        <v>46242</v>
      </c>
      <c r="F452" t="inlineStr">
        <is>
          <t>SÖDERMANLANDS LÄN</t>
        </is>
      </c>
      <c r="G452" t="inlineStr">
        <is>
          <t>ESKILSTUNA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46242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Allmännings- och besparingsskogar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45303</v>
      </c>
      <c r="E454" s="1" t="n">
        <v>46242</v>
      </c>
      <c r="F454" t="inlineStr">
        <is>
          <t>SÖDERMANLANDS LÄN</t>
        </is>
      </c>
      <c r="G454" t="inlineStr">
        <is>
          <t>ESKILSTUNA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61866-2022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44917</v>
      </c>
      <c r="E455" s="1" t="n">
        <v>46242</v>
      </c>
      <c r="F455" t="inlineStr">
        <is>
          <t>SÖDERMANLANDS LÄN</t>
        </is>
      </c>
      <c r="G455" t="inlineStr">
        <is>
          <t>ESKILSTUNA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44903</v>
      </c>
      <c r="E456" s="1" t="n">
        <v>46242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54598-2021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44473</v>
      </c>
      <c r="E457" s="1" t="n">
        <v>46242</v>
      </c>
      <c r="F457" t="inlineStr">
        <is>
          <t>SÖDERMANLANDS LÄN</t>
        </is>
      </c>
      <c r="G457" t="inlineStr">
        <is>
          <t>ESKILSTUNA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44886</v>
      </c>
      <c r="E458" s="1" t="n">
        <v>46242</v>
      </c>
      <c r="F458" t="inlineStr">
        <is>
          <t>SÖDERMANLANDS LÄN</t>
        </is>
      </c>
      <c r="G458" t="inlineStr">
        <is>
          <t>ESKILSTUNA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44571</v>
      </c>
      <c r="E459" s="1" t="n">
        <v>46242</v>
      </c>
      <c r="F459" t="inlineStr">
        <is>
          <t>SÖDERMANLANDS LÄN</t>
        </is>
      </c>
      <c r="G459" t="inlineStr">
        <is>
          <t>ESKILSTUNA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1330-2024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45303</v>
      </c>
      <c r="E460" s="1" t="n">
        <v>46242</v>
      </c>
      <c r="F460" t="inlineStr">
        <is>
          <t>SÖDERMANLANDS LÄN</t>
        </is>
      </c>
      <c r="G460" t="inlineStr">
        <is>
          <t>ESKILSTUNA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1334-2024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45303</v>
      </c>
      <c r="E461" s="1" t="n">
        <v>46242</v>
      </c>
      <c r="F461" t="inlineStr">
        <is>
          <t>SÖDERMANLANDS LÄN</t>
        </is>
      </c>
      <c r="G461" t="inlineStr">
        <is>
          <t>ESKILSTUNA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45303</v>
      </c>
      <c r="E462" s="1" t="n">
        <v>46242</v>
      </c>
      <c r="F462" t="inlineStr">
        <is>
          <t>SÖDERMANLANDS LÄN</t>
        </is>
      </c>
      <c r="G462" t="inlineStr">
        <is>
          <t>ESKILSTUNA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45763</v>
      </c>
      <c r="E463" s="1" t="n">
        <v>46242</v>
      </c>
      <c r="F463" t="inlineStr">
        <is>
          <t>SÖDERMANLANDS LÄN</t>
        </is>
      </c>
      <c r="G463" t="inlineStr">
        <is>
          <t>ESKILSTUNA</t>
        </is>
      </c>
      <c r="I463" t="n">
        <v>15.6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26535-2022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44739</v>
      </c>
      <c r="E464" s="1" t="n">
        <v>46242</v>
      </c>
      <c r="F464" t="inlineStr">
        <is>
          <t>SÖDERMANLANDS LÄN</t>
        </is>
      </c>
      <c r="G464" t="inlineStr">
        <is>
          <t>ESKILSTUNA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46242</v>
      </c>
      <c r="F465" t="inlineStr">
        <is>
          <t>SÖDERMANLANDS LÄN</t>
        </is>
      </c>
      <c r="G465" t="inlineStr">
        <is>
          <t>ESKILSTUNA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12547-2022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44638</v>
      </c>
      <c r="E466" s="1" t="n">
        <v>46242</v>
      </c>
      <c r="F466" t="inlineStr">
        <is>
          <t>SÖDERMANLANDS LÄN</t>
        </is>
      </c>
      <c r="G466" t="inlineStr">
        <is>
          <t>ESKILSTUNA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46242</v>
      </c>
      <c r="F467" t="inlineStr">
        <is>
          <t>SÖDERMANLANDS LÄN</t>
        </is>
      </c>
      <c r="G467" t="inlineStr">
        <is>
          <t>ESKILSTUNA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68022-2021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44525</v>
      </c>
      <c r="E468" s="1" t="n">
        <v>46242</v>
      </c>
      <c r="F468" t="inlineStr">
        <is>
          <t>SÖDERMANLANDS LÄN</t>
        </is>
      </c>
      <c r="G468" t="inlineStr">
        <is>
          <t>ESKILSTUNA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61170-2021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44497</v>
      </c>
      <c r="E469" s="1" t="n">
        <v>46242</v>
      </c>
      <c r="F469" t="inlineStr">
        <is>
          <t>SÖDERMANLANDS LÄN</t>
        </is>
      </c>
      <c r="G469" t="inlineStr">
        <is>
          <t>ESKILSTUNA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43064-2023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46242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44749</v>
      </c>
      <c r="E471" s="1" t="n">
        <v>46242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44946</v>
      </c>
      <c r="E472" s="1" t="n">
        <v>46242</v>
      </c>
      <c r="F472" t="inlineStr">
        <is>
          <t>SÖDERMANLANDS LÄN</t>
        </is>
      </c>
      <c r="G472" t="inlineStr">
        <is>
          <t>ESKILSTUNA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45159</v>
      </c>
      <c r="E473" s="1" t="n">
        <v>46242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Kommuner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28011-2022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46242</v>
      </c>
      <c r="F474" t="inlineStr">
        <is>
          <t>SÖDERMANLANDS LÄN</t>
        </is>
      </c>
      <c r="G474" t="inlineStr">
        <is>
          <t>ESKILSTUNA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20348-2023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46242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22605-2023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45071</v>
      </c>
      <c r="E476" s="1" t="n">
        <v>46242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Kyrkan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46242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46242</v>
      </c>
      <c r="F478" t="inlineStr">
        <is>
          <t>SÖDERMANLANDS LÄN</t>
        </is>
      </c>
      <c r="G478" t="inlineStr">
        <is>
          <t>ESKILSTUNA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46242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46242</v>
      </c>
      <c r="F480" t="inlineStr">
        <is>
          <t>SÖDERMANLANDS LÄN</t>
        </is>
      </c>
      <c r="G480" t="inlineStr">
        <is>
          <t>ESKILSTUNA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46242</v>
      </c>
      <c r="F481" t="inlineStr">
        <is>
          <t>SÖDERMANLANDS LÄN</t>
        </is>
      </c>
      <c r="G481" t="inlineStr">
        <is>
          <t>ESKILSTUNA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44953</v>
      </c>
      <c r="E482" s="1" t="n">
        <v>46242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9.6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45642</v>
      </c>
      <c r="E483" s="1" t="n">
        <v>46242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44593</v>
      </c>
      <c r="E484" s="1" t="n">
        <v>46242</v>
      </c>
      <c r="F484" t="inlineStr">
        <is>
          <t>SÖDERMANLANDS LÄN</t>
        </is>
      </c>
      <c r="G484" t="inlineStr">
        <is>
          <t>ESKILSTUNA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46242</v>
      </c>
      <c r="F485" t="inlineStr">
        <is>
          <t>SÖDERMANLANDS LÄN</t>
        </is>
      </c>
      <c r="G485" t="inlineStr">
        <is>
          <t>ESKILSTUNA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45798</v>
      </c>
      <c r="E486" s="1" t="n">
        <v>46242</v>
      </c>
      <c r="F486" t="inlineStr">
        <is>
          <t>SÖDERMANLANDS LÄN</t>
        </is>
      </c>
      <c r="G486" t="inlineStr">
        <is>
          <t>ESKILSTUNA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46242</v>
      </c>
      <c r="F487" t="inlineStr">
        <is>
          <t>SÖDERMANLANDS LÄN</t>
        </is>
      </c>
      <c r="G487" t="inlineStr">
        <is>
          <t>ESKILSTUNA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46242</v>
      </c>
      <c r="F488" t="inlineStr">
        <is>
          <t>SÖDERMANLANDS LÄN</t>
        </is>
      </c>
      <c r="G488" t="inlineStr">
        <is>
          <t>ESKILSTUNA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24534-2025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45798</v>
      </c>
      <c r="E489" s="1" t="n">
        <v>46242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24535-2025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45798</v>
      </c>
      <c r="E490" s="1" t="n">
        <v>46242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24536-2025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45798</v>
      </c>
      <c r="E491" s="1" t="n">
        <v>46242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1333-2020</t>
        </is>
      </c>
      <c r="B492" t="inlineStr">
        <is>
          <t>samrådsanmälan</t>
        </is>
      </c>
      <c r="C492" t="inlineStr">
        <is>
          <t>Åtgärd i nyckelbiotop</t>
        </is>
      </c>
      <c r="D492" s="1" t="n">
        <v>43993</v>
      </c>
      <c r="E492" s="1" t="n">
        <v>46242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383-2023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44959</v>
      </c>
      <c r="E493" s="1" t="n">
        <v>46242</v>
      </c>
      <c r="F493" t="inlineStr">
        <is>
          <t>SÖDERMANLANDS LÄN</t>
        </is>
      </c>
      <c r="G493" t="inlineStr">
        <is>
          <t>ESKILSTUNA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6471-2021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44449</v>
      </c>
      <c r="E494" s="1" t="n">
        <v>46242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3665-2023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45217</v>
      </c>
      <c r="E495" s="1" t="n">
        <v>46242</v>
      </c>
      <c r="F495" t="inlineStr">
        <is>
          <t>SÖDERMANLANDS LÄN</t>
        </is>
      </c>
      <c r="G495" t="inlineStr">
        <is>
          <t>ESKILSTUNA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4583-2023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45282</v>
      </c>
      <c r="E496" s="1" t="n">
        <v>46242</v>
      </c>
      <c r="F496" t="inlineStr">
        <is>
          <t>SÖDERMANLANDS LÄN</t>
        </is>
      </c>
      <c r="G496" t="inlineStr">
        <is>
          <t>ESKILSTUNA</t>
        </is>
      </c>
      <c r="I496" t="n">
        <v>31.4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1601-2025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46242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1602-2025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46242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291-2025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45686</v>
      </c>
      <c r="E499" s="1" t="n">
        <v>46242</v>
      </c>
      <c r="F499" t="inlineStr">
        <is>
          <t>SÖDERMANLANDS LÄN</t>
        </is>
      </c>
      <c r="G499" t="inlineStr">
        <is>
          <t>ESKILSTUNA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2917-2024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45504</v>
      </c>
      <c r="E500" s="1" t="n">
        <v>46242</v>
      </c>
      <c r="F500" t="inlineStr">
        <is>
          <t>SÖDERMANLANDS LÄN</t>
        </is>
      </c>
      <c r="G500" t="inlineStr">
        <is>
          <t>ESKILSTUNA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1920-2025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45826</v>
      </c>
      <c r="E501" s="1" t="n">
        <v>46242</v>
      </c>
      <c r="F501" t="inlineStr">
        <is>
          <t>SÖDERMANLANDS LÄN</t>
        </is>
      </c>
      <c r="G501" t="inlineStr">
        <is>
          <t>ESKILSTUNA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1030-2026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46125</v>
      </c>
      <c r="E502" s="1" t="n">
        <v>46242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1871-2026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46242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46242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2026-08-08T01:57:03Z</dcterms:created>
  <dcterms:modified xmlns:dcterms="http://purl.org/dc/terms/" xmlns:xsi="http://www.w3.org/2001/XMLSchema-instance" xsi:type="dcterms:W3CDTF">2026-08-08T01:57:04Z</dcterms:modified>
</cp:coreProperties>
</file>