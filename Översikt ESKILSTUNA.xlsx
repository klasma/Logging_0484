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Y2">
        <f>HYPERLINK("https://klasma.github.io/Logging_0484/klagomål/A 62575-2021 FSC-klagomål.docx", "A 62575-2021")</f>
        <v/>
      </c>
      <c r="Z2">
        <f>HYPERLINK("https://klasma.github.io/Logging_0484/klagomålsmail/A 62575-2021 FSC-klagomål mail.docx", "A 62575-2021")</f>
        <v/>
      </c>
      <c r="AA2">
        <f>HYPERLINK("https://klasma.github.io/Logging_0484/tillsyn/A 62575-2021 tillsynsbegäran.docx", "A 62575-2021")</f>
        <v/>
      </c>
      <c r="AB2">
        <f>HYPERLINK("https://klasma.github.io/Logging_0484/tillsynsmail/A 62575-2021 tillsynsbegäran mail.docx", "A 62575-2021")</f>
        <v/>
      </c>
      <c r="AC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46219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Y3">
        <f>HYPERLINK("https://klasma.github.io/Logging_0484/klagomål/A 50772-2023 FSC-klagomål.docx", "A 50772-2023")</f>
        <v/>
      </c>
      <c r="Z3">
        <f>HYPERLINK("https://klasma.github.io/Logging_0484/klagomålsmail/A 50772-2023 FSC-klagomål mail.docx", "A 50772-2023")</f>
        <v/>
      </c>
      <c r="AA3">
        <f>HYPERLINK("https://klasma.github.io/Logging_0484/tillsyn/A 50772-2023 tillsynsbegäran.docx", "A 50772-2023")</f>
        <v/>
      </c>
      <c r="AB3">
        <f>HYPERLINK("https://klasma.github.io/Logging_0484/tillsynsmail/A 50772-2023 tillsynsbegäran mail.docx", "A 50772-2023")</f>
        <v/>
      </c>
      <c r="AC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46219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HYPERLINK("https://klasma.github.io/Logging_0484/knärot/A 50944-2025 karta knärot.png", "A 50944-2025")</f>
        <v/>
      </c>
      <c r="Y4">
        <f>HYPERLINK("https://klasma.github.io/Logging_0484/klagomål/A 50944-2025 FSC-klagomål.docx", "A 50944-2025")</f>
        <v/>
      </c>
      <c r="Z4">
        <f>HYPERLINK("https://klasma.github.io/Logging_0484/klagomålsmail/A 50944-2025 FSC-klagomål mail.docx", "A 50944-2025")</f>
        <v/>
      </c>
      <c r="AA4">
        <f>HYPERLINK("https://klasma.github.io/Logging_0484/tillsyn/A 50944-2025 tillsynsbegäran.docx", "A 50944-2025")</f>
        <v/>
      </c>
      <c r="AB4">
        <f>HYPERLINK("https://klasma.github.io/Logging_0484/tillsynsmail/A 50944-2025 tillsynsbegäran mail.docx", "A 50944-2025")</f>
        <v/>
      </c>
      <c r="AC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46219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HYPERLINK("https://klasma.github.io/Logging_0484/knärot/A 16119-2026 karta knärot.png", "A 16119-2026")</f>
        <v/>
      </c>
      <c r="Y5">
        <f>HYPERLINK("https://klasma.github.io/Logging_0484/klagomål/A 16119-2026 FSC-klagomål.docx", "A 16119-2026")</f>
        <v/>
      </c>
      <c r="Z5">
        <f>HYPERLINK("https://klasma.github.io/Logging_0484/klagomålsmail/A 16119-2026 FSC-klagomål mail.docx", "A 16119-2026")</f>
        <v/>
      </c>
      <c r="AA5">
        <f>HYPERLINK("https://klasma.github.io/Logging_0484/tillsyn/A 16119-2026 tillsynsbegäran.docx", "A 16119-2026")</f>
        <v/>
      </c>
      <c r="AB5">
        <f>HYPERLINK("https://klasma.github.io/Logging_0484/tillsynsmail/A 16119-2026 tillsynsbegäran mail.docx", "A 16119-2026")</f>
        <v/>
      </c>
      <c r="AC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46219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HYPERLINK("https://klasma.github.io/Logging_0484/knärot/A 42022-2021 karta knärot.png", "A 42022-2021")</f>
        <v/>
      </c>
      <c r="Y6">
        <f>HYPERLINK("https://klasma.github.io/Logging_0484/klagomål/A 42022-2021 FSC-klagomål.docx", "A 42022-2021")</f>
        <v/>
      </c>
      <c r="Z6">
        <f>HYPERLINK("https://klasma.github.io/Logging_0484/klagomålsmail/A 42022-2021 FSC-klagomål mail.docx", "A 42022-2021")</f>
        <v/>
      </c>
      <c r="AA6">
        <f>HYPERLINK("https://klasma.github.io/Logging_0484/tillsyn/A 42022-2021 tillsynsbegäran.docx", "A 42022-2021")</f>
        <v/>
      </c>
      <c r="AB6">
        <f>HYPERLINK("https://klasma.github.io/Logging_0484/tillsynsmail/A 42022-2021 tillsynsbegäran mail.docx", "A 42022-2021")</f>
        <v/>
      </c>
      <c r="AC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46219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Y7">
        <f>HYPERLINK("https://klasma.github.io/Logging_0484/klagomål/A 42245-2025 FSC-klagomål.docx", "A 42245-2025")</f>
        <v/>
      </c>
      <c r="Z7">
        <f>HYPERLINK("https://klasma.github.io/Logging_0484/klagomålsmail/A 42245-2025 FSC-klagomål mail.docx", "A 42245-2025")</f>
        <v/>
      </c>
      <c r="AA7">
        <f>HYPERLINK("https://klasma.github.io/Logging_0484/tillsyn/A 42245-2025 tillsynsbegäran.docx", "A 42245-2025")</f>
        <v/>
      </c>
      <c r="AB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46219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HYPERLINK("https://klasma.github.io/Logging_0484/knärot/A 54208-2021 karta knärot.png", "A 54208-2021")</f>
        <v/>
      </c>
      <c r="Y8">
        <f>HYPERLINK("https://klasma.github.io/Logging_0484/klagomål/A 54208-2021 FSC-klagomål.docx", "A 54208-2021")</f>
        <v/>
      </c>
      <c r="Z8">
        <f>HYPERLINK("https://klasma.github.io/Logging_0484/klagomålsmail/A 54208-2021 FSC-klagomål mail.docx", "A 54208-2021")</f>
        <v/>
      </c>
      <c r="AA8">
        <f>HYPERLINK("https://klasma.github.io/Logging_0484/tillsyn/A 54208-2021 tillsynsbegäran.docx", "A 54208-2021")</f>
        <v/>
      </c>
      <c r="AB8">
        <f>HYPERLINK("https://klasma.github.io/Logging_0484/tillsynsmail/A 54208-2021 tillsynsbegäran mail.docx", "A 54208-2021")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46219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s="2" t="inlineStr">
        <is>
          <t>Dropptaggsvamp
Kryddspindling
Motaggsvamp
Skarp dropptaggsvamp
Svartvit taggsvamp
Talltaggsvamp
Grönpyrola</t>
        </is>
      </c>
      <c r="V9">
        <f>HYPERLINK("https://klasma.github.io/Logging_0484/artfynd/A 21734-2023 artfynd.xlsx", "A 21734-2023")</f>
        <v/>
      </c>
      <c r="W9">
        <f>HYPERLINK("https://klasma.github.io/Logging_0484/kartor/A 21734-2023 karta.png", "A 21734-2023")</f>
        <v/>
      </c>
      <c r="Y9">
        <f>HYPERLINK("https://klasma.github.io/Logging_0484/klagomål/A 21734-2023 FSC-klagomål.docx", "A 21734-2023")</f>
        <v/>
      </c>
      <c r="Z9">
        <f>HYPERLINK("https://klasma.github.io/Logging_0484/klagomålsmail/A 21734-2023 FSC-klagomål mail.docx", "A 21734-2023")</f>
        <v/>
      </c>
      <c r="AA9">
        <f>HYPERLINK("https://klasma.github.io/Logging_0484/tillsyn/A 21734-2023 tillsynsbegäran.docx", "A 21734-2023")</f>
        <v/>
      </c>
      <c r="AB9">
        <f>HYPERLINK("https://klasma.github.io/Logging_0484/tillsynsmail/A 21734-2023 tillsynsbegäran mail.docx", "A 21734-2023")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46219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s="2" t="inlineStr">
        <is>
          <t>Knärot
Dropptaggsvamp
Grantaggsvamp
Motaggsvamp
Talltaggsvamp
Mindre märgborre
Spillkråka</t>
        </is>
      </c>
      <c r="V10">
        <f>HYPERLINK("https://klasma.github.io/Logging_0484/artfynd/A 17144-2023 artfynd.xlsx", "A 17144-2023")</f>
        <v/>
      </c>
      <c r="W10">
        <f>HYPERLINK("https://klasma.github.io/Logging_0484/kartor/A 17144-2023 karta.png", "A 17144-2023")</f>
        <v/>
      </c>
      <c r="X10">
        <f>HYPERLINK("https://klasma.github.io/Logging_0484/knärot/A 17144-2023 karta knärot.png", "A 17144-2023")</f>
        <v/>
      </c>
      <c r="Y10">
        <f>HYPERLINK("https://klasma.github.io/Logging_0484/klagomål/A 17144-2023 FSC-klagomål.docx", "A 17144-2023")</f>
        <v/>
      </c>
      <c r="Z10">
        <f>HYPERLINK("https://klasma.github.io/Logging_0484/klagomålsmail/A 17144-2023 FSC-klagomål mail.docx", "A 17144-2023")</f>
        <v/>
      </c>
      <c r="AA10">
        <f>HYPERLINK("https://klasma.github.io/Logging_0484/tillsyn/A 17144-2023 tillsynsbegäran.docx", "A 17144-2023")</f>
        <v/>
      </c>
      <c r="AB10">
        <f>HYPERLINK("https://klasma.github.io/Logging_0484/tillsynsmail/A 17144-2023 tillsynsbegäran mail.docx", "A 17144-2023")</f>
        <v/>
      </c>
      <c r="AC10">
        <f>HYPERLINK("https://klasma.github.io/Logging_0484/fåglar/A 17144-2023 prioriterade fågelarter.docx", "A 17144-2023")</f>
        <v/>
      </c>
    </row>
    <row r="11" ht="15" customHeight="1">
      <c r="A11" t="inlineStr">
        <is>
          <t>A 4219-2023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44953</v>
      </c>
      <c r="E11" s="1" t="n">
        <v>46219</v>
      </c>
      <c r="F11" t="inlineStr">
        <is>
          <t>SÖDERMANLANDS LÄN</t>
        </is>
      </c>
      <c r="G11" t="inlineStr">
        <is>
          <t>ESKILSTUNA</t>
        </is>
      </c>
      <c r="H11" t="inlineStr">
        <is>
          <t>Kyrkan</t>
        </is>
      </c>
      <c r="I11" t="n">
        <v>0.6</v>
      </c>
      <c r="J11" t="n">
        <v>3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10</v>
      </c>
      <c r="U11" s="2" t="inlineStr">
        <is>
          <t>Knärot
Tallkötticka
Talltita
Blodticka
Blåmossa
Mindre märgborre
Blåsippa</t>
        </is>
      </c>
      <c r="V11">
        <f>HYPERLINK("https://klasma.github.io/Logging_0484/artfynd/A 4219-2023 artfynd.xlsx", "A 4219-2023")</f>
        <v/>
      </c>
      <c r="W11">
        <f>HYPERLINK("https://klasma.github.io/Logging_0484/kartor/A 4219-2023 karta.png", "A 4219-2023")</f>
        <v/>
      </c>
      <c r="X11">
        <f>HYPERLINK("https://klasma.github.io/Logging_0484/knärot/A 4219-2023 karta knärot.png", "A 4219-2023")</f>
        <v/>
      </c>
      <c r="Y11">
        <f>HYPERLINK("https://klasma.github.io/Logging_0484/klagomål/A 4219-2023 FSC-klagomål.docx", "A 4219-2023")</f>
        <v/>
      </c>
      <c r="Z11">
        <f>HYPERLINK("https://klasma.github.io/Logging_0484/klagomålsmail/A 4219-2023 FSC-klagomål mail.docx", "A 4219-2023")</f>
        <v/>
      </c>
      <c r="AA11">
        <f>HYPERLINK("https://klasma.github.io/Logging_0484/tillsyn/A 4219-2023 tillsynsbegäran.docx", "A 4219-2023")</f>
        <v/>
      </c>
      <c r="AB11">
        <f>HYPERLINK("https://klasma.github.io/Logging_0484/tillsynsmail/A 4219-2023 tillsynsbegäran mail.docx", "A 4219-2023")</f>
        <v/>
      </c>
      <c r="AC11">
        <f>HYPERLINK("https://klasma.github.io/Logging_0484/fåglar/A 4219-2023 prioriterade fågelarter.docx", "A 4219-2023")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46219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s="2" t="inlineStr">
        <is>
          <t>Knärot
Motaggsvamp
Mindre märgborre
Blåsippa
Mattlummer
Tjäder</t>
        </is>
      </c>
      <c r="V12">
        <f>HYPERLINK("https://klasma.github.io/Logging_0484/artfynd/A 33699-2022 artfynd.xlsx", "A 33699-2022")</f>
        <v/>
      </c>
      <c r="W12">
        <f>HYPERLINK("https://klasma.github.io/Logging_0484/kartor/A 33699-2022 karta.png", "A 33699-2022")</f>
        <v/>
      </c>
      <c r="X12">
        <f>HYPERLINK("https://klasma.github.io/Logging_0484/knärot/A 33699-2022 karta knärot.png", "A 33699-2022")</f>
        <v/>
      </c>
      <c r="Y12">
        <f>HYPERLINK("https://klasma.github.io/Logging_0484/klagomål/A 33699-2022 FSC-klagomål.docx", "A 33699-2022")</f>
        <v/>
      </c>
      <c r="Z12">
        <f>HYPERLINK("https://klasma.github.io/Logging_0484/klagomålsmail/A 33699-2022 FSC-klagomål mail.docx", "A 33699-2022")</f>
        <v/>
      </c>
      <c r="AA12">
        <f>HYPERLINK("https://klasma.github.io/Logging_0484/tillsyn/A 33699-2022 tillsynsbegäran.docx", "A 33699-2022")</f>
        <v/>
      </c>
      <c r="AB12">
        <f>HYPERLINK("https://klasma.github.io/Logging_0484/tillsynsmail/A 33699-2022 tillsynsbegäran mail.docx", "A 33699-2022")</f>
        <v/>
      </c>
      <c r="AC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46219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s="2" t="inlineStr">
        <is>
          <t>Mindre bastardsvärmare
Jungfrulin
Klasefibbla
Silversmygare
Skogsklocka
Svinrot</t>
        </is>
      </c>
      <c r="V13">
        <f>HYPERLINK("https://klasma.github.io/Logging_0484/artfynd/A 61503-2022 artfynd.xlsx", "A 61503-2022")</f>
        <v/>
      </c>
      <c r="W13">
        <f>HYPERLINK("https://klasma.github.io/Logging_0484/kartor/A 61503-2022 karta.png", "A 61503-2022")</f>
        <v/>
      </c>
      <c r="Y13">
        <f>HYPERLINK("https://klasma.github.io/Logging_0484/klagomål/A 61503-2022 FSC-klagomål.docx", "A 61503-2022")</f>
        <v/>
      </c>
      <c r="Z13">
        <f>HYPERLINK("https://klasma.github.io/Logging_0484/klagomålsmail/A 61503-2022 FSC-klagomål mail.docx", "A 61503-2022")</f>
        <v/>
      </c>
      <c r="AA13">
        <f>HYPERLINK("https://klasma.github.io/Logging_0484/tillsyn/A 61503-2022 tillsynsbegäran.docx", "A 61503-2022")</f>
        <v/>
      </c>
      <c r="AB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46219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Tibast
Vätteros
Blåsippa
Gullviva</t>
        </is>
      </c>
      <c r="V14">
        <f>HYPERLINK("https://klasma.github.io/Logging_0484/artfynd/A 61070-2025 artfynd.xlsx", "A 61070-2025")</f>
        <v/>
      </c>
      <c r="W14">
        <f>HYPERLINK("https://klasma.github.io/Logging_0484/kartor/A 61070-2025 karta.png", "A 61070-2025")</f>
        <v/>
      </c>
      <c r="Y14">
        <f>HYPERLINK("https://klasma.github.io/Logging_0484/klagomål/A 61070-2025 FSC-klagomål.docx", "A 61070-2025")</f>
        <v/>
      </c>
      <c r="Z14">
        <f>HYPERLINK("https://klasma.github.io/Logging_0484/klagomålsmail/A 61070-2025 FSC-klagomål mail.docx", "A 61070-2025")</f>
        <v/>
      </c>
      <c r="AA14">
        <f>HYPERLINK("https://klasma.github.io/Logging_0484/tillsyn/A 61070-2025 tillsynsbegäran.docx", "A 61070-2025")</f>
        <v/>
      </c>
      <c r="AB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46219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s="2" t="inlineStr">
        <is>
          <t>Ask
Gullpudra
Tibast
Underviol
Blåsippa</t>
        </is>
      </c>
      <c r="V15">
        <f>HYPERLINK("https://klasma.github.io/Logging_0484/artfynd/A 53415-2023 artfynd.xlsx", "A 53415-2023")</f>
        <v/>
      </c>
      <c r="W15">
        <f>HYPERLINK("https://klasma.github.io/Logging_0484/kartor/A 53415-2023 karta.png", "A 53415-2023")</f>
        <v/>
      </c>
      <c r="Y15">
        <f>HYPERLINK("https://klasma.github.io/Logging_0484/klagomål/A 53415-2023 FSC-klagomål.docx", "A 53415-2023")</f>
        <v/>
      </c>
      <c r="Z15">
        <f>HYPERLINK("https://klasma.github.io/Logging_0484/klagomålsmail/A 53415-2023 FSC-klagomål mail.docx", "A 53415-2023")</f>
        <v/>
      </c>
      <c r="AA15">
        <f>HYPERLINK("https://klasma.github.io/Logging_0484/tillsyn/A 53415-2023 tillsynsbegäran.docx", "A 53415-2023")</f>
        <v/>
      </c>
      <c r="AB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46219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Y16">
        <f>HYPERLINK("https://klasma.github.io/Logging_0484/klagomål/A 2968-2022 FSC-klagomål.docx", "A 2968-2022")</f>
        <v/>
      </c>
      <c r="Z16">
        <f>HYPERLINK("https://klasma.github.io/Logging_0484/klagomålsmail/A 2968-2022 FSC-klagomål mail.docx", "A 2968-2022")</f>
        <v/>
      </c>
      <c r="AA16">
        <f>HYPERLINK("https://klasma.github.io/Logging_0484/tillsyn/A 2968-2022 tillsynsbegäran.docx", "A 2968-2022")</f>
        <v/>
      </c>
      <c r="AB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46219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Brunlångöra
Nordfladdermus
Dvärgpipistrell
Större brunfladdermus</t>
        </is>
      </c>
      <c r="V17">
        <f>HYPERLINK("https://klasma.github.io/Logging_0484/artfynd/A 58994-2022 artfynd.xlsx", "A 58994-2022")</f>
        <v/>
      </c>
      <c r="W17">
        <f>HYPERLINK("https://klasma.github.io/Logging_0484/kartor/A 58994-2022 karta.png", "A 58994-2022")</f>
        <v/>
      </c>
      <c r="Y17">
        <f>HYPERLINK("https://klasma.github.io/Logging_0484/klagomål/A 58994-2022 FSC-klagomål.docx", "A 58994-2022")</f>
        <v/>
      </c>
      <c r="Z17">
        <f>HYPERLINK("https://klasma.github.io/Logging_0484/klagomålsmail/A 58994-2022 FSC-klagomål mail.docx", "A 58994-2022")</f>
        <v/>
      </c>
      <c r="AA17">
        <f>HYPERLINK("https://klasma.github.io/Logging_0484/tillsyn/A 58994-2022 tillsynsbegäran.docx", "A 58994-2022")</f>
        <v/>
      </c>
      <c r="AB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46219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Mindre hackspett
Granbarkgnagare
Grönpyrola
Blåsippa</t>
        </is>
      </c>
      <c r="V18">
        <f>HYPERLINK("https://klasma.github.io/Logging_0484/artfynd/A 4212-2023 artfynd.xlsx", "A 4212-2023")</f>
        <v/>
      </c>
      <c r="W18">
        <f>HYPERLINK("https://klasma.github.io/Logging_0484/kartor/A 4212-2023 karta.png", "A 4212-2023")</f>
        <v/>
      </c>
      <c r="X18">
        <f>HYPERLINK("https://klasma.github.io/Logging_0484/knärot/A 4212-2023 karta knärot.png", "A 4212-2023")</f>
        <v/>
      </c>
      <c r="Y18">
        <f>HYPERLINK("https://klasma.github.io/Logging_0484/klagomål/A 4212-2023 FSC-klagomål.docx", "A 4212-2023")</f>
        <v/>
      </c>
      <c r="Z18">
        <f>HYPERLINK("https://klasma.github.io/Logging_0484/klagomålsmail/A 4212-2023 FSC-klagomål mail.docx", "A 4212-2023")</f>
        <v/>
      </c>
      <c r="AA18">
        <f>HYPERLINK("https://klasma.github.io/Logging_0484/tillsyn/A 4212-2023 tillsynsbegäran.docx", "A 4212-2023")</f>
        <v/>
      </c>
      <c r="AB18">
        <f>HYPERLINK("https://klasma.github.io/Logging_0484/tillsynsmail/A 4212-2023 tillsynsbegäran mail.docx", "A 4212-2023")</f>
        <v/>
      </c>
      <c r="AC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46219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HYPERLINK("https://klasma.github.io/Logging_0484/knärot/A 45535-2023 karta knärot.png", "A 45535-2023")</f>
        <v/>
      </c>
      <c r="Y19">
        <f>HYPERLINK("https://klasma.github.io/Logging_0484/klagomål/A 45535-2023 FSC-klagomål.docx", "A 45535-2023")</f>
        <v/>
      </c>
      <c r="Z19">
        <f>HYPERLINK("https://klasma.github.io/Logging_0484/klagomålsmail/A 45535-2023 FSC-klagomål mail.docx", "A 45535-2023")</f>
        <v/>
      </c>
      <c r="AA19">
        <f>HYPERLINK("https://klasma.github.io/Logging_0484/tillsyn/A 45535-2023 tillsynsbegäran.docx", "A 45535-2023")</f>
        <v/>
      </c>
      <c r="AB19">
        <f>HYPERLINK("https://klasma.github.io/Logging_0484/tillsynsmail/A 45535-2023 tillsynsbegäran mail.docx", "A 45535-2023")</f>
        <v/>
      </c>
      <c r="AC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46219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Pärluggla
Mindre hackspett
Havsörn
Kungsfågel</t>
        </is>
      </c>
      <c r="V20">
        <f>HYPERLINK("https://klasma.github.io/Logging_0484/artfynd/A 12296-2023 artfynd.xlsx", "A 12296-2023")</f>
        <v/>
      </c>
      <c r="W20">
        <f>HYPERLINK("https://klasma.github.io/Logging_0484/kartor/A 12296-2023 karta.png", "A 12296-2023")</f>
        <v/>
      </c>
      <c r="Y20">
        <f>HYPERLINK("https://klasma.github.io/Logging_0484/klagomål/A 12296-2023 FSC-klagomål.docx", "A 12296-2023")</f>
        <v/>
      </c>
      <c r="Z20">
        <f>HYPERLINK("https://klasma.github.io/Logging_0484/klagomålsmail/A 12296-2023 FSC-klagomål mail.docx", "A 12296-2023")</f>
        <v/>
      </c>
      <c r="AA20">
        <f>HYPERLINK("https://klasma.github.io/Logging_0484/tillsyn/A 12296-2023 tillsynsbegäran.docx", "A 12296-2023")</f>
        <v/>
      </c>
      <c r="AB20">
        <f>HYPERLINK("https://klasma.github.io/Logging_0484/tillsynsmail/A 12296-2023 tillsynsbegäran mail.docx", "A 12296-2023")</f>
        <v/>
      </c>
      <c r="AC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46219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Y21">
        <f>HYPERLINK("https://klasma.github.io/Logging_0484/klagomål/A 15060-2022 FSC-klagomål.docx", "A 15060-2022")</f>
        <v/>
      </c>
      <c r="Z21">
        <f>HYPERLINK("https://klasma.github.io/Logging_0484/klagomålsmail/A 15060-2022 FSC-klagomål mail.docx", "A 15060-2022")</f>
        <v/>
      </c>
      <c r="AA21">
        <f>HYPERLINK("https://klasma.github.io/Logging_0484/tillsyn/A 15060-2022 tillsynsbegäran.docx", "A 15060-2022")</f>
        <v/>
      </c>
      <c r="AB21">
        <f>HYPERLINK("https://klasma.github.io/Logging_0484/tillsynsmail/A 15060-2022 tillsynsbegäran mail.docx", "A 15060-2022")</f>
        <v/>
      </c>
      <c r="AC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46219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s="2" t="inlineStr">
        <is>
          <t>Ask
Svinrot
Ängsskära</t>
        </is>
      </c>
      <c r="V22">
        <f>HYPERLINK("https://klasma.github.io/Logging_0484/artfynd/A 9495-2025 artfynd.xlsx", "A 9495-2025")</f>
        <v/>
      </c>
      <c r="W22">
        <f>HYPERLINK("https://klasma.github.io/Logging_0484/kartor/A 9495-2025 karta.png", "A 9495-2025")</f>
        <v/>
      </c>
      <c r="Y22">
        <f>HYPERLINK("https://klasma.github.io/Logging_0484/klagomål/A 9495-2025 FSC-klagomål.docx", "A 9495-2025")</f>
        <v/>
      </c>
      <c r="Z22">
        <f>HYPERLINK("https://klasma.github.io/Logging_0484/klagomålsmail/A 9495-2025 FSC-klagomål mail.docx", "A 9495-2025")</f>
        <v/>
      </c>
      <c r="AA22">
        <f>HYPERLINK("https://klasma.github.io/Logging_0484/tillsyn/A 9495-2025 tillsynsbegäran.docx", "A 9495-2025")</f>
        <v/>
      </c>
      <c r="AB22">
        <f>HYPERLINK("https://klasma.github.io/Logging_0484/tillsynsmail/A 9495-2025 tillsynsbegäran mail.docx", "A 9495-2025")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46219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Mindre märgborre
Kungsfågel
Revlummer</t>
        </is>
      </c>
      <c r="V23">
        <f>HYPERLINK("https://klasma.github.io/Logging_0484/artfynd/A 40857-2025 artfynd.xlsx", "A 40857-2025")</f>
        <v/>
      </c>
      <c r="W23">
        <f>HYPERLINK("https://klasma.github.io/Logging_0484/kartor/A 40857-2025 karta.png", "A 40857-2025")</f>
        <v/>
      </c>
      <c r="Y23">
        <f>HYPERLINK("https://klasma.github.io/Logging_0484/klagomål/A 40857-2025 FSC-klagomål.docx", "A 40857-2025")</f>
        <v/>
      </c>
      <c r="Z23">
        <f>HYPERLINK("https://klasma.github.io/Logging_0484/klagomålsmail/A 40857-2025 FSC-klagomål mail.docx", "A 40857-2025")</f>
        <v/>
      </c>
      <c r="AA23">
        <f>HYPERLINK("https://klasma.github.io/Logging_0484/tillsyn/A 40857-2025 tillsynsbegäran.docx", "A 40857-2025")</f>
        <v/>
      </c>
      <c r="AB23">
        <f>HYPERLINK("https://klasma.github.io/Logging_0484/tillsynsmail/A 40857-2025 tillsynsbegäran mail.docx", "A 40857-2025")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46219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s="2" t="inlineStr">
        <is>
          <t>Spillkråka
Trädlärka
Revlummer</t>
        </is>
      </c>
      <c r="V24">
        <f>HYPERLINK("https://klasma.github.io/Logging_0484/artfynd/A 571-2023 artfynd.xlsx", "A 571-2023")</f>
        <v/>
      </c>
      <c r="W24">
        <f>HYPERLINK("https://klasma.github.io/Logging_0484/kartor/A 571-2023 karta.png", "A 571-2023")</f>
        <v/>
      </c>
      <c r="Y24">
        <f>HYPERLINK("https://klasma.github.io/Logging_0484/klagomål/A 571-2023 FSC-klagomål.docx", "A 571-2023")</f>
        <v/>
      </c>
      <c r="Z24">
        <f>HYPERLINK("https://klasma.github.io/Logging_0484/klagomålsmail/A 571-2023 FSC-klagomål mail.docx", "A 571-2023")</f>
        <v/>
      </c>
      <c r="AA24">
        <f>HYPERLINK("https://klasma.github.io/Logging_0484/tillsyn/A 571-2023 tillsynsbegäran.docx", "A 571-2023")</f>
        <v/>
      </c>
      <c r="AB24">
        <f>HYPERLINK("https://klasma.github.io/Logging_0484/tillsynsmail/A 571-2023 tillsynsbegäran mail.docx", "A 571-2023")</f>
        <v/>
      </c>
      <c r="AC24">
        <f>HYPERLINK("https://klasma.github.io/Logging_0484/fåglar/A 571-2023 prioriterade fågelarter.docx", "A 571-2023")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46219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Knärot
Talltita
Älg</t>
        </is>
      </c>
      <c r="V25">
        <f>HYPERLINK("https://klasma.github.io/Logging_0484/artfynd/A 60926-2025 artfynd.xlsx", "A 60926-2025")</f>
        <v/>
      </c>
      <c r="W25">
        <f>HYPERLINK("https://klasma.github.io/Logging_0484/kartor/A 60926-2025 karta.png", "A 60926-2025")</f>
        <v/>
      </c>
      <c r="X25">
        <f>HYPERLINK("https://klasma.github.io/Logging_0484/knärot/A 60926-2025 karta knärot.png", "A 60926-2025")</f>
        <v/>
      </c>
      <c r="Y25">
        <f>HYPERLINK("https://klasma.github.io/Logging_0484/klagomål/A 60926-2025 FSC-klagomål.docx", "A 60926-2025")</f>
        <v/>
      </c>
      <c r="Z25">
        <f>HYPERLINK("https://klasma.github.io/Logging_0484/klagomålsmail/A 60926-2025 FSC-klagomål mail.docx", "A 60926-2025")</f>
        <v/>
      </c>
      <c r="AA25">
        <f>HYPERLINK("https://klasma.github.io/Logging_0484/tillsyn/A 60926-2025 tillsynsbegäran.docx", "A 60926-2025")</f>
        <v/>
      </c>
      <c r="AB25">
        <f>HYPERLINK("https://klasma.github.io/Logging_0484/tillsynsmail/A 60926-2025 tillsynsbegäran mail.docx", "A 60926-2025")</f>
        <v/>
      </c>
      <c r="AC25">
        <f>HYPERLINK("https://klasma.github.io/Logging_0484/fåglar/A 60926-2025 prioriterade fågelarter.docx", "A 60926-2025")</f>
        <v/>
      </c>
    </row>
    <row r="26" ht="15" customHeight="1">
      <c r="A26" t="inlineStr">
        <is>
          <t>A 12443-2024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45379</v>
      </c>
      <c r="E26" s="1" t="n">
        <v>46219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8.9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s="2" t="inlineStr">
        <is>
          <t>Blåsippa
Mattlummer
Revlummer</t>
        </is>
      </c>
      <c r="V26">
        <f>HYPERLINK("https://klasma.github.io/Logging_0484/artfynd/A 12443-2024 artfynd.xlsx", "A 12443-2024")</f>
        <v/>
      </c>
      <c r="W26">
        <f>HYPERLINK("https://klasma.github.io/Logging_0484/kartor/A 12443-2024 karta.png", "A 12443-2024")</f>
        <v/>
      </c>
      <c r="Y26">
        <f>HYPERLINK("https://klasma.github.io/Logging_0484/klagomål/A 12443-2024 FSC-klagomål.docx", "A 12443-2024")</f>
        <v/>
      </c>
      <c r="Z26">
        <f>HYPERLINK("https://klasma.github.io/Logging_0484/klagomålsmail/A 12443-2024 FSC-klagomål mail.docx", "A 12443-2024")</f>
        <v/>
      </c>
      <c r="AA26">
        <f>HYPERLINK("https://klasma.github.io/Logging_0484/tillsyn/A 12443-2024 tillsynsbegäran.docx", "A 12443-2024")</f>
        <v/>
      </c>
      <c r="AB26">
        <f>HYPERLINK("https://klasma.github.io/Logging_0484/tillsynsmail/A 12443-2024 tillsynsbegäran mail.docx", "A 12443-2024")</f>
        <v/>
      </c>
    </row>
    <row r="27" ht="15" customHeight="1">
      <c r="A27" t="inlineStr">
        <is>
          <t>A 24543-2025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46219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s="2" t="inlineStr">
        <is>
          <t>Ängsskära
Svart trolldruva
Blåsippa</t>
        </is>
      </c>
      <c r="V27">
        <f>HYPERLINK("https://klasma.github.io/Logging_0484/artfynd/A 24543-2025 artfynd.xlsx", "A 24543-2025")</f>
        <v/>
      </c>
      <c r="W27">
        <f>HYPERLINK("https://klasma.github.io/Logging_0484/kartor/A 24543-2025 karta.png", "A 24543-2025")</f>
        <v/>
      </c>
      <c r="Y27">
        <f>HYPERLINK("https://klasma.github.io/Logging_0484/klagomål/A 24543-2025 FSC-klagomål.docx", "A 24543-2025")</f>
        <v/>
      </c>
      <c r="Z27">
        <f>HYPERLINK("https://klasma.github.io/Logging_0484/klagomålsmail/A 24543-2025 FSC-klagomål mail.docx", "A 24543-2025")</f>
        <v/>
      </c>
      <c r="AA27">
        <f>HYPERLINK("https://klasma.github.io/Logging_0484/tillsyn/A 24543-2025 tillsynsbegäran.docx", "A 24543-2025")</f>
        <v/>
      </c>
      <c r="AB27">
        <f>HYPERLINK("https://klasma.github.io/Logging_0484/tillsynsmail/A 24543-2025 tillsynsbegäran mail.docx", "A 24543-2025")</f>
        <v/>
      </c>
    </row>
    <row r="28" ht="15" customHeight="1">
      <c r="A28" t="inlineStr">
        <is>
          <t>A 24539-2025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45798</v>
      </c>
      <c r="E28" s="1" t="n">
        <v>46219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7</v>
      </c>
      <c r="U28" s="2" t="inlineStr">
        <is>
          <t>Ängsskära
Svart trolldruva
Blåsippa</t>
        </is>
      </c>
      <c r="V28">
        <f>HYPERLINK("https://klasma.github.io/Logging_0484/artfynd/A 24539-2025 artfynd.xlsx", "A 24539-2025")</f>
        <v/>
      </c>
      <c r="W28">
        <f>HYPERLINK("https://klasma.github.io/Logging_0484/kartor/A 24539-2025 karta.png", "A 24539-2025")</f>
        <v/>
      </c>
      <c r="Y28">
        <f>HYPERLINK("https://klasma.github.io/Logging_0484/klagomål/A 24539-2025 FSC-klagomål.docx", "A 24539-2025")</f>
        <v/>
      </c>
      <c r="Z28">
        <f>HYPERLINK("https://klasma.github.io/Logging_0484/klagomålsmail/A 24539-2025 FSC-klagomål mail.docx", "A 24539-2025")</f>
        <v/>
      </c>
      <c r="AA28">
        <f>HYPERLINK("https://klasma.github.io/Logging_0484/tillsyn/A 24539-2025 tillsynsbegäran.docx", "A 24539-2025")</f>
        <v/>
      </c>
      <c r="AB28">
        <f>HYPERLINK("https://klasma.github.io/Logging_0484/tillsynsmail/A 24539-2025 tillsynsbegäran mail.docx", "A 24539-2025")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46219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s="2" t="inlineStr">
        <is>
          <t>Ask
Svart trolldruva
Tibast</t>
        </is>
      </c>
      <c r="V29">
        <f>HYPERLINK("https://klasma.github.io/Logging_0484/artfynd/A 18968-2023 artfynd.xlsx", "A 18968-2023")</f>
        <v/>
      </c>
      <c r="W29">
        <f>HYPERLINK("https://klasma.github.io/Logging_0484/kartor/A 18968-2023 karta.png", "A 18968-2023")</f>
        <v/>
      </c>
      <c r="Y29">
        <f>HYPERLINK("https://klasma.github.io/Logging_0484/klagomål/A 18968-2023 FSC-klagomål.docx", "A 18968-2023")</f>
        <v/>
      </c>
      <c r="Z29">
        <f>HYPERLINK("https://klasma.github.io/Logging_0484/klagomålsmail/A 18968-2023 FSC-klagomål mail.docx", "A 18968-2023")</f>
        <v/>
      </c>
      <c r="AA29">
        <f>HYPERLINK("https://klasma.github.io/Logging_0484/tillsyn/A 18968-2023 tillsynsbegäran.docx", "A 18968-2023")</f>
        <v/>
      </c>
      <c r="AB29">
        <f>HYPERLINK("https://klasma.github.io/Logging_0484/tillsynsmail/A 18968-2023 tillsynsbegäran mail.docx", "A 18968-2023")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46219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Motaggsvamp
Rävticka
Trådticka</t>
        </is>
      </c>
      <c r="V30">
        <f>HYPERLINK("https://klasma.github.io/Logging_0484/artfynd/A 28983-2026 artfynd.xlsx", "A 28983-2026")</f>
        <v/>
      </c>
      <c r="W30">
        <f>HYPERLINK("https://klasma.github.io/Logging_0484/kartor/A 28983-2026 karta.png", "A 28983-2026")</f>
        <v/>
      </c>
      <c r="Y30">
        <f>HYPERLINK("https://klasma.github.io/Logging_0484/klagomål/A 28983-2026 FSC-klagomål.docx", "A 28983-2026")</f>
        <v/>
      </c>
      <c r="Z30">
        <f>HYPERLINK("https://klasma.github.io/Logging_0484/klagomålsmail/A 28983-2026 FSC-klagomål mail.docx", "A 28983-2026")</f>
        <v/>
      </c>
      <c r="AA30">
        <f>HYPERLINK("https://klasma.github.io/Logging_0484/tillsyn/A 28983-2026 tillsynsbegäran.docx", "A 28983-2026")</f>
        <v/>
      </c>
      <c r="AB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46219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Y31">
        <f>HYPERLINK("https://klasma.github.io/Logging_0484/klagomål/S 1604-2025 FSC-klagomål.docx", "S 1604-2025")</f>
        <v/>
      </c>
      <c r="Z31">
        <f>HYPERLINK("https://klasma.github.io/Logging_0484/klagomålsmail/S 1604-2025 FSC-klagomål mail.docx", "S 1604-2025")</f>
        <v/>
      </c>
      <c r="AA31">
        <f>HYPERLINK("https://klasma.github.io/Logging_0484/tillsyn/S 1604-2025 tillsynsbegäran.docx", "S 1604-2025")</f>
        <v/>
      </c>
      <c r="AB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46219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Y32">
        <f>HYPERLINK("https://klasma.github.io/Logging_0484/klagomål/S 1603-2025 FSC-klagomål.docx", "S 1603-2025")</f>
        <v/>
      </c>
      <c r="Z32">
        <f>HYPERLINK("https://klasma.github.io/Logging_0484/klagomålsmail/S 1603-2025 FSC-klagomål mail.docx", "S 1603-2025")</f>
        <v/>
      </c>
      <c r="AA32">
        <f>HYPERLINK("https://klasma.github.io/Logging_0484/tillsyn/S 1603-2025 tillsynsbegäran.docx", "S 1603-2025")</f>
        <v/>
      </c>
      <c r="AB32">
        <f>HYPERLINK("https://klasma.github.io/Logging_0484/tillsynsmail/S 1603-2025 tillsynsbegäran mail.docx", "S 1603-2025")</f>
        <v/>
      </c>
    </row>
    <row r="33" ht="15" customHeight="1">
      <c r="A33" t="inlineStr">
        <is>
          <t>A 69068-2021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46219</v>
      </c>
      <c r="F33" t="inlineStr">
        <is>
          <t>SÖDERMANLANDS LÄN</t>
        </is>
      </c>
      <c r="G33" t="inlineStr">
        <is>
          <t>ESKILSTUNA</t>
        </is>
      </c>
      <c r="I33" t="n">
        <v>3.9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Tallticka
Mindre märgborre</t>
        </is>
      </c>
      <c r="V33">
        <f>HYPERLINK("https://klasma.github.io/Logging_0484/artfynd/A 69068-2021 artfynd.xlsx", "A 69068-2021")</f>
        <v/>
      </c>
      <c r="W33">
        <f>HYPERLINK("https://klasma.github.io/Logging_0484/kartor/A 69068-2021 karta.png", "A 69068-2021")</f>
        <v/>
      </c>
      <c r="Y33">
        <f>HYPERLINK("https://klasma.github.io/Logging_0484/klagomål/A 69068-2021 FSC-klagomål.docx", "A 69068-2021")</f>
        <v/>
      </c>
      <c r="Z33">
        <f>HYPERLINK("https://klasma.github.io/Logging_0484/klagomålsmail/A 69068-2021 FSC-klagomål mail.docx", "A 69068-2021")</f>
        <v/>
      </c>
      <c r="AA33">
        <f>HYPERLINK("https://klasma.github.io/Logging_0484/tillsyn/A 69068-2021 tillsynsbegäran.docx", "A 69068-2021")</f>
        <v/>
      </c>
      <c r="AB33">
        <f>HYPERLINK("https://klasma.github.io/Logging_0484/tillsynsmail/A 69068-2021 tillsynsbegäran mail.docx", "A 69068-2021")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46219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Gullpudra
Mattlummer</t>
        </is>
      </c>
      <c r="V34">
        <f>HYPERLINK("https://klasma.github.io/Logging_0484/artfynd/A 62141-2021 artfynd.xlsx", "A 62141-2021")</f>
        <v/>
      </c>
      <c r="W34">
        <f>HYPERLINK("https://klasma.github.io/Logging_0484/kartor/A 62141-2021 karta.png", "A 62141-2021")</f>
        <v/>
      </c>
      <c r="Y34">
        <f>HYPERLINK("https://klasma.github.io/Logging_0484/klagomål/A 62141-2021 FSC-klagomål.docx", "A 62141-2021")</f>
        <v/>
      </c>
      <c r="Z34">
        <f>HYPERLINK("https://klasma.github.io/Logging_0484/klagomålsmail/A 62141-2021 FSC-klagomål mail.docx", "A 62141-2021")</f>
        <v/>
      </c>
      <c r="AA34">
        <f>HYPERLINK("https://klasma.github.io/Logging_0484/tillsyn/A 62141-2021 tillsynsbegäran.docx", "A 62141-2021")</f>
        <v/>
      </c>
      <c r="AB34">
        <f>HYPERLINK("https://klasma.github.io/Logging_0484/tillsynsmail/A 62141-2021 tillsynsbegäran mail.docx", "A 62141-2021")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46219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Blåsippa</t>
        </is>
      </c>
      <c r="V35">
        <f>HYPERLINK("https://klasma.github.io/Logging_0484/artfynd/A 65380-2021 artfynd.xlsx", "A 65380-2021")</f>
        <v/>
      </c>
      <c r="W35">
        <f>HYPERLINK("https://klasma.github.io/Logging_0484/kartor/A 65380-2021 karta.png", "A 65380-2021")</f>
        <v/>
      </c>
      <c r="Y35">
        <f>HYPERLINK("https://klasma.github.io/Logging_0484/klagomål/A 65380-2021 FSC-klagomål.docx", "A 65380-2021")</f>
        <v/>
      </c>
      <c r="Z35">
        <f>HYPERLINK("https://klasma.github.io/Logging_0484/klagomålsmail/A 65380-2021 FSC-klagomål mail.docx", "A 65380-2021")</f>
        <v/>
      </c>
      <c r="AA35">
        <f>HYPERLINK("https://klasma.github.io/Logging_0484/tillsyn/A 65380-2021 tillsynsbegäran.docx", "A 65380-2021")</f>
        <v/>
      </c>
      <c r="AB35">
        <f>HYPERLINK("https://klasma.github.io/Logging_0484/tillsynsmail/A 65380-2021 tillsynsbegäran mail.docx", "A 65380-2021")</f>
        <v/>
      </c>
    </row>
    <row r="36" ht="15" customHeight="1">
      <c r="A36" t="inlineStr">
        <is>
          <t>A 32314-2023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46219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Sveaskog</t>
        </is>
      </c>
      <c r="I36" t="n">
        <v>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Grovticka
Svavelriska</t>
        </is>
      </c>
      <c r="V36">
        <f>HYPERLINK("https://klasma.github.io/Logging_0484/artfynd/A 32314-2023 artfynd.xlsx", "A 32314-2023")</f>
        <v/>
      </c>
      <c r="W36">
        <f>HYPERLINK("https://klasma.github.io/Logging_0484/kartor/A 32314-2023 karta.png", "A 32314-2023")</f>
        <v/>
      </c>
      <c r="Y36">
        <f>HYPERLINK("https://klasma.github.io/Logging_0484/klagomål/A 32314-2023 FSC-klagomål.docx", "A 32314-2023")</f>
        <v/>
      </c>
      <c r="Z36">
        <f>HYPERLINK("https://klasma.github.io/Logging_0484/klagomålsmail/A 32314-2023 FSC-klagomål mail.docx", "A 32314-2023")</f>
        <v/>
      </c>
      <c r="AA36">
        <f>HYPERLINK("https://klasma.github.io/Logging_0484/tillsyn/A 32314-2023 tillsynsbegäran.docx", "A 32314-2023")</f>
        <v/>
      </c>
      <c r="AB36">
        <f>HYPERLINK("https://klasma.github.io/Logging_0484/tillsynsmail/A 32314-2023 tillsynsbegäran mail.docx", "A 32314-2023")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46219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 dropplav
Sotlav</t>
        </is>
      </c>
      <c r="V37">
        <f>HYPERLINK("https://klasma.github.io/Logging_0484/artfynd/A 17362-2024 artfynd.xlsx", "A 17362-2024")</f>
        <v/>
      </c>
      <c r="W37">
        <f>HYPERLINK("https://klasma.github.io/Logging_0484/kartor/A 17362-2024 karta.png", "A 17362-2024")</f>
        <v/>
      </c>
      <c r="Y37">
        <f>HYPERLINK("https://klasma.github.io/Logging_0484/klagomål/A 17362-2024 FSC-klagomål.docx", "A 17362-2024")</f>
        <v/>
      </c>
      <c r="Z37">
        <f>HYPERLINK("https://klasma.github.io/Logging_0484/klagomålsmail/A 17362-2024 FSC-klagomål mail.docx", "A 17362-2024")</f>
        <v/>
      </c>
      <c r="AA37">
        <f>HYPERLINK("https://klasma.github.io/Logging_0484/tillsyn/A 17362-2024 tillsynsbegäran.docx", "A 17362-2024")</f>
        <v/>
      </c>
      <c r="AB37">
        <f>HYPERLINK("https://klasma.github.io/Logging_0484/tillsynsmail/A 17362-2024 tillsynsbegäran mail.docx", "A 17362-2024")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46219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Krusfrö
Tjäder</t>
        </is>
      </c>
      <c r="V38">
        <f>HYPERLINK("https://klasma.github.io/Logging_0484/artfynd/A 34985-2025 artfynd.xlsx", "A 34985-2025")</f>
        <v/>
      </c>
      <c r="W38">
        <f>HYPERLINK("https://klasma.github.io/Logging_0484/kartor/A 34985-2025 karta.png", "A 34985-2025")</f>
        <v/>
      </c>
      <c r="Y38">
        <f>HYPERLINK("https://klasma.github.io/Logging_0484/klagomål/A 34985-2025 FSC-klagomål.docx", "A 34985-2025")</f>
        <v/>
      </c>
      <c r="Z38">
        <f>HYPERLINK("https://klasma.github.io/Logging_0484/klagomålsmail/A 34985-2025 FSC-klagomål mail.docx", "A 34985-2025")</f>
        <v/>
      </c>
      <c r="AA38">
        <f>HYPERLINK("https://klasma.github.io/Logging_0484/tillsyn/A 34985-2025 tillsynsbegäran.docx", "A 34985-2025")</f>
        <v/>
      </c>
      <c r="AB38">
        <f>HYPERLINK("https://klasma.github.io/Logging_0484/tillsynsmail/A 34985-2025 tillsynsbegäran mail.docx", "A 34985-2025")</f>
        <v/>
      </c>
      <c r="AC38">
        <f>HYPERLINK("https://klasma.github.io/Logging_0484/fåglar/A 34985-2025 prioriterade fågelarter.docx", "A 34985-2025")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46219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Svinrot
Mattlummer</t>
        </is>
      </c>
      <c r="V39">
        <f>HYPERLINK("https://klasma.github.io/Logging_0484/artfynd/A 61987-2022 artfynd.xlsx", "A 61987-2022")</f>
        <v/>
      </c>
      <c r="W39">
        <f>HYPERLINK("https://klasma.github.io/Logging_0484/kartor/A 61987-2022 karta.png", "A 61987-2022")</f>
        <v/>
      </c>
      <c r="Y39">
        <f>HYPERLINK("https://klasma.github.io/Logging_0484/klagomål/A 61987-2022 FSC-klagomål.docx", "A 61987-2022")</f>
        <v/>
      </c>
      <c r="Z39">
        <f>HYPERLINK("https://klasma.github.io/Logging_0484/klagomålsmail/A 61987-2022 FSC-klagomål mail.docx", "A 61987-2022")</f>
        <v/>
      </c>
      <c r="AA39">
        <f>HYPERLINK("https://klasma.github.io/Logging_0484/tillsyn/A 61987-2022 tillsynsbegäran.docx", "A 61987-2022")</f>
        <v/>
      </c>
      <c r="AB39">
        <f>HYPERLINK("https://klasma.github.io/Logging_0484/tillsynsmail/A 61987-2022 tillsynsbegäran mail.docx", "A 61987-2022")</f>
        <v/>
      </c>
    </row>
    <row r="40" ht="15" customHeight="1">
      <c r="A40" t="inlineStr">
        <is>
          <t>A 61105-2025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46219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1.1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Krusfrö
Tibast</t>
        </is>
      </c>
      <c r="V40">
        <f>HYPERLINK("https://klasma.github.io/Logging_0484/artfynd/A 61105-2025 artfynd.xlsx", "A 61105-2025")</f>
        <v/>
      </c>
      <c r="W40">
        <f>HYPERLINK("https://klasma.github.io/Logging_0484/kartor/A 61105-2025 karta.png", "A 61105-2025")</f>
        <v/>
      </c>
      <c r="Y40">
        <f>HYPERLINK("https://klasma.github.io/Logging_0484/klagomål/A 61105-2025 FSC-klagomål.docx", "A 61105-2025")</f>
        <v/>
      </c>
      <c r="Z40">
        <f>HYPERLINK("https://klasma.github.io/Logging_0484/klagomålsmail/A 61105-2025 FSC-klagomål mail.docx", "A 61105-2025")</f>
        <v/>
      </c>
      <c r="AA40">
        <f>HYPERLINK("https://klasma.github.io/Logging_0484/tillsyn/A 61105-2025 tillsynsbegäran.docx", "A 61105-2025")</f>
        <v/>
      </c>
      <c r="AB40">
        <f>HYPERLINK("https://klasma.github.io/Logging_0484/tillsynsmail/A 61105-2025 tillsynsbegäran mail.docx", "A 61105-2025")</f>
        <v/>
      </c>
    </row>
    <row r="41" ht="15" customHeight="1">
      <c r="A41" t="inlineStr">
        <is>
          <t>A 62009-2024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45655</v>
      </c>
      <c r="E41" s="1" t="n">
        <v>46219</v>
      </c>
      <c r="F41" t="inlineStr">
        <is>
          <t>SÖDERMANLANDS LÄN</t>
        </is>
      </c>
      <c r="G41" t="inlineStr">
        <is>
          <t>ESKILSTUNA</t>
        </is>
      </c>
      <c r="H41" t="inlineStr">
        <is>
          <t>Holmen skog AB</t>
        </is>
      </c>
      <c r="I41" t="n">
        <v>11.9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s="2" t="inlineStr">
        <is>
          <t>Mattlummer
Revlummer</t>
        </is>
      </c>
      <c r="V41">
        <f>HYPERLINK("https://klasma.github.io/Logging_0484/artfynd/A 62009-2024 artfynd.xlsx", "A 62009-2024")</f>
        <v/>
      </c>
      <c r="W41">
        <f>HYPERLINK("https://klasma.github.io/Logging_0484/kartor/A 62009-2024 karta.png", "A 62009-2024")</f>
        <v/>
      </c>
      <c r="Y41">
        <f>HYPERLINK("https://klasma.github.io/Logging_0484/klagomål/A 62009-2024 FSC-klagomål.docx", "A 62009-2024")</f>
        <v/>
      </c>
      <c r="Z41">
        <f>HYPERLINK("https://klasma.github.io/Logging_0484/klagomålsmail/A 62009-2024 FSC-klagomål mail.docx", "A 62009-2024")</f>
        <v/>
      </c>
      <c r="AA41">
        <f>HYPERLINK("https://klasma.github.io/Logging_0484/tillsyn/A 62009-2024 tillsynsbegäran.docx", "A 62009-2024")</f>
        <v/>
      </c>
      <c r="AB41">
        <f>HYPERLINK("https://klasma.github.io/Logging_0484/tillsynsmail/A 62009-2024 tillsynsbegäran mail.docx", "A 62009-2024")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46219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Svart trolldruva
Blåsippa</t>
        </is>
      </c>
      <c r="V42">
        <f>HYPERLINK("https://klasma.github.io/Logging_0484/artfynd/A 19494-2024 artfynd.xlsx", "A 19494-2024")</f>
        <v/>
      </c>
      <c r="W42">
        <f>HYPERLINK("https://klasma.github.io/Logging_0484/kartor/A 19494-2024 karta.png", "A 19494-2024")</f>
        <v/>
      </c>
      <c r="Y42">
        <f>HYPERLINK("https://klasma.github.io/Logging_0484/klagomål/A 19494-2024 FSC-klagomål.docx", "A 19494-2024")</f>
        <v/>
      </c>
      <c r="Z42">
        <f>HYPERLINK("https://klasma.github.io/Logging_0484/klagomålsmail/A 19494-2024 FSC-klagomål mail.docx", "A 19494-2024")</f>
        <v/>
      </c>
      <c r="AA42">
        <f>HYPERLINK("https://klasma.github.io/Logging_0484/tillsyn/A 19494-2024 tillsynsbegäran.docx", "A 19494-2024")</f>
        <v/>
      </c>
      <c r="AB42">
        <f>HYPERLINK("https://klasma.github.io/Logging_0484/tillsynsmail/A 19494-2024 tillsynsbegäran mail.docx", "A 19494-2024")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46219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Kungsfågel
Revlummer</t>
        </is>
      </c>
      <c r="V43">
        <f>HYPERLINK("https://klasma.github.io/Logging_0484/artfynd/A 63042-2025 artfynd.xlsx", "A 63042-2025")</f>
        <v/>
      </c>
      <c r="W43">
        <f>HYPERLINK("https://klasma.github.io/Logging_0484/kartor/A 63042-2025 karta.png", "A 63042-2025")</f>
        <v/>
      </c>
      <c r="Y43">
        <f>HYPERLINK("https://klasma.github.io/Logging_0484/klagomål/A 63042-2025 FSC-klagomål.docx", "A 63042-2025")</f>
        <v/>
      </c>
      <c r="Z43">
        <f>HYPERLINK("https://klasma.github.io/Logging_0484/klagomålsmail/A 63042-2025 FSC-klagomål mail.docx", "A 63042-2025")</f>
        <v/>
      </c>
      <c r="AA43">
        <f>HYPERLINK("https://klasma.github.io/Logging_0484/tillsyn/A 63042-2025 tillsynsbegäran.docx", "A 63042-2025")</f>
        <v/>
      </c>
      <c r="AB43">
        <f>HYPERLINK("https://klasma.github.io/Logging_0484/tillsynsmail/A 63042-2025 tillsynsbegäran mail.docx", "A 63042-2025")</f>
        <v/>
      </c>
    </row>
    <row r="44" ht="15" customHeight="1">
      <c r="A44" t="inlineStr">
        <is>
          <t>A 51326-2024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46219</v>
      </c>
      <c r="F44" t="inlineStr">
        <is>
          <t>SÖDERMANLANDS LÄN</t>
        </is>
      </c>
      <c r="G44" t="inlineStr">
        <is>
          <t>ESKILSTUNA</t>
        </is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s="2" t="inlineStr">
        <is>
          <t>Myskbock
Blåsippa</t>
        </is>
      </c>
      <c r="V44">
        <f>HYPERLINK("https://klasma.github.io/Logging_0484/artfynd/A 51326-2024 artfynd.xlsx", "A 51326-2024")</f>
        <v/>
      </c>
      <c r="W44">
        <f>HYPERLINK("https://klasma.github.io/Logging_0484/kartor/A 51326-2024 karta.png", "A 51326-2024")</f>
        <v/>
      </c>
      <c r="Y44">
        <f>HYPERLINK("https://klasma.github.io/Logging_0484/klagomål/A 51326-2024 FSC-klagomål.docx", "A 51326-2024")</f>
        <v/>
      </c>
      <c r="Z44">
        <f>HYPERLINK("https://klasma.github.io/Logging_0484/klagomålsmail/A 51326-2024 FSC-klagomål mail.docx", "A 51326-2024")</f>
        <v/>
      </c>
      <c r="AA44">
        <f>HYPERLINK("https://klasma.github.io/Logging_0484/tillsyn/A 51326-2024 tillsynsbegäran.docx", "A 51326-2024")</f>
        <v/>
      </c>
      <c r="AB44">
        <f>HYPERLINK("https://klasma.github.io/Logging_0484/tillsynsmail/A 51326-2024 tillsynsbegäran mail.docx", "A 51326-2024")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46219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Stubbspretmossa
Timmerticka</t>
        </is>
      </c>
      <c r="V45">
        <f>HYPERLINK("https://klasma.github.io/Logging_0484/artfynd/A 59822-2025 artfynd.xlsx", "A 59822-2025")</f>
        <v/>
      </c>
      <c r="W45">
        <f>HYPERLINK("https://klasma.github.io/Logging_0484/kartor/A 59822-2025 karta.png", "A 59822-2025")</f>
        <v/>
      </c>
      <c r="Y45">
        <f>HYPERLINK("https://klasma.github.io/Logging_0484/klagomål/A 59822-2025 FSC-klagomål.docx", "A 59822-2025")</f>
        <v/>
      </c>
      <c r="Z45">
        <f>HYPERLINK("https://klasma.github.io/Logging_0484/klagomålsmail/A 59822-2025 FSC-klagomål mail.docx", "A 59822-2025")</f>
        <v/>
      </c>
      <c r="AA45">
        <f>HYPERLINK("https://klasma.github.io/Logging_0484/tillsyn/A 59822-2025 tillsynsbegäran.docx", "A 59822-2025")</f>
        <v/>
      </c>
      <c r="AB45">
        <f>HYPERLINK("https://klasma.github.io/Logging_0484/tillsynsmail/A 59822-2025 tillsynsbegäran mail.docx", "A 59822-2025")</f>
        <v/>
      </c>
    </row>
    <row r="46" ht="15" customHeight="1">
      <c r="A46" t="inlineStr">
        <is>
          <t>A 44664-2022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46219</v>
      </c>
      <c r="F46" t="inlineStr">
        <is>
          <t>SÖDERMANLANDS LÄN</t>
        </is>
      </c>
      <c r="G46" t="inlineStr">
        <is>
          <t>ESKILSTUNA</t>
        </is>
      </c>
      <c r="I46" t="n">
        <v>20.8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s="2" t="inlineStr">
        <is>
          <t>Knärot
Blåmossa</t>
        </is>
      </c>
      <c r="V46">
        <f>HYPERLINK("https://klasma.github.io/Logging_0484/artfynd/A 44664-2022 artfynd.xlsx", "A 44664-2022")</f>
        <v/>
      </c>
      <c r="W46">
        <f>HYPERLINK("https://klasma.github.io/Logging_0484/kartor/A 44664-2022 karta.png", "A 44664-2022")</f>
        <v/>
      </c>
      <c r="X46">
        <f>HYPERLINK("https://klasma.github.io/Logging_0484/knärot/A 44664-2022 karta knärot.png", "A 44664-2022")</f>
        <v/>
      </c>
      <c r="Y46">
        <f>HYPERLINK("https://klasma.github.io/Logging_0484/klagomål/A 44664-2022 FSC-klagomål.docx", "A 44664-2022")</f>
        <v/>
      </c>
      <c r="Z46">
        <f>HYPERLINK("https://klasma.github.io/Logging_0484/klagomålsmail/A 44664-2022 FSC-klagomål mail.docx", "A 44664-2022")</f>
        <v/>
      </c>
      <c r="AA46">
        <f>HYPERLINK("https://klasma.github.io/Logging_0484/tillsyn/A 44664-2022 tillsynsbegäran.docx", "A 44664-2022")</f>
        <v/>
      </c>
      <c r="AB46">
        <f>HYPERLINK("https://klasma.github.io/Logging_0484/tillsynsmail/A 44664-2022 tillsynsbegäran mail.docx", "A 44664-2022")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46219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Backsippa
Backtimjan</t>
        </is>
      </c>
      <c r="V47">
        <f>HYPERLINK("https://klasma.github.io/Logging_0484/artfynd/A 26105-2026 artfynd.xlsx", "A 26105-2026")</f>
        <v/>
      </c>
      <c r="W47">
        <f>HYPERLINK("https://klasma.github.io/Logging_0484/kartor/A 26105-2026 karta.png", "A 26105-2026")</f>
        <v/>
      </c>
      <c r="Y47">
        <f>HYPERLINK("https://klasma.github.io/Logging_0484/klagomål/A 26105-2026 FSC-klagomål.docx", "A 26105-2026")</f>
        <v/>
      </c>
      <c r="Z47">
        <f>HYPERLINK("https://klasma.github.io/Logging_0484/klagomålsmail/A 26105-2026 FSC-klagomål mail.docx", "A 26105-2026")</f>
        <v/>
      </c>
      <c r="AA47">
        <f>HYPERLINK("https://klasma.github.io/Logging_0484/tillsyn/A 26105-2026 tillsynsbegäran.docx", "A 26105-2026")</f>
        <v/>
      </c>
      <c r="AB47">
        <f>HYPERLINK("https://klasma.github.io/Logging_0484/tillsynsmail/A 26105-2026 tillsynsbegäran mail.docx", "A 26105-2026")</f>
        <v/>
      </c>
    </row>
    <row r="48" ht="15" customHeight="1">
      <c r="A48" t="inlineStr">
        <is>
          <t>A 26095-2026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46219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s="2" t="inlineStr">
        <is>
          <t>Svinrot
Spillkråka</t>
        </is>
      </c>
      <c r="V48">
        <f>HYPERLINK("https://klasma.github.io/Logging_0484/artfynd/A 26095-2026 artfynd.xlsx", "A 26095-2026")</f>
        <v/>
      </c>
      <c r="W48">
        <f>HYPERLINK("https://klasma.github.io/Logging_0484/kartor/A 26095-2026 karta.png", "A 26095-2026")</f>
        <v/>
      </c>
      <c r="Y48">
        <f>HYPERLINK("https://klasma.github.io/Logging_0484/klagomål/A 26095-2026 FSC-klagomål.docx", "A 26095-2026")</f>
        <v/>
      </c>
      <c r="Z48">
        <f>HYPERLINK("https://klasma.github.io/Logging_0484/klagomålsmail/A 26095-2026 FSC-klagomål mail.docx", "A 26095-2026")</f>
        <v/>
      </c>
      <c r="AA48">
        <f>HYPERLINK("https://klasma.github.io/Logging_0484/tillsyn/A 26095-2026 tillsynsbegäran.docx", "A 26095-2026")</f>
        <v/>
      </c>
      <c r="AB48">
        <f>HYPERLINK("https://klasma.github.io/Logging_0484/tillsynsmail/A 26095-2026 tillsynsbegäran mail.docx", "A 26095-2026")</f>
        <v/>
      </c>
      <c r="AC48">
        <f>HYPERLINK("https://klasma.github.io/Logging_0484/fåglar/A 26095-2026 prioriterade fågelarter.docx", "A 26095-2026")</f>
        <v/>
      </c>
    </row>
    <row r="49" ht="15" customHeight="1">
      <c r="A49" t="inlineStr">
        <is>
          <t>A 34986-2025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46219</v>
      </c>
      <c r="F49" t="inlineStr">
        <is>
          <t>SÖDERMANLANDS LÄN</t>
        </is>
      </c>
      <c r="G49" t="inlineStr">
        <is>
          <t>ESKILSTUNA</t>
        </is>
      </c>
      <c r="H49" t="inlineStr">
        <is>
          <t>Allmännings- och besparingsskogar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Svart trolldruva
Spillkråka</t>
        </is>
      </c>
      <c r="V49">
        <f>HYPERLINK("https://klasma.github.io/Logging_0484/artfynd/A 34986-2025 artfynd.xlsx", "A 34986-2025")</f>
        <v/>
      </c>
      <c r="W49">
        <f>HYPERLINK("https://klasma.github.io/Logging_0484/kartor/A 34986-2025 karta.png", "A 34986-2025")</f>
        <v/>
      </c>
      <c r="Y49">
        <f>HYPERLINK("https://klasma.github.io/Logging_0484/klagomål/A 34986-2025 FSC-klagomål.docx", "A 34986-2025")</f>
        <v/>
      </c>
      <c r="Z49">
        <f>HYPERLINK("https://klasma.github.io/Logging_0484/klagomålsmail/A 34986-2025 FSC-klagomål mail.docx", "A 34986-2025")</f>
        <v/>
      </c>
      <c r="AA49">
        <f>HYPERLINK("https://klasma.github.io/Logging_0484/tillsyn/A 34986-2025 tillsynsbegäran.docx", "A 34986-2025")</f>
        <v/>
      </c>
      <c r="AB49">
        <f>HYPERLINK("https://klasma.github.io/Logging_0484/tillsynsmail/A 34986-2025 tillsynsbegäran mail.docx", "A 34986-2025")</f>
        <v/>
      </c>
      <c r="AC49">
        <f>HYPERLINK("https://klasma.github.io/Logging_0484/fåglar/A 34986-2025 prioriterade fågelarter.docx", "A 34986-2025")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46219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s="2" t="inlineStr">
        <is>
          <t>Jungfrulin
Solvända</t>
        </is>
      </c>
      <c r="V50">
        <f>HYPERLINK("https://klasma.github.io/Logging_0484/artfynd/A 22760-2026 artfynd.xlsx", "A 22760-2026")</f>
        <v/>
      </c>
      <c r="W50">
        <f>HYPERLINK("https://klasma.github.io/Logging_0484/kartor/A 22760-2026 karta.png", "A 22760-2026")</f>
        <v/>
      </c>
      <c r="Y50">
        <f>HYPERLINK("https://klasma.github.io/Logging_0484/klagomål/A 22760-2026 FSC-klagomål.docx", "A 22760-2026")</f>
        <v/>
      </c>
      <c r="Z50">
        <f>HYPERLINK("https://klasma.github.io/Logging_0484/klagomålsmail/A 22760-2026 FSC-klagomål mail.docx", "A 22760-2026")</f>
        <v/>
      </c>
      <c r="AA50">
        <f>HYPERLINK("https://klasma.github.io/Logging_0484/tillsyn/A 22760-2026 tillsynsbegäran.docx", "A 22760-2026")</f>
        <v/>
      </c>
      <c r="AB50">
        <f>HYPERLINK("https://klasma.github.io/Logging_0484/tillsynsmail/A 22760-2026 tillsynsbegäran mail.docx", "A 22760-2026")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46219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Y51">
        <f>HYPERLINK("https://klasma.github.io/Logging_0484/klagomål/S 1332-2020 FSC-klagomål.docx", "S 1332-2020")</f>
        <v/>
      </c>
      <c r="Z51">
        <f>HYPERLINK("https://klasma.github.io/Logging_0484/klagomålsmail/S 1332-2020 FSC-klagomål mail.docx", "S 1332-2020")</f>
        <v/>
      </c>
      <c r="AA51">
        <f>HYPERLINK("https://klasma.github.io/Logging_0484/tillsyn/S 1332-2020 tillsynsbegäran.docx", "S 1332-2020")</f>
        <v/>
      </c>
      <c r="AB51">
        <f>HYPERLINK("https://klasma.github.io/Logging_0484/tillsynsmail/S 1332-2020 tillsynsbegäran mail.docx", "S 1332-2020")</f>
        <v/>
      </c>
      <c r="AC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46219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Y52">
        <f>HYPERLINK("https://klasma.github.io/Logging_0484/klagomål/S 9518-2021 FSC-klagomål.docx", "S 9518-2021")</f>
        <v/>
      </c>
      <c r="Z52">
        <f>HYPERLINK("https://klasma.github.io/Logging_0484/klagomålsmail/S 9518-2021 FSC-klagomål mail.docx", "S 9518-2021")</f>
        <v/>
      </c>
      <c r="AA52">
        <f>HYPERLINK("https://klasma.github.io/Logging_0484/tillsyn/S 9518-2021 tillsynsbegäran.docx", "S 9518-2021")</f>
        <v/>
      </c>
      <c r="AB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46219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Y53">
        <f>HYPERLINK("https://klasma.github.io/Logging_0484/klagomål/A 36140-2022 FSC-klagomål.docx", "A 36140-2022")</f>
        <v/>
      </c>
      <c r="Z53">
        <f>HYPERLINK("https://klasma.github.io/Logging_0484/klagomålsmail/A 36140-2022 FSC-klagomål mail.docx", "A 36140-2022")</f>
        <v/>
      </c>
      <c r="AA53">
        <f>HYPERLINK("https://klasma.github.io/Logging_0484/tillsyn/A 36140-2022 tillsynsbegäran.docx", "A 36140-2022")</f>
        <v/>
      </c>
      <c r="AB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46219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Y54">
        <f>HYPERLINK("https://klasma.github.io/Logging_0484/klagomål/A 18780-2022 FSC-klagomål.docx", "A 18780-2022")</f>
        <v/>
      </c>
      <c r="Z54">
        <f>HYPERLINK("https://klasma.github.io/Logging_0484/klagomålsmail/A 18780-2022 FSC-klagomål mail.docx", "A 18780-2022")</f>
        <v/>
      </c>
      <c r="AA54">
        <f>HYPERLINK("https://klasma.github.io/Logging_0484/tillsyn/A 18780-2022 tillsynsbegäran.docx", "A 18780-2022")</f>
        <v/>
      </c>
      <c r="AB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46219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Y55">
        <f>HYPERLINK("https://klasma.github.io/Logging_0484/klagomål/A 28269-2022 FSC-klagomål.docx", "A 28269-2022")</f>
        <v/>
      </c>
      <c r="Z55">
        <f>HYPERLINK("https://klasma.github.io/Logging_0484/klagomålsmail/A 28269-2022 FSC-klagomål mail.docx", "A 28269-2022")</f>
        <v/>
      </c>
      <c r="AA55">
        <f>HYPERLINK("https://klasma.github.io/Logging_0484/tillsyn/A 28269-2022 tillsynsbegäran.docx", "A 28269-2022")</f>
        <v/>
      </c>
      <c r="AB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46219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HYPERLINK("https://klasma.github.io/Logging_0484/artfynd/A 3162-2022 artfynd.xlsx", "A 3162-2022")</f>
        <v/>
      </c>
      <c r="W56">
        <f>HYPERLINK("https://klasma.github.io/Logging_0484/kartor/A 3162-2022 karta.png", "A 3162-2022")</f>
        <v/>
      </c>
      <c r="Y56">
        <f>HYPERLINK("https://klasma.github.io/Logging_0484/klagomål/A 3162-2022 FSC-klagomål.docx", "A 3162-2022")</f>
        <v/>
      </c>
      <c r="Z56">
        <f>HYPERLINK("https://klasma.github.io/Logging_0484/klagomålsmail/A 3162-2022 FSC-klagomål mail.docx", "A 3162-2022")</f>
        <v/>
      </c>
      <c r="AA56">
        <f>HYPERLINK("https://klasma.github.io/Logging_0484/tillsyn/A 3162-2022 tillsynsbegäran.docx", "A 3162-2022")</f>
        <v/>
      </c>
      <c r="AB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46219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HYPERLINK("https://klasma.github.io/Logging_0484/artfynd/A 61368-2021 artfynd.xlsx", "A 61368-2021")</f>
        <v/>
      </c>
      <c r="W57">
        <f>HYPERLINK("https://klasma.github.io/Logging_0484/kartor/A 61368-2021 karta.png", "A 61368-2021")</f>
        <v/>
      </c>
      <c r="Y57">
        <f>HYPERLINK("https://klasma.github.io/Logging_0484/klagomål/A 61368-2021 FSC-klagomål.docx", "A 61368-2021")</f>
        <v/>
      </c>
      <c r="Z57">
        <f>HYPERLINK("https://klasma.github.io/Logging_0484/klagomålsmail/A 61368-2021 FSC-klagomål mail.docx", "A 61368-2021")</f>
        <v/>
      </c>
      <c r="AA57">
        <f>HYPERLINK("https://klasma.github.io/Logging_0484/tillsyn/A 61368-2021 tillsynsbegäran.docx", "A 61368-2021")</f>
        <v/>
      </c>
      <c r="AB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46219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Klasefibbla</t>
        </is>
      </c>
      <c r="V58">
        <f>HYPERLINK("https://klasma.github.io/Logging_0484/artfynd/A 49439-2021 artfynd.xlsx", "A 49439-2021")</f>
        <v/>
      </c>
      <c r="W58">
        <f>HYPERLINK("https://klasma.github.io/Logging_0484/kartor/A 49439-2021 karta.png", "A 49439-2021")</f>
        <v/>
      </c>
      <c r="Y58">
        <f>HYPERLINK("https://klasma.github.io/Logging_0484/klagomål/A 49439-2021 FSC-klagomål.docx", "A 49439-2021")</f>
        <v/>
      </c>
      <c r="Z58">
        <f>HYPERLINK("https://klasma.github.io/Logging_0484/klagomålsmail/A 49439-2021 FSC-klagomål mail.docx", "A 49439-2021")</f>
        <v/>
      </c>
      <c r="AA58">
        <f>HYPERLINK("https://klasma.github.io/Logging_0484/tillsyn/A 49439-2021 tillsynsbegäran.docx", "A 49439-2021")</f>
        <v/>
      </c>
      <c r="AB58">
        <f>HYPERLINK("https://klasma.github.io/Logging_0484/tillsynsmail/A 49439-2021 tillsynsbegäran mail.docx", "A 49439-2021")</f>
        <v/>
      </c>
    </row>
    <row r="59" ht="15" customHeight="1">
      <c r="A59" t="inlineStr">
        <is>
          <t>A 42002-2021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46219</v>
      </c>
      <c r="F59" t="inlineStr">
        <is>
          <t>SÖDERMANLANDS LÄN</t>
        </is>
      </c>
      <c r="G59" t="inlineStr">
        <is>
          <t>ESKILSTUNA</t>
        </is>
      </c>
      <c r="I59" t="n">
        <v>5.5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Järnsparv</t>
        </is>
      </c>
      <c r="V59">
        <f>HYPERLINK("https://klasma.github.io/Logging_0484/artfynd/A 42002-2021 artfynd.xlsx", "A 42002-2021")</f>
        <v/>
      </c>
      <c r="W59">
        <f>HYPERLINK("https://klasma.github.io/Logging_0484/kartor/A 42002-2021 karta.png", "A 42002-2021")</f>
        <v/>
      </c>
      <c r="Y59">
        <f>HYPERLINK("https://klasma.github.io/Logging_0484/klagomål/A 42002-2021 FSC-klagomål.docx", "A 42002-2021")</f>
        <v/>
      </c>
      <c r="Z59">
        <f>HYPERLINK("https://klasma.github.io/Logging_0484/klagomålsmail/A 42002-2021 FSC-klagomål mail.docx", "A 42002-2021")</f>
        <v/>
      </c>
      <c r="AA59">
        <f>HYPERLINK("https://klasma.github.io/Logging_0484/tillsyn/A 42002-2021 tillsynsbegäran.docx", "A 42002-2021")</f>
        <v/>
      </c>
      <c r="AB59">
        <f>HYPERLINK("https://klasma.github.io/Logging_0484/tillsynsmail/A 42002-2021 tillsynsbegäran mail.docx", "A 42002-2021")</f>
        <v/>
      </c>
      <c r="AC59">
        <f>HYPERLINK("https://klasma.github.io/Logging_0484/fåglar/A 42002-2021 prioriterade fågelarter.docx", "A 42002-2021")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46219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Fläcknycklar</t>
        </is>
      </c>
      <c r="V60">
        <f>HYPERLINK("https://klasma.github.io/Logging_0484/artfynd/A 12984-2024 artfynd.xlsx", "A 12984-2024")</f>
        <v/>
      </c>
      <c r="W60">
        <f>HYPERLINK("https://klasma.github.io/Logging_0484/kartor/A 12984-2024 karta.png", "A 12984-2024")</f>
        <v/>
      </c>
      <c r="Y60">
        <f>HYPERLINK("https://klasma.github.io/Logging_0484/klagomål/A 12984-2024 FSC-klagomål.docx", "A 12984-2024")</f>
        <v/>
      </c>
      <c r="Z60">
        <f>HYPERLINK("https://klasma.github.io/Logging_0484/klagomålsmail/A 12984-2024 FSC-klagomål mail.docx", "A 12984-2024")</f>
        <v/>
      </c>
      <c r="AA60">
        <f>HYPERLINK("https://klasma.github.io/Logging_0484/tillsyn/A 12984-2024 tillsynsbegäran.docx", "A 12984-2024")</f>
        <v/>
      </c>
      <c r="AB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46219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Grönvit nattviol</t>
        </is>
      </c>
      <c r="V61">
        <f>HYPERLINK("https://klasma.github.io/Logging_0484/artfynd/A 53399-2023 artfynd.xlsx", "A 53399-2023")</f>
        <v/>
      </c>
      <c r="W61">
        <f>HYPERLINK("https://klasma.github.io/Logging_0484/kartor/A 53399-2023 karta.png", "A 53399-2023")</f>
        <v/>
      </c>
      <c r="Y61">
        <f>HYPERLINK("https://klasma.github.io/Logging_0484/klagomål/A 53399-2023 FSC-klagomål.docx", "A 53399-2023")</f>
        <v/>
      </c>
      <c r="Z61">
        <f>HYPERLINK("https://klasma.github.io/Logging_0484/klagomålsmail/A 53399-2023 FSC-klagomål mail.docx", "A 53399-2023")</f>
        <v/>
      </c>
      <c r="AA61">
        <f>HYPERLINK("https://klasma.github.io/Logging_0484/tillsyn/A 53399-2023 tillsynsbegäran.docx", "A 53399-2023")</f>
        <v/>
      </c>
      <c r="AB61">
        <f>HYPERLINK("https://klasma.github.io/Logging_0484/tillsynsmail/A 53399-2023 tillsynsbegäran mail.docx", "A 53399-2023")</f>
        <v/>
      </c>
    </row>
    <row r="62" ht="15" customHeight="1">
      <c r="A62" t="inlineStr">
        <is>
          <t>A 14327-2023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46219</v>
      </c>
      <c r="F62" t="inlineStr">
        <is>
          <t>SÖDERMANLANDS LÄN</t>
        </is>
      </c>
      <c r="G62" t="inlineStr">
        <is>
          <t>ESKILSTUNA</t>
        </is>
      </c>
      <c r="H62" t="inlineStr">
        <is>
          <t>Kommuner</t>
        </is>
      </c>
      <c r="I62" t="n">
        <v>2.6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Mattlummer</t>
        </is>
      </c>
      <c r="V62">
        <f>HYPERLINK("https://klasma.github.io/Logging_0484/artfynd/A 14327-2023 artfynd.xlsx", "A 14327-2023")</f>
        <v/>
      </c>
      <c r="W62">
        <f>HYPERLINK("https://klasma.github.io/Logging_0484/kartor/A 14327-2023 karta.png", "A 14327-2023")</f>
        <v/>
      </c>
      <c r="Y62">
        <f>HYPERLINK("https://klasma.github.io/Logging_0484/klagomål/A 14327-2023 FSC-klagomål.docx", "A 14327-2023")</f>
        <v/>
      </c>
      <c r="Z62">
        <f>HYPERLINK("https://klasma.github.io/Logging_0484/klagomålsmail/A 14327-2023 FSC-klagomål mail.docx", "A 14327-2023")</f>
        <v/>
      </c>
      <c r="AA62">
        <f>HYPERLINK("https://klasma.github.io/Logging_0484/tillsyn/A 14327-2023 tillsynsbegäran.docx", "A 14327-2023")</f>
        <v/>
      </c>
      <c r="AB62">
        <f>HYPERLINK("https://klasma.github.io/Logging_0484/tillsynsmail/A 14327-2023 tillsynsbegäran mail.docx", "A 14327-2023")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46219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Knärot</t>
        </is>
      </c>
      <c r="V63">
        <f>HYPERLINK("https://klasma.github.io/Logging_0484/artfynd/A 43547-2022 artfynd.xlsx", "A 43547-2022")</f>
        <v/>
      </c>
      <c r="W63">
        <f>HYPERLINK("https://klasma.github.io/Logging_0484/kartor/A 43547-2022 karta.png", "A 43547-2022")</f>
        <v/>
      </c>
      <c r="X63">
        <f>HYPERLINK("https://klasma.github.io/Logging_0484/knärot/A 43547-2022 karta knärot.png", "A 43547-2022")</f>
        <v/>
      </c>
      <c r="Y63">
        <f>HYPERLINK("https://klasma.github.io/Logging_0484/klagomål/A 43547-2022 FSC-klagomål.docx", "A 43547-2022")</f>
        <v/>
      </c>
      <c r="Z63">
        <f>HYPERLINK("https://klasma.github.io/Logging_0484/klagomålsmail/A 43547-2022 FSC-klagomål mail.docx", "A 43547-2022")</f>
        <v/>
      </c>
      <c r="AA63">
        <f>HYPERLINK("https://klasma.github.io/Logging_0484/tillsyn/A 43547-2022 tillsynsbegäran.docx", "A 43547-2022")</f>
        <v/>
      </c>
      <c r="AB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46219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Grönsångare</t>
        </is>
      </c>
      <c r="V64">
        <f>HYPERLINK("https://klasma.github.io/Logging_0484/artfynd/A 47648-2022 artfynd.xlsx", "A 47648-2022")</f>
        <v/>
      </c>
      <c r="W64">
        <f>HYPERLINK("https://klasma.github.io/Logging_0484/kartor/A 47648-2022 karta.png", "A 47648-2022")</f>
        <v/>
      </c>
      <c r="Y64">
        <f>HYPERLINK("https://klasma.github.io/Logging_0484/klagomål/A 47648-2022 FSC-klagomål.docx", "A 47648-2022")</f>
        <v/>
      </c>
      <c r="Z64">
        <f>HYPERLINK("https://klasma.github.io/Logging_0484/klagomålsmail/A 47648-2022 FSC-klagomål mail.docx", "A 47648-2022")</f>
        <v/>
      </c>
      <c r="AA64">
        <f>HYPERLINK("https://klasma.github.io/Logging_0484/tillsyn/A 47648-2022 tillsynsbegäran.docx", "A 47648-2022")</f>
        <v/>
      </c>
      <c r="AB64">
        <f>HYPERLINK("https://klasma.github.io/Logging_0484/tillsynsmail/A 47648-2022 tillsynsbegäran mail.docx", "A 47648-2022")</f>
        <v/>
      </c>
      <c r="AC64">
        <f>HYPERLINK("https://klasma.github.io/Logging_0484/fåglar/A 47648-2022 prioriterade fågelarter.docx", "A 47648-2022")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46219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Nattskärra</t>
        </is>
      </c>
      <c r="V65">
        <f>HYPERLINK("https://klasma.github.io/Logging_0484/artfynd/A 5203-2025 artfynd.xlsx", "A 5203-2025")</f>
        <v/>
      </c>
      <c r="W65">
        <f>HYPERLINK("https://klasma.github.io/Logging_0484/kartor/A 5203-2025 karta.png", "A 5203-2025")</f>
        <v/>
      </c>
      <c r="Y65">
        <f>HYPERLINK("https://klasma.github.io/Logging_0484/klagomål/A 5203-2025 FSC-klagomål.docx", "A 5203-2025")</f>
        <v/>
      </c>
      <c r="Z65">
        <f>HYPERLINK("https://klasma.github.io/Logging_0484/klagomålsmail/A 5203-2025 FSC-klagomål mail.docx", "A 5203-2025")</f>
        <v/>
      </c>
      <c r="AA65">
        <f>HYPERLINK("https://klasma.github.io/Logging_0484/tillsyn/A 5203-2025 tillsynsbegäran.docx", "A 5203-2025")</f>
        <v/>
      </c>
      <c r="AB65">
        <f>HYPERLINK("https://klasma.github.io/Logging_0484/tillsynsmail/A 5203-2025 tillsynsbegäran mail.docx", "A 5203-2025")</f>
        <v/>
      </c>
      <c r="AC65">
        <f>HYPERLINK("https://klasma.github.io/Logging_0484/fåglar/A 5203-2025 prioriterade fågelarter.docx", "A 5203-2025")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46219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Rödvingetrast</t>
        </is>
      </c>
      <c r="V66">
        <f>HYPERLINK("https://klasma.github.io/Logging_0484/artfynd/A 26148-2022 artfynd.xlsx", "A 26148-2022")</f>
        <v/>
      </c>
      <c r="W66">
        <f>HYPERLINK("https://klasma.github.io/Logging_0484/kartor/A 26148-2022 karta.png", "A 26148-2022")</f>
        <v/>
      </c>
      <c r="Y66">
        <f>HYPERLINK("https://klasma.github.io/Logging_0484/klagomål/A 26148-2022 FSC-klagomål.docx", "A 26148-2022")</f>
        <v/>
      </c>
      <c r="Z66">
        <f>HYPERLINK("https://klasma.github.io/Logging_0484/klagomålsmail/A 26148-2022 FSC-klagomål mail.docx", "A 26148-2022")</f>
        <v/>
      </c>
      <c r="AA66">
        <f>HYPERLINK("https://klasma.github.io/Logging_0484/tillsyn/A 26148-2022 tillsynsbegäran.docx", "A 26148-2022")</f>
        <v/>
      </c>
      <c r="AB66">
        <f>HYPERLINK("https://klasma.github.io/Logging_0484/tillsynsmail/A 26148-2022 tillsynsbegäran mail.docx", "A 26148-2022")</f>
        <v/>
      </c>
      <c r="AC66">
        <f>HYPERLINK("https://klasma.github.io/Logging_0484/fåglar/A 26148-2022 prioriterade fågelarter.docx", "A 26148-2022")</f>
        <v/>
      </c>
    </row>
    <row r="67" ht="15" customHeight="1">
      <c r="A67" t="inlineStr">
        <is>
          <t>A 59070-2022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44904</v>
      </c>
      <c r="E67" s="1" t="n">
        <v>46219</v>
      </c>
      <c r="F67" t="inlineStr">
        <is>
          <t>SÖDERMANLANDS LÄN</t>
        </is>
      </c>
      <c r="G67" t="inlineStr">
        <is>
          <t>ESKILSTUNA</t>
        </is>
      </c>
      <c r="I67" t="n">
        <v>6.6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Igelkott</t>
        </is>
      </c>
      <c r="V67">
        <f>HYPERLINK("https://klasma.github.io/Logging_0484/artfynd/A 59070-2022 artfynd.xlsx", "A 59070-2022")</f>
        <v/>
      </c>
      <c r="W67">
        <f>HYPERLINK("https://klasma.github.io/Logging_0484/kartor/A 59070-2022 karta.png", "A 59070-2022")</f>
        <v/>
      </c>
      <c r="Y67">
        <f>HYPERLINK("https://klasma.github.io/Logging_0484/klagomål/A 59070-2022 FSC-klagomål.docx", "A 59070-2022")</f>
        <v/>
      </c>
      <c r="Z67">
        <f>HYPERLINK("https://klasma.github.io/Logging_0484/klagomålsmail/A 59070-2022 FSC-klagomål mail.docx", "A 59070-2022")</f>
        <v/>
      </c>
      <c r="AA67">
        <f>HYPERLINK("https://klasma.github.io/Logging_0484/tillsyn/A 59070-2022 tillsynsbegäran.docx", "A 59070-2022")</f>
        <v/>
      </c>
      <c r="AB67">
        <f>HYPERLINK("https://klasma.github.io/Logging_0484/tillsynsmail/A 59070-2022 tillsynsbegäran mail.docx", "A 59070-2022")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46219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Skrovlig taggsvamp</t>
        </is>
      </c>
      <c r="V68">
        <f>HYPERLINK("https://klasma.github.io/Logging_0484/artfynd/A 52840-2025 artfynd.xlsx", "A 52840-2025")</f>
        <v/>
      </c>
      <c r="W68">
        <f>HYPERLINK("https://klasma.github.io/Logging_0484/kartor/A 52840-2025 karta.png", "A 52840-2025")</f>
        <v/>
      </c>
      <c r="Y68">
        <f>HYPERLINK("https://klasma.github.io/Logging_0484/klagomål/A 52840-2025 FSC-klagomål.docx", "A 52840-2025")</f>
        <v/>
      </c>
      <c r="Z68">
        <f>HYPERLINK("https://klasma.github.io/Logging_0484/klagomålsmail/A 52840-2025 FSC-klagomål mail.docx", "A 52840-2025")</f>
        <v/>
      </c>
      <c r="AA68">
        <f>HYPERLINK("https://klasma.github.io/Logging_0484/tillsyn/A 52840-2025 tillsynsbegäran.docx", "A 52840-2025")</f>
        <v/>
      </c>
      <c r="AB68">
        <f>HYPERLINK("https://klasma.github.io/Logging_0484/tillsynsmail/A 52840-2025 tillsynsbegäran mail.docx", "A 52840-2025")</f>
        <v/>
      </c>
    </row>
    <row r="69" ht="15" customHeight="1">
      <c r="A69" t="inlineStr">
        <is>
          <t>A 57349-2021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44483</v>
      </c>
      <c r="E69" s="1" t="n">
        <v>46219</v>
      </c>
      <c r="F69" t="inlineStr">
        <is>
          <t>SÖDERMANLANDS LÄN</t>
        </is>
      </c>
      <c r="G69" t="inlineStr">
        <is>
          <t>ESKILSTUNA</t>
        </is>
      </c>
      <c r="H69" t="inlineStr">
        <is>
          <t>Sveaskog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Gullviva</t>
        </is>
      </c>
      <c r="V69">
        <f>HYPERLINK("https://klasma.github.io/Logging_0484/artfynd/A 57349-2021 artfynd.xlsx", "A 57349-2021")</f>
        <v/>
      </c>
      <c r="W69">
        <f>HYPERLINK("https://klasma.github.io/Logging_0484/kartor/A 57349-2021 karta.png", "A 57349-2021")</f>
        <v/>
      </c>
      <c r="Y69">
        <f>HYPERLINK("https://klasma.github.io/Logging_0484/klagomål/A 57349-2021 FSC-klagomål.docx", "A 57349-2021")</f>
        <v/>
      </c>
      <c r="Z69">
        <f>HYPERLINK("https://klasma.github.io/Logging_0484/klagomålsmail/A 57349-2021 FSC-klagomål mail.docx", "A 57349-2021")</f>
        <v/>
      </c>
      <c r="AA69">
        <f>HYPERLINK("https://klasma.github.io/Logging_0484/tillsyn/A 57349-2021 tillsynsbegäran.docx", "A 57349-2021")</f>
        <v/>
      </c>
      <c r="AB69">
        <f>HYPERLINK("https://klasma.github.io/Logging_0484/tillsynsmail/A 57349-2021 tillsynsbegäran mail.docx", "A 57349-2021")</f>
        <v/>
      </c>
    </row>
    <row r="70" ht="15" customHeight="1">
      <c r="A70" t="inlineStr">
        <is>
          <t>A 9645-2023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46219</v>
      </c>
      <c r="F70" t="inlineStr">
        <is>
          <t>SÖDERMANLANDS LÄN</t>
        </is>
      </c>
      <c r="G70" t="inlineStr">
        <is>
          <t>ESKILSTUNA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Skogsduva</t>
        </is>
      </c>
      <c r="V70">
        <f>HYPERLINK("https://klasma.github.io/Logging_0484/artfynd/A 9645-2023 artfynd.xlsx", "A 9645-2023")</f>
        <v/>
      </c>
      <c r="W70">
        <f>HYPERLINK("https://klasma.github.io/Logging_0484/kartor/A 9645-2023 karta.png", "A 9645-2023")</f>
        <v/>
      </c>
      <c r="Y70">
        <f>HYPERLINK("https://klasma.github.io/Logging_0484/klagomål/A 9645-2023 FSC-klagomål.docx", "A 9645-2023")</f>
        <v/>
      </c>
      <c r="Z70">
        <f>HYPERLINK("https://klasma.github.io/Logging_0484/klagomålsmail/A 9645-2023 FSC-klagomål mail.docx", "A 9645-2023")</f>
        <v/>
      </c>
      <c r="AA70">
        <f>HYPERLINK("https://klasma.github.io/Logging_0484/tillsyn/A 9645-2023 tillsynsbegäran.docx", "A 9645-2023")</f>
        <v/>
      </c>
      <c r="AB70">
        <f>HYPERLINK("https://klasma.github.io/Logging_0484/tillsynsmail/A 9645-2023 tillsynsbegäran mail.docx", "A 9645-2023")</f>
        <v/>
      </c>
    </row>
    <row r="71" ht="15" customHeight="1">
      <c r="A71" t="inlineStr">
        <is>
          <t>A 68018-2021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46219</v>
      </c>
      <c r="F71" t="inlineStr">
        <is>
          <t>SÖDERMANLANDS LÄN</t>
        </is>
      </c>
      <c r="G71" t="inlineStr">
        <is>
          <t>ESKILSTUNA</t>
        </is>
      </c>
      <c r="I71" t="n">
        <v>0.8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Motaggsvamp</t>
        </is>
      </c>
      <c r="V71">
        <f>HYPERLINK("https://klasma.github.io/Logging_0484/artfynd/A 68018-2021 artfynd.xlsx", "A 68018-2021")</f>
        <v/>
      </c>
      <c r="W71">
        <f>HYPERLINK("https://klasma.github.io/Logging_0484/kartor/A 68018-2021 karta.png", "A 68018-2021")</f>
        <v/>
      </c>
      <c r="Y71">
        <f>HYPERLINK("https://klasma.github.io/Logging_0484/klagomål/A 68018-2021 FSC-klagomål.docx", "A 68018-2021")</f>
        <v/>
      </c>
      <c r="Z71">
        <f>HYPERLINK("https://klasma.github.io/Logging_0484/klagomålsmail/A 68018-2021 FSC-klagomål mail.docx", "A 68018-2021")</f>
        <v/>
      </c>
      <c r="AA71">
        <f>HYPERLINK("https://klasma.github.io/Logging_0484/tillsyn/A 68018-2021 tillsynsbegäran.docx", "A 68018-2021")</f>
        <v/>
      </c>
      <c r="AB71">
        <f>HYPERLINK("https://klasma.github.io/Logging_0484/tillsynsmail/A 68018-2021 tillsynsbegäran mail.docx", "A 68018-2021")</f>
        <v/>
      </c>
    </row>
    <row r="72" ht="15" customHeight="1">
      <c r="A72" t="inlineStr">
        <is>
          <t>A 51345-2024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46219</v>
      </c>
      <c r="F72" t="inlineStr">
        <is>
          <t>SÖDERMANLANDS LÄN</t>
        </is>
      </c>
      <c r="G72" t="inlineStr">
        <is>
          <t>ESKILSTUNA</t>
        </is>
      </c>
      <c r="I72" t="n">
        <v>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Revlummer</t>
        </is>
      </c>
      <c r="V72">
        <f>HYPERLINK("https://klasma.github.io/Logging_0484/artfynd/A 51345-2024 artfynd.xlsx", "A 51345-2024")</f>
        <v/>
      </c>
      <c r="W72">
        <f>HYPERLINK("https://klasma.github.io/Logging_0484/kartor/A 51345-2024 karta.png", "A 51345-2024")</f>
        <v/>
      </c>
      <c r="Y72">
        <f>HYPERLINK("https://klasma.github.io/Logging_0484/klagomål/A 51345-2024 FSC-klagomål.docx", "A 51345-2024")</f>
        <v/>
      </c>
      <c r="Z72">
        <f>HYPERLINK("https://klasma.github.io/Logging_0484/klagomålsmail/A 51345-2024 FSC-klagomål mail.docx", "A 51345-2024")</f>
        <v/>
      </c>
      <c r="AA72">
        <f>HYPERLINK("https://klasma.github.io/Logging_0484/tillsyn/A 51345-2024 tillsynsbegäran.docx", "A 51345-2024")</f>
        <v/>
      </c>
      <c r="AB72">
        <f>HYPERLINK("https://klasma.github.io/Logging_0484/tillsynsmail/A 51345-2024 tillsynsbegäran mail.docx", "A 51345-2024")</f>
        <v/>
      </c>
    </row>
    <row r="73" ht="15" customHeight="1">
      <c r="A73" t="inlineStr">
        <is>
          <t>A 29647-2023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46219</v>
      </c>
      <c r="F73" t="inlineStr">
        <is>
          <t>SÖDERMANLANDS LÄN</t>
        </is>
      </c>
      <c r="G73" t="inlineStr">
        <is>
          <t>ESKILSTUNA</t>
        </is>
      </c>
      <c r="H73" t="inlineStr">
        <is>
          <t>Allmännings- och besparingsskogar</t>
        </is>
      </c>
      <c r="I73" t="n">
        <v>0.9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Rödvingetrast</t>
        </is>
      </c>
      <c r="V73">
        <f>HYPERLINK("https://klasma.github.io/Logging_0484/artfynd/A 29647-2023 artfynd.xlsx", "A 29647-2023")</f>
        <v/>
      </c>
      <c r="W73">
        <f>HYPERLINK("https://klasma.github.io/Logging_0484/kartor/A 29647-2023 karta.png", "A 29647-2023")</f>
        <v/>
      </c>
      <c r="Y73">
        <f>HYPERLINK("https://klasma.github.io/Logging_0484/klagomål/A 29647-2023 FSC-klagomål.docx", "A 29647-2023")</f>
        <v/>
      </c>
      <c r="Z73">
        <f>HYPERLINK("https://klasma.github.io/Logging_0484/klagomålsmail/A 29647-2023 FSC-klagomål mail.docx", "A 29647-2023")</f>
        <v/>
      </c>
      <c r="AA73">
        <f>HYPERLINK("https://klasma.github.io/Logging_0484/tillsyn/A 29647-2023 tillsynsbegäran.docx", "A 29647-2023")</f>
        <v/>
      </c>
      <c r="AB73">
        <f>HYPERLINK("https://klasma.github.io/Logging_0484/tillsynsmail/A 29647-2023 tillsynsbegäran mail.docx", "A 29647-2023")</f>
        <v/>
      </c>
      <c r="AC73">
        <f>HYPERLINK("https://klasma.github.io/Logging_0484/fåglar/A 29647-2023 prioriterade fågelarter.docx", "A 29647-2023")</f>
        <v/>
      </c>
    </row>
    <row r="74" ht="15" customHeight="1">
      <c r="A74" t="inlineStr">
        <is>
          <t>A 30975-2023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46219</v>
      </c>
      <c r="F74" t="inlineStr">
        <is>
          <t>SÖDERMANLANDS LÄN</t>
        </is>
      </c>
      <c r="G74" t="inlineStr">
        <is>
          <t>ESKILSTUNA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Bombmurkla</t>
        </is>
      </c>
      <c r="V74">
        <f>HYPERLINK("https://klasma.github.io/Logging_0484/artfynd/A 30975-2023 artfynd.xlsx", "A 30975-2023")</f>
        <v/>
      </c>
      <c r="W74">
        <f>HYPERLINK("https://klasma.github.io/Logging_0484/kartor/A 30975-2023 karta.png", "A 30975-2023")</f>
        <v/>
      </c>
      <c r="Y74">
        <f>HYPERLINK("https://klasma.github.io/Logging_0484/klagomål/A 30975-2023 FSC-klagomål.docx", "A 30975-2023")</f>
        <v/>
      </c>
      <c r="Z74">
        <f>HYPERLINK("https://klasma.github.io/Logging_0484/klagomålsmail/A 30975-2023 FSC-klagomål mail.docx", "A 30975-2023")</f>
        <v/>
      </c>
      <c r="AA74">
        <f>HYPERLINK("https://klasma.github.io/Logging_0484/tillsyn/A 30975-2023 tillsynsbegäran.docx", "A 30975-2023")</f>
        <v/>
      </c>
      <c r="AB74">
        <f>HYPERLINK("https://klasma.github.io/Logging_0484/tillsynsmail/A 30975-2023 tillsynsbegäran mail.docx", "A 30975-2023")</f>
        <v/>
      </c>
    </row>
    <row r="75" ht="15" customHeight="1">
      <c r="A75" t="inlineStr">
        <is>
          <t>A 2512-2025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45674</v>
      </c>
      <c r="E75" s="1" t="n">
        <v>46219</v>
      </c>
      <c r="F75" t="inlineStr">
        <is>
          <t>SÖDERMANLANDS LÄN</t>
        </is>
      </c>
      <c r="G75" t="inlineStr">
        <is>
          <t>ESKILSTUNA</t>
        </is>
      </c>
      <c r="I75" t="n">
        <v>3.9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Svart trolldruva</t>
        </is>
      </c>
      <c r="V75">
        <f>HYPERLINK("https://klasma.github.io/Logging_0484/artfynd/A 2512-2025 artfynd.xlsx", "A 2512-2025")</f>
        <v/>
      </c>
      <c r="W75">
        <f>HYPERLINK("https://klasma.github.io/Logging_0484/kartor/A 2512-2025 karta.png", "A 2512-2025")</f>
        <v/>
      </c>
      <c r="Y75">
        <f>HYPERLINK("https://klasma.github.io/Logging_0484/klagomål/A 2512-2025 FSC-klagomål.docx", "A 2512-2025")</f>
        <v/>
      </c>
      <c r="Z75">
        <f>HYPERLINK("https://klasma.github.io/Logging_0484/klagomålsmail/A 2512-2025 FSC-klagomål mail.docx", "A 2512-2025")</f>
        <v/>
      </c>
      <c r="AA75">
        <f>HYPERLINK("https://klasma.github.io/Logging_0484/tillsyn/A 2512-2025 tillsynsbegäran.docx", "A 2512-2025")</f>
        <v/>
      </c>
      <c r="AB75">
        <f>HYPERLINK("https://klasma.github.io/Logging_0484/tillsynsmail/A 2512-2025 tillsynsbegäran mail.docx", "A 2512-2025")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46219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Igelkott</t>
        </is>
      </c>
      <c r="V76">
        <f>HYPERLINK("https://klasma.github.io/Logging_0484/artfynd/A 8518-2026 artfynd.xlsx", "A 8518-2026")</f>
        <v/>
      </c>
      <c r="W76">
        <f>HYPERLINK("https://klasma.github.io/Logging_0484/kartor/A 8518-2026 karta.png", "A 8518-2026")</f>
        <v/>
      </c>
      <c r="Y76">
        <f>HYPERLINK("https://klasma.github.io/Logging_0484/klagomål/A 8518-2026 FSC-klagomål.docx", "A 8518-2026")</f>
        <v/>
      </c>
      <c r="Z76">
        <f>HYPERLINK("https://klasma.github.io/Logging_0484/klagomålsmail/A 8518-2026 FSC-klagomål mail.docx", "A 8518-2026")</f>
        <v/>
      </c>
      <c r="AA76">
        <f>HYPERLINK("https://klasma.github.io/Logging_0484/tillsyn/A 8518-2026 tillsynsbegäran.docx", "A 8518-2026")</f>
        <v/>
      </c>
      <c r="AB76">
        <f>HYPERLINK("https://klasma.github.io/Logging_0484/tillsynsmail/A 8518-2026 tillsynsbegäran mail.docx", "A 8518-2026")</f>
        <v/>
      </c>
    </row>
    <row r="77" ht="15" customHeight="1">
      <c r="A77" t="inlineStr">
        <is>
          <t>A 50760-2023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46219</v>
      </c>
      <c r="F77" t="inlineStr">
        <is>
          <t>SÖDERMANLANDS LÄN</t>
        </is>
      </c>
      <c r="G77" t="inlineStr">
        <is>
          <t>ESKILSTUNA</t>
        </is>
      </c>
      <c r="I77" t="n">
        <v>4.1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Pärluggla</t>
        </is>
      </c>
      <c r="V77">
        <f>HYPERLINK("https://klasma.github.io/Logging_0484/artfynd/A 50760-2023 artfynd.xlsx", "A 50760-2023")</f>
        <v/>
      </c>
      <c r="W77">
        <f>HYPERLINK("https://klasma.github.io/Logging_0484/kartor/A 50760-2023 karta.png", "A 50760-2023")</f>
        <v/>
      </c>
      <c r="Y77">
        <f>HYPERLINK("https://klasma.github.io/Logging_0484/klagomål/A 50760-2023 FSC-klagomål.docx", "A 50760-2023")</f>
        <v/>
      </c>
      <c r="Z77">
        <f>HYPERLINK("https://klasma.github.io/Logging_0484/klagomålsmail/A 50760-2023 FSC-klagomål mail.docx", "A 50760-2023")</f>
        <v/>
      </c>
      <c r="AA77">
        <f>HYPERLINK("https://klasma.github.io/Logging_0484/tillsyn/A 50760-2023 tillsynsbegäran.docx", "A 50760-2023")</f>
        <v/>
      </c>
      <c r="AB77">
        <f>HYPERLINK("https://klasma.github.io/Logging_0484/tillsynsmail/A 50760-2023 tillsynsbegäran mail.docx", "A 50760-2023")</f>
        <v/>
      </c>
      <c r="AC77">
        <f>HYPERLINK("https://klasma.github.io/Logging_0484/fåglar/A 50760-2023 prioriterade fågelarter.docx", "A 50760-2023")</f>
        <v/>
      </c>
    </row>
    <row r="78" ht="15" customHeight="1">
      <c r="A78" t="inlineStr">
        <is>
          <t>A 55087-2022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46219</v>
      </c>
      <c r="F78" t="inlineStr">
        <is>
          <t>SÖDERMANLANDS LÄN</t>
        </is>
      </c>
      <c r="G78" t="inlineStr">
        <is>
          <t>ESKILSTUNA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Gulsparv</t>
        </is>
      </c>
      <c r="V78">
        <f>HYPERLINK("https://klasma.github.io/Logging_0484/artfynd/A 55087-2022 artfynd.xlsx", "A 55087-2022")</f>
        <v/>
      </c>
      <c r="W78">
        <f>HYPERLINK("https://klasma.github.io/Logging_0484/kartor/A 55087-2022 karta.png", "A 55087-2022")</f>
        <v/>
      </c>
      <c r="Y78">
        <f>HYPERLINK("https://klasma.github.io/Logging_0484/klagomål/A 55087-2022 FSC-klagomål.docx", "A 55087-2022")</f>
        <v/>
      </c>
      <c r="Z78">
        <f>HYPERLINK("https://klasma.github.io/Logging_0484/klagomålsmail/A 55087-2022 FSC-klagomål mail.docx", "A 55087-2022")</f>
        <v/>
      </c>
      <c r="AA78">
        <f>HYPERLINK("https://klasma.github.io/Logging_0484/tillsyn/A 55087-2022 tillsynsbegäran.docx", "A 55087-2022")</f>
        <v/>
      </c>
      <c r="AB78">
        <f>HYPERLINK("https://klasma.github.io/Logging_0484/tillsynsmail/A 55087-2022 tillsynsbegäran mail.docx", "A 55087-2022")</f>
        <v/>
      </c>
      <c r="AC78">
        <f>HYPERLINK("https://klasma.github.io/Logging_0484/fåglar/A 55087-2022 prioriterade fågelarter.docx", "A 55087-2022")</f>
        <v/>
      </c>
    </row>
    <row r="79" ht="15" customHeight="1">
      <c r="A79" t="inlineStr">
        <is>
          <t>A 71976-2021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46219</v>
      </c>
      <c r="F79" t="inlineStr">
        <is>
          <t>SÖDERMANLANDS LÄN</t>
        </is>
      </c>
      <c r="G79" t="inlineStr">
        <is>
          <t>ESKILSTUNA</t>
        </is>
      </c>
      <c r="I79" t="n">
        <v>19.6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Jungfrulin</t>
        </is>
      </c>
      <c r="V79">
        <f>HYPERLINK("https://klasma.github.io/Logging_0484/artfynd/A 71976-2021 artfynd.xlsx", "A 71976-2021")</f>
        <v/>
      </c>
      <c r="W79">
        <f>HYPERLINK("https://klasma.github.io/Logging_0484/kartor/A 71976-2021 karta.png", "A 71976-2021")</f>
        <v/>
      </c>
      <c r="Y79">
        <f>HYPERLINK("https://klasma.github.io/Logging_0484/klagomål/A 71976-2021 FSC-klagomål.docx", "A 71976-2021")</f>
        <v/>
      </c>
      <c r="Z79">
        <f>HYPERLINK("https://klasma.github.io/Logging_0484/klagomålsmail/A 71976-2021 FSC-klagomål mail.docx", "A 71976-2021")</f>
        <v/>
      </c>
      <c r="AA79">
        <f>HYPERLINK("https://klasma.github.io/Logging_0484/tillsyn/A 71976-2021 tillsynsbegäran.docx", "A 71976-2021")</f>
        <v/>
      </c>
      <c r="AB79">
        <f>HYPERLINK("https://klasma.github.io/Logging_0484/tillsynsmail/A 71976-2021 tillsynsbegäran mail.docx", "A 71976-2021")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46219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Igelkott</t>
        </is>
      </c>
      <c r="V80">
        <f>HYPERLINK("https://klasma.github.io/Logging_0484/artfynd/A 15608-2026 artfynd.xlsx", "A 15608-2026")</f>
        <v/>
      </c>
      <c r="W80">
        <f>HYPERLINK("https://klasma.github.io/Logging_0484/kartor/A 15608-2026 karta.png", "A 15608-2026")</f>
        <v/>
      </c>
      <c r="Y80">
        <f>HYPERLINK("https://klasma.github.io/Logging_0484/klagomål/A 15608-2026 FSC-klagomål.docx", "A 15608-2026")</f>
        <v/>
      </c>
      <c r="Z80">
        <f>HYPERLINK("https://klasma.github.io/Logging_0484/klagomålsmail/A 15608-2026 FSC-klagomål mail.docx", "A 15608-2026")</f>
        <v/>
      </c>
      <c r="AA80">
        <f>HYPERLINK("https://klasma.github.io/Logging_0484/tillsyn/A 15608-2026 tillsynsbegäran.docx", "A 15608-2026")</f>
        <v/>
      </c>
      <c r="AB80">
        <f>HYPERLINK("https://klasma.github.io/Logging_0484/tillsynsmail/A 15608-2026 tillsynsbegäran mail.docx", "A 15608-2026")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46219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HYPERLINK("https://klasma.github.io/Logging_0484/artfynd/A 67047-2021 artfynd.xlsx", "A 67047-2021")</f>
        <v/>
      </c>
      <c r="W81">
        <f>HYPERLINK("https://klasma.github.io/Logging_0484/kartor/A 67047-2021 karta.png", "A 67047-2021")</f>
        <v/>
      </c>
      <c r="Y81">
        <f>HYPERLINK("https://klasma.github.io/Logging_0484/klagomål/A 67047-2021 FSC-klagomål.docx", "A 67047-2021")</f>
        <v/>
      </c>
      <c r="Z81">
        <f>HYPERLINK("https://klasma.github.io/Logging_0484/klagomålsmail/A 67047-2021 FSC-klagomål mail.docx", "A 67047-2021")</f>
        <v/>
      </c>
      <c r="AA81">
        <f>HYPERLINK("https://klasma.github.io/Logging_0484/tillsyn/A 67047-2021 tillsynsbegäran.docx", "A 67047-2021")</f>
        <v/>
      </c>
      <c r="AB81">
        <f>HYPERLINK("https://klasma.github.io/Logging_0484/tillsynsmail/A 67047-2021 tillsynsbegäran mail.docx", "A 67047-2021")</f>
        <v/>
      </c>
    </row>
    <row r="82" ht="15" customHeight="1">
      <c r="A82" t="inlineStr">
        <is>
          <t>A 38361-2024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45545</v>
      </c>
      <c r="E82" s="1" t="n">
        <v>46219</v>
      </c>
      <c r="F82" t="inlineStr">
        <is>
          <t>SÖDERMANLANDS LÄN</t>
        </is>
      </c>
      <c r="G82" t="inlineStr">
        <is>
          <t>ESKILSTUNA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Spillkråka</t>
        </is>
      </c>
      <c r="V82">
        <f>HYPERLINK("https://klasma.github.io/Logging_0484/artfynd/A 38361-2024 artfynd.xlsx", "A 38361-2024")</f>
        <v/>
      </c>
      <c r="W82">
        <f>HYPERLINK("https://klasma.github.io/Logging_0484/kartor/A 38361-2024 karta.png", "A 38361-2024")</f>
        <v/>
      </c>
      <c r="Y82">
        <f>HYPERLINK("https://klasma.github.io/Logging_0484/klagomål/A 38361-2024 FSC-klagomål.docx", "A 38361-2024")</f>
        <v/>
      </c>
      <c r="Z82">
        <f>HYPERLINK("https://klasma.github.io/Logging_0484/klagomålsmail/A 38361-2024 FSC-klagomål mail.docx", "A 38361-2024")</f>
        <v/>
      </c>
      <c r="AA82">
        <f>HYPERLINK("https://klasma.github.io/Logging_0484/tillsyn/A 38361-2024 tillsynsbegäran.docx", "A 38361-2024")</f>
        <v/>
      </c>
      <c r="AB82">
        <f>HYPERLINK("https://klasma.github.io/Logging_0484/tillsynsmail/A 38361-2024 tillsynsbegäran mail.docx", "A 38361-2024")</f>
        <v/>
      </c>
      <c r="AC82">
        <f>HYPERLINK("https://klasma.github.io/Logging_0484/fåglar/A 38361-2024 prioriterade fågelarter.docx", "A 38361-2024")</f>
        <v/>
      </c>
    </row>
    <row r="83" ht="15" customHeight="1">
      <c r="A83" t="inlineStr">
        <is>
          <t>A 42012-2021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44426</v>
      </c>
      <c r="E83" s="1" t="n">
        <v>46219</v>
      </c>
      <c r="F83" t="inlineStr">
        <is>
          <t>SÖDERMANLANDS LÄN</t>
        </is>
      </c>
      <c r="G83" t="inlineStr">
        <is>
          <t>ESKILSTUNA</t>
        </is>
      </c>
      <c r="I83" t="n">
        <v>7.9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Grön sköldmossa</t>
        </is>
      </c>
      <c r="V83">
        <f>HYPERLINK("https://klasma.github.io/Logging_0484/artfynd/A 42012-2021 artfynd.xlsx", "A 42012-2021")</f>
        <v/>
      </c>
      <c r="W83">
        <f>HYPERLINK("https://klasma.github.io/Logging_0484/kartor/A 42012-2021 karta.png", "A 42012-2021")</f>
        <v/>
      </c>
      <c r="Y83">
        <f>HYPERLINK("https://klasma.github.io/Logging_0484/klagomål/A 42012-2021 FSC-klagomål.docx", "A 42012-2021")</f>
        <v/>
      </c>
      <c r="Z83">
        <f>HYPERLINK("https://klasma.github.io/Logging_0484/klagomålsmail/A 42012-2021 FSC-klagomål mail.docx", "A 42012-2021")</f>
        <v/>
      </c>
      <c r="AA83">
        <f>HYPERLINK("https://klasma.github.io/Logging_0484/tillsyn/A 42012-2021 tillsynsbegäran.docx", "A 42012-2021")</f>
        <v/>
      </c>
      <c r="AB83">
        <f>HYPERLINK("https://klasma.github.io/Logging_0484/tillsynsmail/A 42012-2021 tillsynsbegäran mail.docx", "A 42012-2021")</f>
        <v/>
      </c>
    </row>
    <row r="84" ht="15" customHeight="1">
      <c r="A84" t="inlineStr">
        <is>
          <t>A 48676-2021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46219</v>
      </c>
      <c r="F84" t="inlineStr">
        <is>
          <t>SÖDERMANLANDS LÄN</t>
        </is>
      </c>
      <c r="G84" t="inlineStr">
        <is>
          <t>ESKILSTUNA</t>
        </is>
      </c>
      <c r="I84" t="n">
        <v>8.4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Bronshjon</t>
        </is>
      </c>
      <c r="V84">
        <f>HYPERLINK("https://klasma.github.io/Logging_0484/artfynd/A 48676-2021 artfynd.xlsx", "A 48676-2021")</f>
        <v/>
      </c>
      <c r="W84">
        <f>HYPERLINK("https://klasma.github.io/Logging_0484/kartor/A 48676-2021 karta.png", "A 48676-2021")</f>
        <v/>
      </c>
      <c r="Y84">
        <f>HYPERLINK("https://klasma.github.io/Logging_0484/klagomål/A 48676-2021 FSC-klagomål.docx", "A 48676-2021")</f>
        <v/>
      </c>
      <c r="Z84">
        <f>HYPERLINK("https://klasma.github.io/Logging_0484/klagomålsmail/A 48676-2021 FSC-klagomål mail.docx", "A 48676-2021")</f>
        <v/>
      </c>
      <c r="AA84">
        <f>HYPERLINK("https://klasma.github.io/Logging_0484/tillsyn/A 48676-2021 tillsynsbegäran.docx", "A 48676-2021")</f>
        <v/>
      </c>
      <c r="AB84">
        <f>HYPERLINK("https://klasma.github.io/Logging_0484/tillsynsmail/A 48676-2021 tillsynsbegäran mail.docx", "A 48676-2021")</f>
        <v/>
      </c>
    </row>
    <row r="85" ht="15" customHeight="1">
      <c r="A85" t="inlineStr">
        <is>
          <t>A 31056-2025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46219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Skogsklocka</t>
        </is>
      </c>
      <c r="V85">
        <f>HYPERLINK("https://klasma.github.io/Logging_0484/artfynd/A 31056-2025 artfynd.xlsx", "A 31056-2025")</f>
        <v/>
      </c>
      <c r="W85">
        <f>HYPERLINK("https://klasma.github.io/Logging_0484/kartor/A 31056-2025 karta.png", "A 31056-2025")</f>
        <v/>
      </c>
      <c r="Y85">
        <f>HYPERLINK("https://klasma.github.io/Logging_0484/klagomål/A 31056-2025 FSC-klagomål.docx", "A 31056-2025")</f>
        <v/>
      </c>
      <c r="Z85">
        <f>HYPERLINK("https://klasma.github.io/Logging_0484/klagomålsmail/A 31056-2025 FSC-klagomål mail.docx", "A 31056-2025")</f>
        <v/>
      </c>
      <c r="AA85">
        <f>HYPERLINK("https://klasma.github.io/Logging_0484/tillsyn/A 31056-2025 tillsynsbegäran.docx", "A 31056-2025")</f>
        <v/>
      </c>
      <c r="AB85">
        <f>HYPERLINK("https://klasma.github.io/Logging_0484/tillsynsmail/A 31056-2025 tillsynsbegäran mail.docx", "A 31056-2025")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46219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Svinrot</t>
        </is>
      </c>
      <c r="V86">
        <f>HYPERLINK("https://klasma.github.io/Logging_0484/artfynd/A 26097-2026 artfynd.xlsx", "A 26097-2026")</f>
        <v/>
      </c>
      <c r="W86">
        <f>HYPERLINK("https://klasma.github.io/Logging_0484/kartor/A 26097-2026 karta.png", "A 26097-2026")</f>
        <v/>
      </c>
      <c r="Y86">
        <f>HYPERLINK("https://klasma.github.io/Logging_0484/klagomål/A 26097-2026 FSC-klagomål.docx", "A 26097-2026")</f>
        <v/>
      </c>
      <c r="Z86">
        <f>HYPERLINK("https://klasma.github.io/Logging_0484/klagomålsmail/A 26097-2026 FSC-klagomål mail.docx", "A 26097-2026")</f>
        <v/>
      </c>
      <c r="AA86">
        <f>HYPERLINK("https://klasma.github.io/Logging_0484/tillsyn/A 26097-2026 tillsynsbegäran.docx", "A 26097-2026")</f>
        <v/>
      </c>
      <c r="AB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46219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Spillkråka</t>
        </is>
      </c>
      <c r="V87">
        <f>HYPERLINK("https://klasma.github.io/Logging_0484/artfynd/A 26094-2026 artfynd.xlsx", "A 26094-2026")</f>
        <v/>
      </c>
      <c r="W87">
        <f>HYPERLINK("https://klasma.github.io/Logging_0484/kartor/A 26094-2026 karta.png", "A 26094-2026")</f>
        <v/>
      </c>
      <c r="Y87">
        <f>HYPERLINK("https://klasma.github.io/Logging_0484/klagomål/A 26094-2026 FSC-klagomål.docx", "A 26094-2026")</f>
        <v/>
      </c>
      <c r="Z87">
        <f>HYPERLINK("https://klasma.github.io/Logging_0484/klagomålsmail/A 26094-2026 FSC-klagomål mail.docx", "A 26094-2026")</f>
        <v/>
      </c>
      <c r="AA87">
        <f>HYPERLINK("https://klasma.github.io/Logging_0484/tillsyn/A 26094-2026 tillsynsbegäran.docx", "A 26094-2026")</f>
        <v/>
      </c>
      <c r="AB87">
        <f>HYPERLINK("https://klasma.github.io/Logging_0484/tillsynsmail/A 26094-2026 tillsynsbegäran mail.docx", "A 26094-2026")</f>
        <v/>
      </c>
      <c r="AC87">
        <f>HYPERLINK("https://klasma.github.io/Logging_0484/fåglar/A 26094-2026 prioriterade fågelarter.docx", "A 26094-2026")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46219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Violett fingersvamp</t>
        </is>
      </c>
      <c r="V88">
        <f>HYPERLINK("https://klasma.github.io/Logging_0484/artfynd/A 23637-2023 artfynd.xlsx", "A 23637-2023")</f>
        <v/>
      </c>
      <c r="W88">
        <f>HYPERLINK("https://klasma.github.io/Logging_0484/kartor/A 23637-2023 karta.png", "A 23637-2023")</f>
        <v/>
      </c>
      <c r="Y88">
        <f>HYPERLINK("https://klasma.github.io/Logging_0484/klagomål/A 23637-2023 FSC-klagomål.docx", "A 23637-2023")</f>
        <v/>
      </c>
      <c r="Z88">
        <f>HYPERLINK("https://klasma.github.io/Logging_0484/klagomålsmail/A 23637-2023 FSC-klagomål mail.docx", "A 23637-2023")</f>
        <v/>
      </c>
      <c r="AA88">
        <f>HYPERLINK("https://klasma.github.io/Logging_0484/tillsyn/A 23637-2023 tillsynsbegäran.docx", "A 23637-2023")</f>
        <v/>
      </c>
      <c r="AB88">
        <f>HYPERLINK("https://klasma.github.io/Logging_0484/tillsynsmail/A 23637-2023 tillsynsbegäran mail.docx", "A 23637-2023")</f>
        <v/>
      </c>
    </row>
    <row r="89" ht="15" customHeight="1">
      <c r="A89" t="inlineStr">
        <is>
          <t>A 26008-2026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46219</v>
      </c>
      <c r="F89" t="inlineStr">
        <is>
          <t>SÖDERMANLANDS LÄN</t>
        </is>
      </c>
      <c r="G89" t="inlineStr">
        <is>
          <t>ESKILSTUNA</t>
        </is>
      </c>
      <c r="I89" t="n">
        <v>2.8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8</v>
      </c>
      <c r="U89" s="2" t="inlineStr">
        <is>
          <t>Svart trolldruva</t>
        </is>
      </c>
      <c r="V89">
        <f>HYPERLINK("https://klasma.github.io/Logging_0484/artfynd/A 26008-2026 artfynd.xlsx", "A 26008-2026")</f>
        <v/>
      </c>
      <c r="W89">
        <f>HYPERLINK("https://klasma.github.io/Logging_0484/kartor/A 26008-2026 karta.png", "A 26008-2026")</f>
        <v/>
      </c>
      <c r="Y89">
        <f>HYPERLINK("https://klasma.github.io/Logging_0484/klagomål/A 26008-2026 FSC-klagomål.docx", "A 26008-2026")</f>
        <v/>
      </c>
      <c r="Z89">
        <f>HYPERLINK("https://klasma.github.io/Logging_0484/klagomålsmail/A 26008-2026 FSC-klagomål mail.docx", "A 26008-2026")</f>
        <v/>
      </c>
      <c r="AA89">
        <f>HYPERLINK("https://klasma.github.io/Logging_0484/tillsyn/A 26008-2026 tillsynsbegäran.docx", "A 26008-2026")</f>
        <v/>
      </c>
      <c r="AB89">
        <f>HYPERLINK("https://klasma.github.io/Logging_0484/tillsynsmail/A 26008-2026 tillsynsbegäran mail.docx", "A 26008-2026")</f>
        <v/>
      </c>
    </row>
    <row r="90" ht="15" customHeight="1">
      <c r="A90" t="inlineStr">
        <is>
          <t>A 36216-2025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45867</v>
      </c>
      <c r="E90" s="1" t="n">
        <v>46219</v>
      </c>
      <c r="F90" t="inlineStr">
        <is>
          <t>SÖDERMANLANDS LÄN</t>
        </is>
      </c>
      <c r="G90" t="inlineStr">
        <is>
          <t>ESKILSTUNA</t>
        </is>
      </c>
      <c r="I90" t="n">
        <v>18.7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Blomkålssvamp</t>
        </is>
      </c>
      <c r="V90">
        <f>HYPERLINK("https://klasma.github.io/Logging_0484/artfynd/A 36216-2025 artfynd.xlsx", "A 36216-2025")</f>
        <v/>
      </c>
      <c r="W90">
        <f>HYPERLINK("https://klasma.github.io/Logging_0484/kartor/A 36216-2025 karta.png", "A 36216-2025")</f>
        <v/>
      </c>
      <c r="Y90">
        <f>HYPERLINK("https://klasma.github.io/Logging_0484/klagomål/A 36216-2025 FSC-klagomål.docx", "A 36216-2025")</f>
        <v/>
      </c>
      <c r="Z90">
        <f>HYPERLINK("https://klasma.github.io/Logging_0484/klagomålsmail/A 36216-2025 FSC-klagomål mail.docx", "A 36216-2025")</f>
        <v/>
      </c>
      <c r="AA90">
        <f>HYPERLINK("https://klasma.github.io/Logging_0484/tillsyn/A 36216-2025 tillsynsbegäran.docx", "A 36216-2025")</f>
        <v/>
      </c>
      <c r="AB90">
        <f>HYPERLINK("https://klasma.github.io/Logging_0484/tillsynsmail/A 36216-2025 tillsynsbegäran mail.docx", "A 36216-2025")</f>
        <v/>
      </c>
    </row>
    <row r="91" ht="15" customHeight="1">
      <c r="A91" t="inlineStr">
        <is>
          <t>A 27892-2026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46219</v>
      </c>
      <c r="F91" t="inlineStr">
        <is>
          <t>SÖDERMANLANDS LÄN</t>
        </is>
      </c>
      <c r="G91" t="inlineStr">
        <is>
          <t>ESKILSTUNA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s="2" t="inlineStr">
        <is>
          <t>Nattviol</t>
        </is>
      </c>
      <c r="V91">
        <f>HYPERLINK("https://klasma.github.io/Logging_0484/artfynd/A 27892-2026 artfynd.xlsx", "A 27892-2026")</f>
        <v/>
      </c>
      <c r="W91">
        <f>HYPERLINK("https://klasma.github.io/Logging_0484/kartor/A 27892-2026 karta.png", "A 27892-2026")</f>
        <v/>
      </c>
      <c r="Y91">
        <f>HYPERLINK("https://klasma.github.io/Logging_0484/klagomål/A 27892-2026 FSC-klagomål.docx", "A 27892-2026")</f>
        <v/>
      </c>
      <c r="Z91">
        <f>HYPERLINK("https://klasma.github.io/Logging_0484/klagomålsmail/A 27892-2026 FSC-klagomål mail.docx", "A 27892-2026")</f>
        <v/>
      </c>
      <c r="AA91">
        <f>HYPERLINK("https://klasma.github.io/Logging_0484/tillsyn/A 27892-2026 tillsynsbegäran.docx", "A 27892-2026")</f>
        <v/>
      </c>
      <c r="AB91">
        <f>HYPERLINK("https://klasma.github.io/Logging_0484/tillsynsmail/A 27892-2026 tillsynsbegäran mail.docx", "A 27892-2026")</f>
        <v/>
      </c>
    </row>
    <row r="92" ht="15" customHeight="1">
      <c r="A92" t="inlineStr">
        <is>
          <t>A 29047-2026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46199</v>
      </c>
      <c r="E92" s="1" t="n">
        <v>46219</v>
      </c>
      <c r="F92" t="inlineStr">
        <is>
          <t>SÖDERMANLANDS LÄN</t>
        </is>
      </c>
      <c r="G92" t="inlineStr">
        <is>
          <t>ESKILSTUNA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Kandelabersvamp</t>
        </is>
      </c>
      <c r="V92">
        <f>HYPERLINK("https://klasma.github.io/Logging_0484/artfynd/A 29047-2026 artfynd.xlsx", "A 29047-2026")</f>
        <v/>
      </c>
      <c r="W92">
        <f>HYPERLINK("https://klasma.github.io/Logging_0484/kartor/A 29047-2026 karta.png", "A 29047-2026")</f>
        <v/>
      </c>
      <c r="Y92">
        <f>HYPERLINK("https://klasma.github.io/Logging_0484/klagomål/A 29047-2026 FSC-klagomål.docx", "A 29047-2026")</f>
        <v/>
      </c>
      <c r="Z92">
        <f>HYPERLINK("https://klasma.github.io/Logging_0484/klagomålsmail/A 29047-2026 FSC-klagomål mail.docx", "A 29047-2026")</f>
        <v/>
      </c>
      <c r="AA92">
        <f>HYPERLINK("https://klasma.github.io/Logging_0484/tillsyn/A 29047-2026 tillsynsbegäran.docx", "A 29047-2026")</f>
        <v/>
      </c>
      <c r="AB92">
        <f>HYPERLINK("https://klasma.github.io/Logging_0484/tillsynsmail/A 29047-2026 tillsynsbegäran mail.docx", "A 29047-2026")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46219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46219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46219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46219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46219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46219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46219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46219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46219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46219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46219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46219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46219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46219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46219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46219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46219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46219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46219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46219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46219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46219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46219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46219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46219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17841-2022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46219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Allmännings- och besparingsskogar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46219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46219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46219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46219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46219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46219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46219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46219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46219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46219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46219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46219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46219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71980-2021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46219</v>
      </c>
      <c r="F132" t="inlineStr">
        <is>
          <t>SÖDERMANLANDS LÄN</t>
        </is>
      </c>
      <c r="G132" t="inlineStr">
        <is>
          <t>ESKILSTUNA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46219</v>
      </c>
      <c r="F133" t="inlineStr">
        <is>
          <t>SÖDERMANLANDS LÄN</t>
        </is>
      </c>
      <c r="G133" t="inlineStr">
        <is>
          <t>ESKILSTUNA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46219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46219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46219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46219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46219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46219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46219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46219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46219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46219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46219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46219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46219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46219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46219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46219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46219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46219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44592</v>
      </c>
      <c r="E152" s="1" t="n">
        <v>46219</v>
      </c>
      <c r="F152" t="inlineStr">
        <is>
          <t>SÖDERMANLANDS LÄN</t>
        </is>
      </c>
      <c r="G152" t="inlineStr">
        <is>
          <t>ESKILSTUNA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20984-2023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46219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9646-2022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46219</v>
      </c>
      <c r="F154" t="inlineStr">
        <is>
          <t>SÖDERMANLANDS LÄN</t>
        </is>
      </c>
      <c r="G154" t="inlineStr">
        <is>
          <t>ESKILSTUNA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12547-2022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44638</v>
      </c>
      <c r="E155" s="1" t="n">
        <v>46219</v>
      </c>
      <c r="F155" t="inlineStr">
        <is>
          <t>SÖDERMANLANDS LÄN</t>
        </is>
      </c>
      <c r="G155" t="inlineStr">
        <is>
          <t>ESKILSTUNA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46219</v>
      </c>
      <c r="F156" t="inlineStr">
        <is>
          <t>SÖDERMANLANDS LÄN</t>
        </is>
      </c>
      <c r="G156" t="inlineStr">
        <is>
          <t>ESKILSTUNA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32588-2022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46219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12072-2022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46219</v>
      </c>
      <c r="F158" t="inlineStr">
        <is>
          <t>SÖDERMANLANDS LÄN</t>
        </is>
      </c>
      <c r="G158" t="inlineStr">
        <is>
          <t>ESKILSTUNA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32484-2022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44782</v>
      </c>
      <c r="E159" s="1" t="n">
        <v>46219</v>
      </c>
      <c r="F159" t="inlineStr">
        <is>
          <t>SÖDERMANLANDS LÄN</t>
        </is>
      </c>
      <c r="G159" t="inlineStr">
        <is>
          <t>ESKILSTUNA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14470-2022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44654</v>
      </c>
      <c r="E160" s="1" t="n">
        <v>46219</v>
      </c>
      <c r="F160" t="inlineStr">
        <is>
          <t>SÖDERMANLANDS LÄN</t>
        </is>
      </c>
      <c r="G160" t="inlineStr">
        <is>
          <t>ESKILSTUNA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35076-2022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44797</v>
      </c>
      <c r="E161" s="1" t="n">
        <v>46219</v>
      </c>
      <c r="F161" t="inlineStr">
        <is>
          <t>SÖDERMANLANDS LÄN</t>
        </is>
      </c>
      <c r="G161" t="inlineStr">
        <is>
          <t>ESKILSTUNA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50269-2022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44865</v>
      </c>
      <c r="E162" s="1" t="n">
        <v>46219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70191-2021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44533</v>
      </c>
      <c r="E163" s="1" t="n">
        <v>46219</v>
      </c>
      <c r="F163" t="inlineStr">
        <is>
          <t>SÖDERMANLANDS LÄN</t>
        </is>
      </c>
      <c r="G163" t="inlineStr">
        <is>
          <t>ESKILSTUNA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44748</v>
      </c>
      <c r="E164" s="1" t="n">
        <v>46219</v>
      </c>
      <c r="F164" t="inlineStr">
        <is>
          <t>SÖDERMANLANDS LÄN</t>
        </is>
      </c>
      <c r="G164" t="inlineStr">
        <is>
          <t>ESKILSTUNA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46219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Kyrkan</t>
        </is>
      </c>
      <c r="I165" t="n">
        <v>12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47988-2021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44449</v>
      </c>
      <c r="E166" s="1" t="n">
        <v>46219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Holmen skog AB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17727-2023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46219</v>
      </c>
      <c r="F167" t="inlineStr">
        <is>
          <t>SÖDERMANLANDS LÄN</t>
        </is>
      </c>
      <c r="G167" t="inlineStr">
        <is>
          <t>ESKILSTUNA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44347-2021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46219</v>
      </c>
      <c r="F168" t="inlineStr">
        <is>
          <t>SÖDERMANLANDS LÄN</t>
        </is>
      </c>
      <c r="G168" t="inlineStr">
        <is>
          <t>ESKILSTUNA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43396-2021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44432</v>
      </c>
      <c r="E169" s="1" t="n">
        <v>46219</v>
      </c>
      <c r="F169" t="inlineStr">
        <is>
          <t>SÖDERMANLANDS LÄN</t>
        </is>
      </c>
      <c r="G169" t="inlineStr">
        <is>
          <t>ESKILSTUNA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59275-2021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46219</v>
      </c>
      <c r="F170" t="inlineStr">
        <is>
          <t>SÖDERMANLANDS LÄN</t>
        </is>
      </c>
      <c r="G170" t="inlineStr">
        <is>
          <t>ESKILSTUNA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9521-2022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46219</v>
      </c>
      <c r="F171" t="inlineStr">
        <is>
          <t>SÖDERMANLANDS LÄN</t>
        </is>
      </c>
      <c r="G171" t="inlineStr">
        <is>
          <t>ESKILSTUNA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48877-2023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46219</v>
      </c>
      <c r="F172" t="inlineStr">
        <is>
          <t>SÖDERMANLANDS LÄN</t>
        </is>
      </c>
      <c r="G172" t="inlineStr">
        <is>
          <t>ESKILSTUNA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10010-2024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45363</v>
      </c>
      <c r="E173" s="1" t="n">
        <v>46219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15247-2022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44658</v>
      </c>
      <c r="E174" s="1" t="n">
        <v>46219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46219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Allmännings- och besparingsskogar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44928</v>
      </c>
      <c r="E176" s="1" t="n">
        <v>46219</v>
      </c>
      <c r="F176" t="inlineStr">
        <is>
          <t>SÖDERMANLANDS LÄN</t>
        </is>
      </c>
      <c r="G176" t="inlineStr">
        <is>
          <t>ESKILSTUNA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61829-2023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45266</v>
      </c>
      <c r="E177" s="1" t="n">
        <v>46219</v>
      </c>
      <c r="F177" t="inlineStr">
        <is>
          <t>SÖDERMANLANDS LÄN</t>
        </is>
      </c>
      <c r="G177" t="inlineStr">
        <is>
          <t>ESKILSTUNA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42016-2021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44426</v>
      </c>
      <c r="E178" s="1" t="n">
        <v>46219</v>
      </c>
      <c r="F178" t="inlineStr">
        <is>
          <t>SÖDERMANLANDS LÄN</t>
        </is>
      </c>
      <c r="G178" t="inlineStr">
        <is>
          <t>ESKILSTUNA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46219</v>
      </c>
      <c r="F179" t="inlineStr">
        <is>
          <t>SÖDERMANLANDS LÄN</t>
        </is>
      </c>
      <c r="G179" t="inlineStr">
        <is>
          <t>ESKILSTUNA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64147-2021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44510</v>
      </c>
      <c r="E180" s="1" t="n">
        <v>46219</v>
      </c>
      <c r="F180" t="inlineStr">
        <is>
          <t>SÖDERMANLANDS LÄN</t>
        </is>
      </c>
      <c r="G180" t="inlineStr">
        <is>
          <t>ESKILSTUNA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36643-2022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46219</v>
      </c>
      <c r="F181" t="inlineStr">
        <is>
          <t>SÖDERMANLANDS LÄN</t>
        </is>
      </c>
      <c r="G181" t="inlineStr">
        <is>
          <t>ESKILSTUNA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13613-2022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44643</v>
      </c>
      <c r="E182" s="1" t="n">
        <v>46219</v>
      </c>
      <c r="F182" t="inlineStr">
        <is>
          <t>SÖDERMANLANDS LÄN</t>
        </is>
      </c>
      <c r="G182" t="inlineStr">
        <is>
          <t>ESKILSTUNA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26535-2022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46219</v>
      </c>
      <c r="F183" t="inlineStr">
        <is>
          <t>SÖDERMANLANDS LÄN</t>
        </is>
      </c>
      <c r="G183" t="inlineStr">
        <is>
          <t>ESKILSTUNA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26910-2023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46219</v>
      </c>
      <c r="F184" t="inlineStr">
        <is>
          <t>SÖDERMANLANDS LÄN</t>
        </is>
      </c>
      <c r="G184" t="inlineStr">
        <is>
          <t>ESKILSTUNA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45334</v>
      </c>
      <c r="E185" s="1" t="n">
        <v>46219</v>
      </c>
      <c r="F185" t="inlineStr">
        <is>
          <t>SÖDERMANLANDS LÄN</t>
        </is>
      </c>
      <c r="G185" t="inlineStr">
        <is>
          <t>ESKILSTUNA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46219</v>
      </c>
      <c r="F186" t="inlineStr">
        <is>
          <t>SÖDERMANLANDS LÄN</t>
        </is>
      </c>
      <c r="G186" t="inlineStr">
        <is>
          <t>ESKILSTUNA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20180-2022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44698</v>
      </c>
      <c r="E187" s="1" t="n">
        <v>46219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Kyrkan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12300-2023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44998</v>
      </c>
      <c r="E188" s="1" t="n">
        <v>46219</v>
      </c>
      <c r="F188" t="inlineStr">
        <is>
          <t>SÖDERMANLANDS LÄN</t>
        </is>
      </c>
      <c r="G188" t="inlineStr">
        <is>
          <t>ESKILSTUNA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45303</v>
      </c>
      <c r="E189" s="1" t="n">
        <v>46219</v>
      </c>
      <c r="F189" t="inlineStr">
        <is>
          <t>SÖDERMANLANDS LÄN</t>
        </is>
      </c>
      <c r="G189" t="inlineStr">
        <is>
          <t>ESKILSTUNA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44946</v>
      </c>
      <c r="E190" s="1" t="n">
        <v>46219</v>
      </c>
      <c r="F190" t="inlineStr">
        <is>
          <t>SÖDERMANLANDS LÄN</t>
        </is>
      </c>
      <c r="G190" t="inlineStr">
        <is>
          <t>ESKILSTUNA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46219</v>
      </c>
      <c r="F191" t="inlineStr">
        <is>
          <t>SÖDERMANLANDS LÄN</t>
        </is>
      </c>
      <c r="G191" t="inlineStr">
        <is>
          <t>ESKILSTUNA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26532-2022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46219</v>
      </c>
      <c r="F192" t="inlineStr">
        <is>
          <t>SÖDERMANLANDS LÄN</t>
        </is>
      </c>
      <c r="G192" t="inlineStr">
        <is>
          <t>ESKILSTUNA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40574-2023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46219</v>
      </c>
      <c r="F193" t="inlineStr">
        <is>
          <t>SÖDERMANLANDS LÄN</t>
        </is>
      </c>
      <c r="G193" t="inlineStr">
        <is>
          <t>ESKILSTUNA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1343-2024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46219</v>
      </c>
      <c r="F194" t="inlineStr">
        <is>
          <t>SÖDERMANLANDS LÄN</t>
        </is>
      </c>
      <c r="G194" t="inlineStr">
        <is>
          <t>ESKILSTUNA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28011-2022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46219</v>
      </c>
      <c r="F195" t="inlineStr">
        <is>
          <t>SÖDERMANLANDS LÄN</t>
        </is>
      </c>
      <c r="G195" t="inlineStr">
        <is>
          <t>ESKILSTUNA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59276-2021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44490</v>
      </c>
      <c r="E196" s="1" t="n">
        <v>46219</v>
      </c>
      <c r="F196" t="inlineStr">
        <is>
          <t>SÖDERMANLANDS LÄN</t>
        </is>
      </c>
      <c r="G196" t="inlineStr">
        <is>
          <t>ESKILSTUNA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36648-2022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44804</v>
      </c>
      <c r="E197" s="1" t="n">
        <v>46219</v>
      </c>
      <c r="F197" t="inlineStr">
        <is>
          <t>SÖDERMANLANDS LÄN</t>
        </is>
      </c>
      <c r="G197" t="inlineStr">
        <is>
          <t>ESKILSTUNA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10272-2024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46219</v>
      </c>
      <c r="F198" t="inlineStr">
        <is>
          <t>SÖDERMANLANDS LÄN</t>
        </is>
      </c>
      <c r="G198" t="inlineStr">
        <is>
          <t>ESKILSTUNA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13632-2023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46219</v>
      </c>
      <c r="F199" t="inlineStr">
        <is>
          <t>SÖDERMANLANDS LÄN</t>
        </is>
      </c>
      <c r="G199" t="inlineStr">
        <is>
          <t>ESKILSTUNA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45307</v>
      </c>
      <c r="E200" s="1" t="n">
        <v>46219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39543-2023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46219</v>
      </c>
      <c r="F201" t="inlineStr">
        <is>
          <t>SÖDERMANLANDS LÄN</t>
        </is>
      </c>
      <c r="G201" t="inlineStr">
        <is>
          <t>ESKILSTUNA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10271-2024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45365</v>
      </c>
      <c r="E202" s="1" t="n">
        <v>46219</v>
      </c>
      <c r="F202" t="inlineStr">
        <is>
          <t>SÖDERMANLANDS LÄN</t>
        </is>
      </c>
      <c r="G202" t="inlineStr">
        <is>
          <t>ESKILSTUNA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44946</v>
      </c>
      <c r="E203" s="1" t="n">
        <v>46219</v>
      </c>
      <c r="F203" t="inlineStr">
        <is>
          <t>SÖDERMANLANDS LÄN</t>
        </is>
      </c>
      <c r="G203" t="inlineStr">
        <is>
          <t>ESKILSTUNA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19502-2024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46219</v>
      </c>
      <c r="F204" t="inlineStr">
        <is>
          <t>SÖDERMANLANDS LÄN</t>
        </is>
      </c>
      <c r="G204" t="inlineStr">
        <is>
          <t>ESKILSTUNA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46881-2022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44851</v>
      </c>
      <c r="E205" s="1" t="n">
        <v>46219</v>
      </c>
      <c r="F205" t="inlineStr">
        <is>
          <t>SÖDERMANLANDS LÄN</t>
        </is>
      </c>
      <c r="G205" t="inlineStr">
        <is>
          <t>ESKILSTUNA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48362-2022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44858</v>
      </c>
      <c r="E206" s="1" t="n">
        <v>46219</v>
      </c>
      <c r="F206" t="inlineStr">
        <is>
          <t>SÖDERMANLANDS LÄN</t>
        </is>
      </c>
      <c r="G206" t="inlineStr">
        <is>
          <t>ESKILSTUNA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9598-2023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44983</v>
      </c>
      <c r="E207" s="1" t="n">
        <v>46219</v>
      </c>
      <c r="F207" t="inlineStr">
        <is>
          <t>SÖDERMANLANDS LÄN</t>
        </is>
      </c>
      <c r="G207" t="inlineStr">
        <is>
          <t>ESKILSTUNA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61866-2022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46219</v>
      </c>
      <c r="F208" t="inlineStr">
        <is>
          <t>SÖDERMANLANDS LÄN</t>
        </is>
      </c>
      <c r="G208" t="inlineStr">
        <is>
          <t>ESKILSTUNA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18192-2023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45041</v>
      </c>
      <c r="E209" s="1" t="n">
        <v>46219</v>
      </c>
      <c r="F209" t="inlineStr">
        <is>
          <t>SÖDERMANLANDS LÄN</t>
        </is>
      </c>
      <c r="G209" t="inlineStr">
        <is>
          <t>ESKILSTUNA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31983-2023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46219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Sveaskog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57304-2023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45245</v>
      </c>
      <c r="E211" s="1" t="n">
        <v>46219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25668-2022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44732</v>
      </c>
      <c r="E212" s="1" t="n">
        <v>46219</v>
      </c>
      <c r="F212" t="inlineStr">
        <is>
          <t>SÖDERMANLANDS LÄN</t>
        </is>
      </c>
      <c r="G212" t="inlineStr">
        <is>
          <t>ESKILSTUNA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31002-2023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46219</v>
      </c>
      <c r="F213" t="inlineStr">
        <is>
          <t>SÖDERMANLANDS LÄN</t>
        </is>
      </c>
      <c r="G213" t="inlineStr">
        <is>
          <t>ESKILSTUNA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53406-2023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46219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Allmännings- och besparingsskogar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35698-2022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46219</v>
      </c>
      <c r="F215" t="inlineStr">
        <is>
          <t>SÖDERMANLANDS LÄN</t>
        </is>
      </c>
      <c r="G215" t="inlineStr">
        <is>
          <t>ESKILSTUNA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13295-2023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45005</v>
      </c>
      <c r="E216" s="1" t="n">
        <v>46219</v>
      </c>
      <c r="F216" t="inlineStr">
        <is>
          <t>SÖDERMANLANDS LÄN</t>
        </is>
      </c>
      <c r="G216" t="inlineStr">
        <is>
          <t>ESKILSTUNA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47000-2022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44852</v>
      </c>
      <c r="E217" s="1" t="n">
        <v>46219</v>
      </c>
      <c r="F217" t="inlineStr">
        <is>
          <t>SÖDERMANLANDS LÄN</t>
        </is>
      </c>
      <c r="G217" t="inlineStr">
        <is>
          <t>ESKILSTUNA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46219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Allmännings- och besparingsskogar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10715-2022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44626</v>
      </c>
      <c r="E219" s="1" t="n">
        <v>46219</v>
      </c>
      <c r="F219" t="inlineStr">
        <is>
          <t>SÖDERMANLANDS LÄN</t>
        </is>
      </c>
      <c r="G219" t="inlineStr">
        <is>
          <t>ESKILSTUNA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61367-2021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44499</v>
      </c>
      <c r="E220" s="1" t="n">
        <v>46219</v>
      </c>
      <c r="F220" t="inlineStr">
        <is>
          <t>SÖDERMANLANDS LÄN</t>
        </is>
      </c>
      <c r="G220" t="inlineStr">
        <is>
          <t>ESKILSTUNA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49469-2022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44861</v>
      </c>
      <c r="E221" s="1" t="n">
        <v>46219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13426-2024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45387</v>
      </c>
      <c r="E222" s="1" t="n">
        <v>46219</v>
      </c>
      <c r="F222" t="inlineStr">
        <is>
          <t>SÖDERMANLANDS LÄN</t>
        </is>
      </c>
      <c r="G222" t="inlineStr">
        <is>
          <t>ESKILSTUNA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10019-2024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46219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Allmännings- och besparingsskogar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58991-2022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44903</v>
      </c>
      <c r="E224" s="1" t="n">
        <v>46219</v>
      </c>
      <c r="F224" t="inlineStr">
        <is>
          <t>SÖDERMANLANDS LÄN</t>
        </is>
      </c>
      <c r="G224" t="inlineStr">
        <is>
          <t>ESKILSTUNA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61989-2023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46219</v>
      </c>
      <c r="F225" t="inlineStr">
        <is>
          <t>SÖDERMANLANDS LÄN</t>
        </is>
      </c>
      <c r="G225" t="inlineStr">
        <is>
          <t>ESKILSTUNA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25731-2024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45464</v>
      </c>
      <c r="E226" s="1" t="n">
        <v>46219</v>
      </c>
      <c r="F226" t="inlineStr">
        <is>
          <t>SÖDERMANLANDS LÄN</t>
        </is>
      </c>
      <c r="G226" t="inlineStr">
        <is>
          <t>ESKILSTUNA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27255-2022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44741</v>
      </c>
      <c r="E227" s="1" t="n">
        <v>46219</v>
      </c>
      <c r="F227" t="inlineStr">
        <is>
          <t>SÖDERMANLANDS LÄN</t>
        </is>
      </c>
      <c r="G227" t="inlineStr">
        <is>
          <t>ESKILSTUNA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46219</v>
      </c>
      <c r="F228" t="inlineStr">
        <is>
          <t>SÖDERMANLANDS LÄN</t>
        </is>
      </c>
      <c r="G228" t="inlineStr">
        <is>
          <t>ESKILSTUNA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61367-2021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44499</v>
      </c>
      <c r="E229" s="1" t="n">
        <v>46219</v>
      </c>
      <c r="F229" t="inlineStr">
        <is>
          <t>SÖDERMANLANDS LÄN</t>
        </is>
      </c>
      <c r="G229" t="inlineStr">
        <is>
          <t>ESKILSTUNA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65595-2021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44516</v>
      </c>
      <c r="E230" s="1" t="n">
        <v>46219</v>
      </c>
      <c r="F230" t="inlineStr">
        <is>
          <t>SÖDERMANLANDS LÄN</t>
        </is>
      </c>
      <c r="G230" t="inlineStr">
        <is>
          <t>ESKILSTUNA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39460-2025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46219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Kyrkan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39461-2025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46219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25730-2024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45464</v>
      </c>
      <c r="E233" s="1" t="n">
        <v>46219</v>
      </c>
      <c r="F233" t="inlineStr">
        <is>
          <t>SÖDERMANLANDS LÄN</t>
        </is>
      </c>
      <c r="G233" t="inlineStr">
        <is>
          <t>ESKILSTUNA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43064-2023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46219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Allmännings- och besparingsskogar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45670</v>
      </c>
      <c r="E235" s="1" t="n">
        <v>46219</v>
      </c>
      <c r="F235" t="inlineStr">
        <is>
          <t>SÖDERMANLANDS LÄN</t>
        </is>
      </c>
      <c r="G235" t="inlineStr">
        <is>
          <t>ESKILSTUNA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38895-2023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45163</v>
      </c>
      <c r="E236" s="1" t="n">
        <v>46219</v>
      </c>
      <c r="F236" t="inlineStr">
        <is>
          <t>SÖDERMANLANDS LÄN</t>
        </is>
      </c>
      <c r="G236" t="inlineStr">
        <is>
          <t>ESKILSTUNA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33255-2024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45518</v>
      </c>
      <c r="E237" s="1" t="n">
        <v>46219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Övriga Aktiebolag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8273-2025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46219</v>
      </c>
      <c r="F238" t="inlineStr">
        <is>
          <t>SÖDERMANLANDS LÄN</t>
        </is>
      </c>
      <c r="G238" t="inlineStr">
        <is>
          <t>ESKILSTUNA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54216-2022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44881</v>
      </c>
      <c r="E239" s="1" t="n">
        <v>46219</v>
      </c>
      <c r="F239" t="inlineStr">
        <is>
          <t>SÖDERMANLANDS LÄN</t>
        </is>
      </c>
      <c r="G239" t="inlineStr">
        <is>
          <t>ESKILSTUNA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8920-2025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46219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Allmännings- och besparingsskogar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46219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Kyrkan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41183-2025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46219</v>
      </c>
      <c r="F242" t="inlineStr">
        <is>
          <t>SÖDERMANLANDS LÄN</t>
        </is>
      </c>
      <c r="G242" t="inlineStr">
        <is>
          <t>ESKILSTUNA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42801-2022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44832</v>
      </c>
      <c r="E243" s="1" t="n">
        <v>46219</v>
      </c>
      <c r="F243" t="inlineStr">
        <is>
          <t>SÖDERMANLANDS LÄN</t>
        </is>
      </c>
      <c r="G243" t="inlineStr">
        <is>
          <t>ESKILSTUNA</t>
        </is>
      </c>
      <c r="I243" t="n">
        <v>19.9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40773-2025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46219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Kyrkan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46219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Kyrkan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55741-2022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46219</v>
      </c>
      <c r="F246" t="inlineStr">
        <is>
          <t>SÖDERMANLANDS LÄN</t>
        </is>
      </c>
      <c r="G246" t="inlineStr">
        <is>
          <t>ESKILSTUNA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41597-2025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46219</v>
      </c>
      <c r="F247" t="inlineStr">
        <is>
          <t>SÖDERMANLANDS LÄN</t>
        </is>
      </c>
      <c r="G247" t="inlineStr">
        <is>
          <t>ESKILSTUNA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51575-2024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46219</v>
      </c>
      <c r="F248" t="inlineStr">
        <is>
          <t>SÖDERMANLANDS LÄN</t>
        </is>
      </c>
      <c r="G248" t="inlineStr">
        <is>
          <t>ESKILSTUNA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44019-2021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44434</v>
      </c>
      <c r="E249" s="1" t="n">
        <v>46219</v>
      </c>
      <c r="F249" t="inlineStr">
        <is>
          <t>SÖDERMANLANDS LÄN</t>
        </is>
      </c>
      <c r="G249" t="inlineStr">
        <is>
          <t>ESKILSTUNA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14326-2023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46219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Kommuner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65349-2021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44515</v>
      </c>
      <c r="E251" s="1" t="n">
        <v>46219</v>
      </c>
      <c r="F251" t="inlineStr">
        <is>
          <t>SÖDERMANLANDS LÄN</t>
        </is>
      </c>
      <c r="G251" t="inlineStr">
        <is>
          <t>ESKILSTUNA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57061-2021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44482</v>
      </c>
      <c r="E252" s="1" t="n">
        <v>46219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43204-2025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46219</v>
      </c>
      <c r="F253" t="inlineStr">
        <is>
          <t>SÖDERMANLANDS LÄN</t>
        </is>
      </c>
      <c r="G253" t="inlineStr">
        <is>
          <t>ESKILSTUNA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55779-2022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44886</v>
      </c>
      <c r="E254" s="1" t="n">
        <v>46219</v>
      </c>
      <c r="F254" t="inlineStr">
        <is>
          <t>SÖDERMANLANDS LÄN</t>
        </is>
      </c>
      <c r="G254" t="inlineStr">
        <is>
          <t>ESKILSTUNA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55785-2022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44886</v>
      </c>
      <c r="E255" s="1" t="n">
        <v>46219</v>
      </c>
      <c r="F255" t="inlineStr">
        <is>
          <t>SÖDERMANLANDS LÄN</t>
        </is>
      </c>
      <c r="G255" t="inlineStr">
        <is>
          <t>ESKILSTUNA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44571</v>
      </c>
      <c r="E256" s="1" t="n">
        <v>46219</v>
      </c>
      <c r="F256" t="inlineStr">
        <is>
          <t>SÖDERMANLANDS LÄN</t>
        </is>
      </c>
      <c r="G256" t="inlineStr">
        <is>
          <t>ESKILSTUNA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43501-2022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44837</v>
      </c>
      <c r="E257" s="1" t="n">
        <v>46219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55812-2022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44886</v>
      </c>
      <c r="E258" s="1" t="n">
        <v>46219</v>
      </c>
      <c r="F258" t="inlineStr">
        <is>
          <t>SÖDERMANLANDS LÄN</t>
        </is>
      </c>
      <c r="G258" t="inlineStr">
        <is>
          <t>ESKILSTUNA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68022-2021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46219</v>
      </c>
      <c r="F259" t="inlineStr">
        <is>
          <t>SÖDERMANLANDS LÄN</t>
        </is>
      </c>
      <c r="G259" t="inlineStr">
        <is>
          <t>ESKILSTUNA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11796-2022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44634</v>
      </c>
      <c r="E260" s="1" t="n">
        <v>46219</v>
      </c>
      <c r="F260" t="inlineStr">
        <is>
          <t>SÖDERMANLANDS LÄN</t>
        </is>
      </c>
      <c r="G260" t="inlineStr">
        <is>
          <t>ESKILSTUNA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61298-2022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44915</v>
      </c>
      <c r="E261" s="1" t="n">
        <v>46219</v>
      </c>
      <c r="F261" t="inlineStr">
        <is>
          <t>SÖDERMANLANDS LÄN</t>
        </is>
      </c>
      <c r="G261" t="inlineStr">
        <is>
          <t>ESKILSTUNA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61314-2022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46219</v>
      </c>
      <c r="F262" t="inlineStr">
        <is>
          <t>SÖDERMANLANDS LÄN</t>
        </is>
      </c>
      <c r="G262" t="inlineStr">
        <is>
          <t>ESKILSTUNA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54598-2021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44473</v>
      </c>
      <c r="E263" s="1" t="n">
        <v>46219</v>
      </c>
      <c r="F263" t="inlineStr">
        <is>
          <t>SÖDERMANLANDS LÄN</t>
        </is>
      </c>
      <c r="G263" t="inlineStr">
        <is>
          <t>ESKILSTUNA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61988-2022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44918</v>
      </c>
      <c r="E264" s="1" t="n">
        <v>46219</v>
      </c>
      <c r="F264" t="inlineStr">
        <is>
          <t>SÖDERMANLANDS LÄN</t>
        </is>
      </c>
      <c r="G264" t="inlineStr">
        <is>
          <t>ESKILSTUNA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4211-2022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44588</v>
      </c>
      <c r="E265" s="1" t="n">
        <v>46219</v>
      </c>
      <c r="F265" t="inlineStr">
        <is>
          <t>SÖDERMANLANDS LÄN</t>
        </is>
      </c>
      <c r="G265" t="inlineStr">
        <is>
          <t>ESKILSTUNA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23639-2023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45077</v>
      </c>
      <c r="E266" s="1" t="n">
        <v>46219</v>
      </c>
      <c r="F266" t="inlineStr">
        <is>
          <t>SÖDERMANLANDS LÄN</t>
        </is>
      </c>
      <c r="G266" t="inlineStr">
        <is>
          <t>ESKILSTUNA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57524-2022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44889</v>
      </c>
      <c r="E267" s="1" t="n">
        <v>46219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16391-2022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46219</v>
      </c>
      <c r="F268" t="inlineStr">
        <is>
          <t>SÖDERMANLANDS LÄN</t>
        </is>
      </c>
      <c r="G268" t="inlineStr">
        <is>
          <t>ESKILSTUNA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45303</v>
      </c>
      <c r="E269" s="1" t="n">
        <v>46219</v>
      </c>
      <c r="F269" t="inlineStr">
        <is>
          <t>SÖDERMANLANDS LÄN</t>
        </is>
      </c>
      <c r="G269" t="inlineStr">
        <is>
          <t>ESKILSTUNA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1346-2024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45303</v>
      </c>
      <c r="E270" s="1" t="n">
        <v>46219</v>
      </c>
      <c r="F270" t="inlineStr">
        <is>
          <t>SÖDERMANLANDS LÄN</t>
        </is>
      </c>
      <c r="G270" t="inlineStr">
        <is>
          <t>ESKILSTUNA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38075-2024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46219</v>
      </c>
      <c r="F271" t="inlineStr">
        <is>
          <t>SÖDERMANLANDS LÄN</t>
        </is>
      </c>
      <c r="G271" t="inlineStr">
        <is>
          <t>ESKILSTUNA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47845-2025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46219</v>
      </c>
      <c r="F272" t="inlineStr">
        <is>
          <t>SÖDERMANLANDS LÄN</t>
        </is>
      </c>
      <c r="G272" t="inlineStr">
        <is>
          <t>ESKILSTUNA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52830-2021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44467</v>
      </c>
      <c r="E273" s="1" t="n">
        <v>46219</v>
      </c>
      <c r="F273" t="inlineStr">
        <is>
          <t>SÖDERMANLANDS LÄN</t>
        </is>
      </c>
      <c r="G273" t="inlineStr">
        <is>
          <t>ESKILSTUNA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1129-2023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44930</v>
      </c>
      <c r="E274" s="1" t="n">
        <v>46219</v>
      </c>
      <c r="F274" t="inlineStr">
        <is>
          <t>SÖDERMANLANDS LÄN</t>
        </is>
      </c>
      <c r="G274" t="inlineStr">
        <is>
          <t>ESKILSTUNA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30960-2023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46219</v>
      </c>
      <c r="F275" t="inlineStr">
        <is>
          <t>SÖDERMANLANDS LÄN</t>
        </is>
      </c>
      <c r="G275" t="inlineStr">
        <is>
          <t>ESKILSTUNA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46219</v>
      </c>
      <c r="F276" t="inlineStr">
        <is>
          <t>SÖDERMANLANDS LÄN</t>
        </is>
      </c>
      <c r="G276" t="inlineStr">
        <is>
          <t>ESKILSTUNA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43426-2021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44432</v>
      </c>
      <c r="E277" s="1" t="n">
        <v>46219</v>
      </c>
      <c r="F277" t="inlineStr">
        <is>
          <t>SÖDERMANLANDS LÄN</t>
        </is>
      </c>
      <c r="G277" t="inlineStr">
        <is>
          <t>ESKILSTUNA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62268-2023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45267</v>
      </c>
      <c r="E278" s="1" t="n">
        <v>46219</v>
      </c>
      <c r="F278" t="inlineStr">
        <is>
          <t>SÖDERMANLANDS LÄN</t>
        </is>
      </c>
      <c r="G278" t="inlineStr">
        <is>
          <t>ESKILSTUNA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62278-2023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46219</v>
      </c>
      <c r="F279" t="inlineStr">
        <is>
          <t>SÖDERMANLANDS LÄN</t>
        </is>
      </c>
      <c r="G279" t="inlineStr">
        <is>
          <t>ESKILSTUNA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6405-2023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46219</v>
      </c>
      <c r="F280" t="inlineStr">
        <is>
          <t>SÖDERMANLANDS LÄN</t>
        </is>
      </c>
      <c r="G280" t="inlineStr">
        <is>
          <t>ESKILSTUNA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47581-2024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45587</v>
      </c>
      <c r="E281" s="1" t="n">
        <v>46219</v>
      </c>
      <c r="F281" t="inlineStr">
        <is>
          <t>SÖDERMANLANDS LÄN</t>
        </is>
      </c>
      <c r="G281" t="inlineStr">
        <is>
          <t>ESKILSTUNA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41997-2021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44426</v>
      </c>
      <c r="E282" s="1" t="n">
        <v>46219</v>
      </c>
      <c r="F282" t="inlineStr">
        <is>
          <t>SÖDERMANLANDS LÄN</t>
        </is>
      </c>
      <c r="G282" t="inlineStr">
        <is>
          <t>ESKILSTUNA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65614-2021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44516</v>
      </c>
      <c r="E283" s="1" t="n">
        <v>46219</v>
      </c>
      <c r="F283" t="inlineStr">
        <is>
          <t>SÖDERMANLANDS LÄN</t>
        </is>
      </c>
      <c r="G283" t="inlineStr">
        <is>
          <t>ESKILSTUNA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61416-2022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44916</v>
      </c>
      <c r="E284" s="1" t="n">
        <v>46219</v>
      </c>
      <c r="F284" t="inlineStr">
        <is>
          <t>SÖDERMANLANDS LÄN</t>
        </is>
      </c>
      <c r="G284" t="inlineStr">
        <is>
          <t>ESKILSTUNA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45750</v>
      </c>
      <c r="E285" s="1" t="n">
        <v>46219</v>
      </c>
      <c r="F285" t="inlineStr">
        <is>
          <t>SÖDERMANLANDS LÄN</t>
        </is>
      </c>
      <c r="G285" t="inlineStr">
        <is>
          <t>ESKILSTUNA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55800-2022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44888</v>
      </c>
      <c r="E286" s="1" t="n">
        <v>46219</v>
      </c>
      <c r="F286" t="inlineStr">
        <is>
          <t>SÖDERMANLANDS LÄN</t>
        </is>
      </c>
      <c r="G286" t="inlineStr">
        <is>
          <t>ESKILSTUNA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50310-2022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44865</v>
      </c>
      <c r="E287" s="1" t="n">
        <v>46219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Kyrkan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9455-2022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44616</v>
      </c>
      <c r="E288" s="1" t="n">
        <v>46219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57546-2022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46219</v>
      </c>
      <c r="F289" t="inlineStr">
        <is>
          <t>SÖDERMANLANDS LÄN</t>
        </is>
      </c>
      <c r="G289" t="inlineStr">
        <is>
          <t>ESKILSTUNA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53098-2022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46219</v>
      </c>
      <c r="F290" t="inlineStr">
        <is>
          <t>SÖDERMANLANDS LÄN</t>
        </is>
      </c>
      <c r="G290" t="inlineStr">
        <is>
          <t>ESKILSTUNA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17376-2025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46219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15963-2022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44664</v>
      </c>
      <c r="E292" s="1" t="n">
        <v>46219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6325-2023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44965</v>
      </c>
      <c r="E293" s="1" t="n">
        <v>46219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25227-2022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44729</v>
      </c>
      <c r="E294" s="1" t="n">
        <v>46219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49470-2023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46219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51332-2025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46219</v>
      </c>
      <c r="F296" t="inlineStr">
        <is>
          <t>SÖDERMANLANDS LÄN</t>
        </is>
      </c>
      <c r="G296" t="inlineStr">
        <is>
          <t>ESKILSTUNA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46219</v>
      </c>
      <c r="F297" t="inlineStr">
        <is>
          <t>SÖDERMANLANDS LÄN</t>
        </is>
      </c>
      <c r="G297" t="inlineStr">
        <is>
          <t>ESKILSTUNA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11522-2026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46219</v>
      </c>
      <c r="F298" t="inlineStr">
        <is>
          <t>SÖDERMANLANDS LÄN</t>
        </is>
      </c>
      <c r="G298" t="inlineStr">
        <is>
          <t>ESKILSTUNA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9711-2025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45715</v>
      </c>
      <c r="E299" s="1" t="n">
        <v>46219</v>
      </c>
      <c r="F299" t="inlineStr">
        <is>
          <t>SÖDERMANLANDS LÄN</t>
        </is>
      </c>
      <c r="G299" t="inlineStr">
        <is>
          <t>ESKILSTUNA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40930-2025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45897</v>
      </c>
      <c r="E300" s="1" t="n">
        <v>46219</v>
      </c>
      <c r="F300" t="inlineStr">
        <is>
          <t>SÖDERMANLANDS LÄN</t>
        </is>
      </c>
      <c r="G300" t="inlineStr">
        <is>
          <t>ESKILSTUNA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52222-2025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46219</v>
      </c>
      <c r="F301" t="inlineStr">
        <is>
          <t>SÖDERMANLANDS LÄN</t>
        </is>
      </c>
      <c r="G301" t="inlineStr">
        <is>
          <t>ESKILSTUNA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46219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52248-2025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46219</v>
      </c>
      <c r="F303" t="inlineStr">
        <is>
          <t>SÖDERMANLANDS LÄN</t>
        </is>
      </c>
      <c r="G303" t="inlineStr">
        <is>
          <t>ESKILSTUNA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23402-2026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46219</v>
      </c>
      <c r="F304" t="inlineStr">
        <is>
          <t>SÖDERMANLANDS LÄN</t>
        </is>
      </c>
      <c r="G304" t="inlineStr">
        <is>
          <t>ESKILSTUNA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52203-2025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45953</v>
      </c>
      <c r="E305" s="1" t="n">
        <v>46219</v>
      </c>
      <c r="F305" t="inlineStr">
        <is>
          <t>SÖDERMANLANDS LÄN</t>
        </is>
      </c>
      <c r="G305" t="inlineStr">
        <is>
          <t>ESKILSTUNA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23183-2026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46219</v>
      </c>
      <c r="F306" t="inlineStr">
        <is>
          <t>SÖDERMANLANDS LÄN</t>
        </is>
      </c>
      <c r="G306" t="inlineStr">
        <is>
          <t>ESKILSTUNA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20348-2023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45056</v>
      </c>
      <c r="E307" s="1" t="n">
        <v>46219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25283-2023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45079</v>
      </c>
      <c r="E308" s="1" t="n">
        <v>46219</v>
      </c>
      <c r="F308" t="inlineStr">
        <is>
          <t>SÖDERMANLANDS LÄN</t>
        </is>
      </c>
      <c r="G308" t="inlineStr">
        <is>
          <t>ESKILSTUNA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59276-2021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44490</v>
      </c>
      <c r="E309" s="1" t="n">
        <v>46219</v>
      </c>
      <c r="F309" t="inlineStr">
        <is>
          <t>SÖDERMANLANDS LÄN</t>
        </is>
      </c>
      <c r="G309" t="inlineStr">
        <is>
          <t>ESKILSTUNA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57213-2023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45245</v>
      </c>
      <c r="E310" s="1" t="n">
        <v>46219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Allmännings- och besparingsskogar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57538-2022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44889</v>
      </c>
      <c r="E311" s="1" t="n">
        <v>46219</v>
      </c>
      <c r="F311" t="inlineStr">
        <is>
          <t>SÖDERMANLANDS LÄN</t>
        </is>
      </c>
      <c r="G311" t="inlineStr">
        <is>
          <t>ESKILSTUNA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23662-2026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46219</v>
      </c>
      <c r="F312" t="inlineStr">
        <is>
          <t>SÖDERMANLANDS LÄN</t>
        </is>
      </c>
      <c r="G312" t="inlineStr">
        <is>
          <t>ESKILSTUNA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23665-2026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46219</v>
      </c>
      <c r="F313" t="inlineStr">
        <is>
          <t>SÖDERMANLANDS LÄN</t>
        </is>
      </c>
      <c r="G313" t="inlineStr">
        <is>
          <t>ESKILSTUNA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55699-2024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46219</v>
      </c>
      <c r="F314" t="inlineStr">
        <is>
          <t>SÖDERMANLANDS LÄN</t>
        </is>
      </c>
      <c r="G314" t="inlineStr">
        <is>
          <t>ESKILSTUNA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44930</v>
      </c>
      <c r="E315" s="1" t="n">
        <v>46219</v>
      </c>
      <c r="F315" t="inlineStr">
        <is>
          <t>SÖDERMANLANDS LÄN</t>
        </is>
      </c>
      <c r="G315" t="inlineStr">
        <is>
          <t>ESKILSTUNA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11727-2026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46084</v>
      </c>
      <c r="E316" s="1" t="n">
        <v>46219</v>
      </c>
      <c r="F316" t="inlineStr">
        <is>
          <t>SÖDERMANLANDS LÄN</t>
        </is>
      </c>
      <c r="G316" t="inlineStr">
        <is>
          <t>ESKILSTUNA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61170-2021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44497</v>
      </c>
      <c r="E317" s="1" t="n">
        <v>46219</v>
      </c>
      <c r="F317" t="inlineStr">
        <is>
          <t>SÖDERMANLANDS LÄN</t>
        </is>
      </c>
      <c r="G317" t="inlineStr">
        <is>
          <t>ESKILSTUNA</t>
        </is>
      </c>
      <c r="I317" t="n">
        <v>7.3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30373-2023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46219</v>
      </c>
      <c r="F318" t="inlineStr">
        <is>
          <t>SÖDERMANLANDS LÄN</t>
        </is>
      </c>
      <c r="G318" t="inlineStr">
        <is>
          <t>ESKILSTUNA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11705-2022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44634</v>
      </c>
      <c r="E319" s="1" t="n">
        <v>46219</v>
      </c>
      <c r="F319" t="inlineStr">
        <is>
          <t>SÖDERMANLANDS LÄN</t>
        </is>
      </c>
      <c r="G319" t="inlineStr">
        <is>
          <t>ESKILSTUNA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56389-2025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46219</v>
      </c>
      <c r="F320" t="inlineStr">
        <is>
          <t>SÖDERMANLANDS LÄN</t>
        </is>
      </c>
      <c r="G320" t="inlineStr">
        <is>
          <t>ESKILSTUNA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22388-2026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46154</v>
      </c>
      <c r="E321" s="1" t="n">
        <v>46219</v>
      </c>
      <c r="F321" t="inlineStr">
        <is>
          <t>SÖDERMANLANDS LÄN</t>
        </is>
      </c>
      <c r="G321" t="inlineStr">
        <is>
          <t>ESKILSTUNA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52221-2025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45953</v>
      </c>
      <c r="E322" s="1" t="n">
        <v>46219</v>
      </c>
      <c r="F322" t="inlineStr">
        <is>
          <t>SÖDERMANLANDS LÄN</t>
        </is>
      </c>
      <c r="G322" t="inlineStr">
        <is>
          <t>ESKILSTUNA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6739-2023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44966</v>
      </c>
      <c r="E323" s="1" t="n">
        <v>46219</v>
      </c>
      <c r="F323" t="inlineStr">
        <is>
          <t>SÖDERMANLANDS LÄN</t>
        </is>
      </c>
      <c r="G323" t="inlineStr">
        <is>
          <t>ESKILSTUNA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48998-2023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46219</v>
      </c>
      <c r="F324" t="inlineStr">
        <is>
          <t>SÖDERMANLANDS LÄN</t>
        </is>
      </c>
      <c r="G324" t="inlineStr">
        <is>
          <t>ESKILSTUNA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57134-2025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46219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19271-2023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45049</v>
      </c>
      <c r="E326" s="1" t="n">
        <v>46219</v>
      </c>
      <c r="F326" t="inlineStr">
        <is>
          <t>SÖDERMANLANDS LÄN</t>
        </is>
      </c>
      <c r="G326" t="inlineStr">
        <is>
          <t>ESKILSTUNA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57128-2025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46219</v>
      </c>
      <c r="F327" t="inlineStr">
        <is>
          <t>SÖDERMANLANDS LÄN</t>
        </is>
      </c>
      <c r="G327" t="inlineStr">
        <is>
          <t>ESKILSTUNA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1340-2024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45303</v>
      </c>
      <c r="E328" s="1" t="n">
        <v>46219</v>
      </c>
      <c r="F328" t="inlineStr">
        <is>
          <t>SÖDERMANLANDS LÄN</t>
        </is>
      </c>
      <c r="G328" t="inlineStr">
        <is>
          <t>ESKILSTUNA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52274-2024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45608</v>
      </c>
      <c r="E329" s="1" t="n">
        <v>46219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Övriga Aktiebolag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57138-2025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46219</v>
      </c>
      <c r="F330" t="inlineStr">
        <is>
          <t>SÖDERMANLANDS LÄN</t>
        </is>
      </c>
      <c r="G330" t="inlineStr">
        <is>
          <t>ESKILSTUNA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56383-2025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46219</v>
      </c>
      <c r="F331" t="inlineStr">
        <is>
          <t>SÖDERMANLANDS LÄN</t>
        </is>
      </c>
      <c r="G331" t="inlineStr">
        <is>
          <t>ESKILSTUNA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13849-2023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46219</v>
      </c>
      <c r="F332" t="inlineStr">
        <is>
          <t>SÖDERMANLANDS LÄN</t>
        </is>
      </c>
      <c r="G332" t="inlineStr">
        <is>
          <t>ESKILSTUNA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31108-2026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46216</v>
      </c>
      <c r="E333" s="1" t="n">
        <v>46219</v>
      </c>
      <c r="F333" t="inlineStr">
        <is>
          <t>SÖDERMANLANDS LÄN</t>
        </is>
      </c>
      <c r="G333" t="inlineStr">
        <is>
          <t>ESKILSTUNA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31131-2026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46216</v>
      </c>
      <c r="E334" s="1" t="n">
        <v>46219</v>
      </c>
      <c r="F334" t="inlineStr">
        <is>
          <t>SÖDERMANLANDS LÄN</t>
        </is>
      </c>
      <c r="G334" t="inlineStr">
        <is>
          <t>ESKILSTUNA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45882-2022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44844</v>
      </c>
      <c r="E335" s="1" t="n">
        <v>46219</v>
      </c>
      <c r="F335" t="inlineStr">
        <is>
          <t>SÖDERMANLANDS LÄN</t>
        </is>
      </c>
      <c r="G335" t="inlineStr">
        <is>
          <t>ESKILSTUNA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45884-2022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44844</v>
      </c>
      <c r="E336" s="1" t="n">
        <v>46219</v>
      </c>
      <c r="F336" t="inlineStr">
        <is>
          <t>SÖDERMANLANDS LÄN</t>
        </is>
      </c>
      <c r="G336" t="inlineStr">
        <is>
          <t>ESKILSTUNA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44942</v>
      </c>
      <c r="E337" s="1" t="n">
        <v>46219</v>
      </c>
      <c r="F337" t="inlineStr">
        <is>
          <t>SÖDERMANLANDS LÄN</t>
        </is>
      </c>
      <c r="G337" t="inlineStr">
        <is>
          <t>ESKILSTUNA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30963-2026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46213</v>
      </c>
      <c r="E338" s="1" t="n">
        <v>46219</v>
      </c>
      <c r="F338" t="inlineStr">
        <is>
          <t>SÖDERMANLANDS LÄN</t>
        </is>
      </c>
      <c r="G338" t="inlineStr">
        <is>
          <t>ESKILSTUNA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62693-2023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45271</v>
      </c>
      <c r="E339" s="1" t="n">
        <v>46219</v>
      </c>
      <c r="F339" t="inlineStr">
        <is>
          <t>SÖDERMANLANDS LÄN</t>
        </is>
      </c>
      <c r="G339" t="inlineStr">
        <is>
          <t>ESKILSTUNA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70265-2021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44536</v>
      </c>
      <c r="E340" s="1" t="n">
        <v>46219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Sveaskog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31203-2026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46217</v>
      </c>
      <c r="E341" s="1" t="n">
        <v>46219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Kommuner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60326-2025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46219</v>
      </c>
      <c r="F342" t="inlineStr">
        <is>
          <t>SÖDERMANLANDS LÄN</t>
        </is>
      </c>
      <c r="G342" t="inlineStr">
        <is>
          <t>ESKILSTUNA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46608-2024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45582</v>
      </c>
      <c r="E343" s="1" t="n">
        <v>46219</v>
      </c>
      <c r="F343" t="inlineStr">
        <is>
          <t>SÖDERMANLANDS LÄN</t>
        </is>
      </c>
      <c r="G343" t="inlineStr">
        <is>
          <t>ESKILSTUNA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31200-2026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46217</v>
      </c>
      <c r="E344" s="1" t="n">
        <v>46219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Kommuner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60754-2025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46219</v>
      </c>
      <c r="F345" t="inlineStr">
        <is>
          <t>SÖDERMANLANDS LÄN</t>
        </is>
      </c>
      <c r="G345" t="inlineStr">
        <is>
          <t>ESKILSTUNA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68020-2021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44525</v>
      </c>
      <c r="E346" s="1" t="n">
        <v>46219</v>
      </c>
      <c r="F346" t="inlineStr">
        <is>
          <t>SÖDERMANLANDS LÄN</t>
        </is>
      </c>
      <c r="G346" t="inlineStr">
        <is>
          <t>ESKILSTUNA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32708-2024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45514</v>
      </c>
      <c r="E347" s="1" t="n">
        <v>46219</v>
      </c>
      <c r="F347" t="inlineStr">
        <is>
          <t>SÖDERMANLANDS LÄN</t>
        </is>
      </c>
      <c r="G347" t="inlineStr">
        <is>
          <t>ESKILSTUNA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20842-2023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45058</v>
      </c>
      <c r="E348" s="1" t="n">
        <v>46219</v>
      </c>
      <c r="F348" t="inlineStr">
        <is>
          <t>SÖDERMANLANDS LÄN</t>
        </is>
      </c>
      <c r="G348" t="inlineStr">
        <is>
          <t>ESKILSTUNA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61033-2025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46219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Allmännings- och besparingsskogar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33585-2022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44789</v>
      </c>
      <c r="E350" s="1" t="n">
        <v>46219</v>
      </c>
      <c r="F350" t="inlineStr">
        <is>
          <t>SÖDERMANLANDS LÄN</t>
        </is>
      </c>
      <c r="G350" t="inlineStr">
        <is>
          <t>ESKILSTUNA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6598-2024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46219</v>
      </c>
      <c r="F351" t="inlineStr">
        <is>
          <t>SÖDERMANLANDS LÄN</t>
        </is>
      </c>
      <c r="G351" t="inlineStr">
        <is>
          <t>ESKILSTUNA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38058-2024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45544</v>
      </c>
      <c r="E352" s="1" t="n">
        <v>46219</v>
      </c>
      <c r="F352" t="inlineStr">
        <is>
          <t>SÖDERMANLANDS LÄN</t>
        </is>
      </c>
      <c r="G352" t="inlineStr">
        <is>
          <t>ESKILSTUNA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35377-2023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45146</v>
      </c>
      <c r="E353" s="1" t="n">
        <v>46219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Kyrkan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54586-2025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46219</v>
      </c>
      <c r="F354" t="inlineStr">
        <is>
          <t>SÖDERMANLANDS LÄN</t>
        </is>
      </c>
      <c r="G354" t="inlineStr">
        <is>
          <t>ESKILSTUNA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45695</v>
      </c>
      <c r="E355" s="1" t="n">
        <v>46219</v>
      </c>
      <c r="F355" t="inlineStr">
        <is>
          <t>SÖDERMANLANDS LÄN</t>
        </is>
      </c>
      <c r="G355" t="inlineStr">
        <is>
          <t>ESKILSTUNA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15592-2023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45020</v>
      </c>
      <c r="E356" s="1" t="n">
        <v>46219</v>
      </c>
      <c r="F356" t="inlineStr">
        <is>
          <t>SÖDERMANLANDS LÄN</t>
        </is>
      </c>
      <c r="G356" t="inlineStr">
        <is>
          <t>ESKILSTUNA</t>
        </is>
      </c>
      <c r="I356" t="n">
        <v>7.9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22058-2023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45069</v>
      </c>
      <c r="E357" s="1" t="n">
        <v>46219</v>
      </c>
      <c r="F357" t="inlineStr">
        <is>
          <t>SÖDERMANLANDS LÄN</t>
        </is>
      </c>
      <c r="G357" t="inlineStr">
        <is>
          <t>ESKILSTUNA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6659-2024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46219</v>
      </c>
      <c r="F358" t="inlineStr">
        <is>
          <t>SÖDERMANLANDS LÄN</t>
        </is>
      </c>
      <c r="G358" t="inlineStr">
        <is>
          <t>ESKILSTUNA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46219</v>
      </c>
      <c r="F359" t="inlineStr">
        <is>
          <t>SÖDERMANLANDS LÄN</t>
        </is>
      </c>
      <c r="G359" t="inlineStr">
        <is>
          <t>ESKILSTUNA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45695</v>
      </c>
      <c r="E360" s="1" t="n">
        <v>46219</v>
      </c>
      <c r="F360" t="inlineStr">
        <is>
          <t>SÖDERMANLANDS LÄN</t>
        </is>
      </c>
      <c r="G360" t="inlineStr">
        <is>
          <t>ESKILSTUNA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10715-2022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44626</v>
      </c>
      <c r="E361" s="1" t="n">
        <v>46219</v>
      </c>
      <c r="F361" t="inlineStr">
        <is>
          <t>SÖDERMANLANDS LÄN</t>
        </is>
      </c>
      <c r="G361" t="inlineStr">
        <is>
          <t>ESKILSTUNA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44927-2023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45190</v>
      </c>
      <c r="E362" s="1" t="n">
        <v>46219</v>
      </c>
      <c r="F362" t="inlineStr">
        <is>
          <t>SÖDERMANLANDS LÄN</t>
        </is>
      </c>
      <c r="G362" t="inlineStr">
        <is>
          <t>ESKILSTUNA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59138-2024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46219</v>
      </c>
      <c r="F363" t="inlineStr">
        <is>
          <t>SÖDERMANLANDS LÄN</t>
        </is>
      </c>
      <c r="G363" t="inlineStr">
        <is>
          <t>ESKILSTUNA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46219</v>
      </c>
      <c r="F364" t="inlineStr">
        <is>
          <t>SÖDERMANLANDS LÄN</t>
        </is>
      </c>
      <c r="G364" t="inlineStr">
        <is>
          <t>ESKILSTUNA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20355-2024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45435</v>
      </c>
      <c r="E365" s="1" t="n">
        <v>46219</v>
      </c>
      <c r="F365" t="inlineStr">
        <is>
          <t>SÖDERMANLANDS LÄN</t>
        </is>
      </c>
      <c r="G365" t="inlineStr">
        <is>
          <t>ESKILSTUNA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53181-2024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45611</v>
      </c>
      <c r="E366" s="1" t="n">
        <v>46219</v>
      </c>
      <c r="F366" t="inlineStr">
        <is>
          <t>SÖDERMANLANDS LÄN</t>
        </is>
      </c>
      <c r="G366" t="inlineStr">
        <is>
          <t>ESKILSTUNA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1538-2025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45670</v>
      </c>
      <c r="E367" s="1" t="n">
        <v>46219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22605-2023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45071</v>
      </c>
      <c r="E368" s="1" t="n">
        <v>46219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Kyrkan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70560-2021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44536</v>
      </c>
      <c r="E369" s="1" t="n">
        <v>46219</v>
      </c>
      <c r="F369" t="inlineStr">
        <is>
          <t>SÖDERMANLANDS LÄN</t>
        </is>
      </c>
      <c r="G369" t="inlineStr">
        <is>
          <t>ESKILSTUNA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53933-2024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45615</v>
      </c>
      <c r="E370" s="1" t="n">
        <v>46219</v>
      </c>
      <c r="F370" t="inlineStr">
        <is>
          <t>SÖDERMANLANDS LÄN</t>
        </is>
      </c>
      <c r="G370" t="inlineStr">
        <is>
          <t>ESKILSTUNA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43261-2023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46219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Allmännings- och besparingsskogar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1174-2022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44572</v>
      </c>
      <c r="E372" s="1" t="n">
        <v>46219</v>
      </c>
      <c r="F372" t="inlineStr">
        <is>
          <t>SÖDERMANLANDS LÄN</t>
        </is>
      </c>
      <c r="G372" t="inlineStr">
        <is>
          <t>ESKILSTUNA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7406-2022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44606</v>
      </c>
      <c r="E373" s="1" t="n">
        <v>46219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Kyrkan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26904-2023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45093</v>
      </c>
      <c r="E374" s="1" t="n">
        <v>46219</v>
      </c>
      <c r="F374" t="inlineStr">
        <is>
          <t>SÖDERMANLANDS LÄN</t>
        </is>
      </c>
      <c r="G374" t="inlineStr">
        <is>
          <t>ESKILSTUNA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60533-2024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45643</v>
      </c>
      <c r="E375" s="1" t="n">
        <v>46219</v>
      </c>
      <c r="F375" t="inlineStr">
        <is>
          <t>SÖDERMANLANDS LÄN</t>
        </is>
      </c>
      <c r="G375" t="inlineStr">
        <is>
          <t>ESKILSTUNA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13495-2024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45387</v>
      </c>
      <c r="E376" s="1" t="n">
        <v>46219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Kyrkan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45107</v>
      </c>
      <c r="E377" s="1" t="n">
        <v>46219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60276-2024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45642</v>
      </c>
      <c r="E378" s="1" t="n">
        <v>46219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3675-2026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46219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3672-2026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46219</v>
      </c>
      <c r="F380" t="inlineStr">
        <is>
          <t>SÖDERMANLANDS LÄN</t>
        </is>
      </c>
      <c r="G380" t="inlineStr">
        <is>
          <t>ESKILSTUNA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49061-2023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46219</v>
      </c>
      <c r="F381" t="inlineStr">
        <is>
          <t>SÖDERMANLANDS LÄN</t>
        </is>
      </c>
      <c r="G381" t="inlineStr">
        <is>
          <t>ESKILSTUNA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5476-2026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46219</v>
      </c>
      <c r="F382" t="inlineStr">
        <is>
          <t>SÖDERMANLANDS LÄN</t>
        </is>
      </c>
      <c r="G382" t="inlineStr">
        <is>
          <t>ESKILSTUNA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46219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Allmännings- och besparingsskogar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60246-2024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45642</v>
      </c>
      <c r="E384" s="1" t="n">
        <v>46219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Allmännings- och besparingsskogar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13826-2025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45737</v>
      </c>
      <c r="E385" s="1" t="n">
        <v>46219</v>
      </c>
      <c r="F385" t="inlineStr">
        <is>
          <t>SÖDERMANLANDS LÄN</t>
        </is>
      </c>
      <c r="G385" t="inlineStr">
        <is>
          <t>ESKILSTUNA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51801-2025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45950</v>
      </c>
      <c r="E386" s="1" t="n">
        <v>46219</v>
      </c>
      <c r="F386" t="inlineStr">
        <is>
          <t>SÖDERMANLANDS LÄN</t>
        </is>
      </c>
      <c r="G386" t="inlineStr">
        <is>
          <t>ESKILSTUNA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26871-2023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46219</v>
      </c>
      <c r="F387" t="inlineStr">
        <is>
          <t>SÖDERMANLANDS LÄN</t>
        </is>
      </c>
      <c r="G387" t="inlineStr">
        <is>
          <t>ESKILSTUNA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44593</v>
      </c>
      <c r="E388" s="1" t="n">
        <v>46219</v>
      </c>
      <c r="F388" t="inlineStr">
        <is>
          <t>SÖDERMANLANDS LÄN</t>
        </is>
      </c>
      <c r="G388" t="inlineStr">
        <is>
          <t>ESKILSTUNA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10352-2024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45365</v>
      </c>
      <c r="E389" s="1" t="n">
        <v>46219</v>
      </c>
      <c r="F389" t="inlineStr">
        <is>
          <t>SÖDERMANLANDS LÄN</t>
        </is>
      </c>
      <c r="G389" t="inlineStr">
        <is>
          <t>ESKILSTUNA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55763-2022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44886</v>
      </c>
      <c r="E390" s="1" t="n">
        <v>46219</v>
      </c>
      <c r="F390" t="inlineStr">
        <is>
          <t>SÖDERMANLANDS LÄN</t>
        </is>
      </c>
      <c r="G390" t="inlineStr">
        <is>
          <t>ESKILSTUNA</t>
        </is>
      </c>
      <c r="I390" t="n">
        <v>15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43221-2023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45183</v>
      </c>
      <c r="E391" s="1" t="n">
        <v>46219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Allmännings- och besparingsskogar</t>
        </is>
      </c>
      <c r="I391" t="n">
        <v>15.8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55282-2023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46219</v>
      </c>
      <c r="F392" t="inlineStr">
        <is>
          <t>SÖDERMANLANDS LÄN</t>
        </is>
      </c>
      <c r="G392" t="inlineStr">
        <is>
          <t>ESKILSTUNA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19285-2023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45049</v>
      </c>
      <c r="E393" s="1" t="n">
        <v>46219</v>
      </c>
      <c r="F393" t="inlineStr">
        <is>
          <t>SÖDERMANLANDS LÄN</t>
        </is>
      </c>
      <c r="G393" t="inlineStr">
        <is>
          <t>ESKILSTUNA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4200-2025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45685</v>
      </c>
      <c r="E394" s="1" t="n">
        <v>46219</v>
      </c>
      <c r="F394" t="inlineStr">
        <is>
          <t>SÖDERMANLANDS LÄN</t>
        </is>
      </c>
      <c r="G394" t="inlineStr">
        <is>
          <t>ESKILSTUNA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15917-2022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46219</v>
      </c>
      <c r="F395" t="inlineStr">
        <is>
          <t>SÖDERMANLANDS LÄN</t>
        </is>
      </c>
      <c r="G395" t="inlineStr">
        <is>
          <t>ESKILSTUNA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11117-2025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46219</v>
      </c>
      <c r="F396" t="inlineStr">
        <is>
          <t>SÖDERMANLANDS LÄN</t>
        </is>
      </c>
      <c r="G396" t="inlineStr">
        <is>
          <t>ESKILSTUNA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9133-2026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46219</v>
      </c>
      <c r="F397" t="inlineStr">
        <is>
          <t>SÖDERMANLANDS LÄN</t>
        </is>
      </c>
      <c r="G397" t="inlineStr">
        <is>
          <t>ESKILSTUNA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55963-2023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45240</v>
      </c>
      <c r="E398" s="1" t="n">
        <v>46219</v>
      </c>
      <c r="F398" t="inlineStr">
        <is>
          <t>SÖDERMANLANDS LÄN</t>
        </is>
      </c>
      <c r="G398" t="inlineStr">
        <is>
          <t>ESKILSTUNA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25229-2022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44729</v>
      </c>
      <c r="E399" s="1" t="n">
        <v>46219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61831-2023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45266</v>
      </c>
      <c r="E400" s="1" t="n">
        <v>46219</v>
      </c>
      <c r="F400" t="inlineStr">
        <is>
          <t>SÖDERMANLANDS LÄN</t>
        </is>
      </c>
      <c r="G400" t="inlineStr">
        <is>
          <t>ESKILSTUNA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29068-2022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44749</v>
      </c>
      <c r="E401" s="1" t="n">
        <v>46219</v>
      </c>
      <c r="F401" t="inlineStr">
        <is>
          <t>SÖDERMANLANDS LÄN</t>
        </is>
      </c>
      <c r="G401" t="inlineStr">
        <is>
          <t>ESKILSTUNA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1330-2024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45303</v>
      </c>
      <c r="E402" s="1" t="n">
        <v>46219</v>
      </c>
      <c r="F402" t="inlineStr">
        <is>
          <t>SÖDERMANLANDS LÄN</t>
        </is>
      </c>
      <c r="G402" t="inlineStr">
        <is>
          <t>ESKILSTUNA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1334-2024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45303</v>
      </c>
      <c r="E403" s="1" t="n">
        <v>46219</v>
      </c>
      <c r="F403" t="inlineStr">
        <is>
          <t>SÖDERMANLANDS LÄN</t>
        </is>
      </c>
      <c r="G403" t="inlineStr">
        <is>
          <t>ESKILSTUNA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37769-2023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45159</v>
      </c>
      <c r="E404" s="1" t="n">
        <v>46219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Kommuner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29750-2022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44755</v>
      </c>
      <c r="E405" s="1" t="n">
        <v>46219</v>
      </c>
      <c r="F405" t="inlineStr">
        <is>
          <t>SÖDERMANLANDS LÄN</t>
        </is>
      </c>
      <c r="G405" t="inlineStr">
        <is>
          <t>ESKILSTUNA</t>
        </is>
      </c>
      <c r="I405" t="n">
        <v>20.1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9703-2025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46219</v>
      </c>
      <c r="F406" t="inlineStr">
        <is>
          <t>SÖDERMANLANDS LÄN</t>
        </is>
      </c>
      <c r="G406" t="inlineStr">
        <is>
          <t>ESKILSTUNA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11987-2026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46219</v>
      </c>
      <c r="F407" t="inlineStr">
        <is>
          <t>SÖDERMANLANDS LÄN</t>
        </is>
      </c>
      <c r="G407" t="inlineStr">
        <is>
          <t>ESKILSTUNA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30968-2022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44768</v>
      </c>
      <c r="E408" s="1" t="n">
        <v>46219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52663-2023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45225</v>
      </c>
      <c r="E409" s="1" t="n">
        <v>46219</v>
      </c>
      <c r="F409" t="inlineStr">
        <is>
          <t>SÖDERMANLANDS LÄN</t>
        </is>
      </c>
      <c r="G409" t="inlineStr">
        <is>
          <t>ESKILSTUNA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4434-2026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46219</v>
      </c>
      <c r="F410" t="inlineStr">
        <is>
          <t>SÖDERMANLANDS LÄN</t>
        </is>
      </c>
      <c r="G410" t="inlineStr">
        <is>
          <t>ESKILSTUNA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6725-2023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44966</v>
      </c>
      <c r="E411" s="1" t="n">
        <v>46219</v>
      </c>
      <c r="F411" t="inlineStr">
        <is>
          <t>SÖDERMANLANDS LÄN</t>
        </is>
      </c>
      <c r="G411" t="inlineStr">
        <is>
          <t>ESKILSTUNA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24691-2025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45798</v>
      </c>
      <c r="E412" s="1" t="n">
        <v>46219</v>
      </c>
      <c r="F412" t="inlineStr">
        <is>
          <t>SÖDERMANLANDS LÄN</t>
        </is>
      </c>
      <c r="G412" t="inlineStr">
        <is>
          <t>ESKILSTUNA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46219</v>
      </c>
      <c r="F413" t="inlineStr">
        <is>
          <t>SÖDERMANLANDS LÄN</t>
        </is>
      </c>
      <c r="G413" t="inlineStr">
        <is>
          <t>ESKILSTUNA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36636-2022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44804</v>
      </c>
      <c r="E414" s="1" t="n">
        <v>46219</v>
      </c>
      <c r="F414" t="inlineStr">
        <is>
          <t>SÖDERMANLANDS LÄN</t>
        </is>
      </c>
      <c r="G414" t="inlineStr">
        <is>
          <t>ESKILSTUNA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24537-2025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45798</v>
      </c>
      <c r="E415" s="1" t="n">
        <v>46219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24534-2025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45798</v>
      </c>
      <c r="E416" s="1" t="n">
        <v>46219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Sveaskog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24535-2025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45798</v>
      </c>
      <c r="E417" s="1" t="n">
        <v>46219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Sveaskog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24536-2025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45798</v>
      </c>
      <c r="E418" s="1" t="n">
        <v>46219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61861-2022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44917</v>
      </c>
      <c r="E419" s="1" t="n">
        <v>46219</v>
      </c>
      <c r="F419" t="inlineStr">
        <is>
          <t>SÖDERMANLANDS LÄN</t>
        </is>
      </c>
      <c r="G419" t="inlineStr">
        <is>
          <t>ESKILSTUNA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24686-2025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46219</v>
      </c>
      <c r="F420" t="inlineStr">
        <is>
          <t>SÖDERMANLANDS LÄN</t>
        </is>
      </c>
      <c r="G420" t="inlineStr">
        <is>
          <t>ESKILSTUNA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24652-2025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46219</v>
      </c>
      <c r="F421" t="inlineStr">
        <is>
          <t>SÖDERMANLANDS LÄN</t>
        </is>
      </c>
      <c r="G421" t="inlineStr">
        <is>
          <t>ESKILSTUNA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24662-2025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45798</v>
      </c>
      <c r="E422" s="1" t="n">
        <v>46219</v>
      </c>
      <c r="F422" t="inlineStr">
        <is>
          <t>SÖDERMANLANDS LÄN</t>
        </is>
      </c>
      <c r="G422" t="inlineStr">
        <is>
          <t>ESKILSTUNA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24667-2025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45798</v>
      </c>
      <c r="E423" s="1" t="n">
        <v>46219</v>
      </c>
      <c r="F423" t="inlineStr">
        <is>
          <t>SÖDERMANLANDS LÄN</t>
        </is>
      </c>
      <c r="G423" t="inlineStr">
        <is>
          <t>ESKILSTUNA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43488-2024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45568</v>
      </c>
      <c r="E424" s="1" t="n">
        <v>46219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12297-2023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44998</v>
      </c>
      <c r="E425" s="1" t="n">
        <v>46219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Kommuner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43489-2024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45568</v>
      </c>
      <c r="E426" s="1" t="n">
        <v>46219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Allmännings- och besparingsskogar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61830-2023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45266</v>
      </c>
      <c r="E427" s="1" t="n">
        <v>46219</v>
      </c>
      <c r="F427" t="inlineStr">
        <is>
          <t>SÖDERMANLANDS LÄN</t>
        </is>
      </c>
      <c r="G427" t="inlineStr">
        <is>
          <t>ESKILSTUNA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35367-2024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46219</v>
      </c>
      <c r="F428" t="inlineStr">
        <is>
          <t>SÖDERMANLANDS LÄN</t>
        </is>
      </c>
      <c r="G428" t="inlineStr">
        <is>
          <t>ESKILSTUNA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36613-2024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45537</v>
      </c>
      <c r="E429" s="1" t="n">
        <v>46219</v>
      </c>
      <c r="F429" t="inlineStr">
        <is>
          <t>SÖDERMANLANDS LÄN</t>
        </is>
      </c>
      <c r="G429" t="inlineStr">
        <is>
          <t>ESKILSTUNA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44582</v>
      </c>
      <c r="E430" s="1" t="n">
        <v>46219</v>
      </c>
      <c r="F430" t="inlineStr">
        <is>
          <t>SÖDERMANLANDS LÄN</t>
        </is>
      </c>
      <c r="G430" t="inlineStr">
        <is>
          <t>ESKILSTUNA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36142-2022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44803</v>
      </c>
      <c r="E431" s="1" t="n">
        <v>46219</v>
      </c>
      <c r="F431" t="inlineStr">
        <is>
          <t>SÖDERMANLANDS LÄN</t>
        </is>
      </c>
      <c r="G431" t="inlineStr">
        <is>
          <t>ESKILSTUNA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36153-2022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44803</v>
      </c>
      <c r="E432" s="1" t="n">
        <v>46219</v>
      </c>
      <c r="F432" t="inlineStr">
        <is>
          <t>SÖDERMANLANDS LÄN</t>
        </is>
      </c>
      <c r="G432" t="inlineStr">
        <is>
          <t>ESKILSTUNA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16104-2026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46219</v>
      </c>
      <c r="F433" t="inlineStr">
        <is>
          <t>SÖDERMANLANDS LÄN</t>
        </is>
      </c>
      <c r="G433" t="inlineStr">
        <is>
          <t>ESKILSTUNA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70613-2021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46219</v>
      </c>
      <c r="F434" t="inlineStr">
        <is>
          <t>SÖDERMANLANDS LÄN</t>
        </is>
      </c>
      <c r="G434" t="inlineStr">
        <is>
          <t>ESKILSTUNA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16131-2026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46219</v>
      </c>
      <c r="F435" t="inlineStr">
        <is>
          <t>SÖDERMANLANDS LÄN</t>
        </is>
      </c>
      <c r="G435" t="inlineStr">
        <is>
          <t>ESKILSTUNA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16125-2026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46219</v>
      </c>
      <c r="F436" t="inlineStr">
        <is>
          <t>SÖDERMANLANDS LÄN</t>
        </is>
      </c>
      <c r="G436" t="inlineStr">
        <is>
          <t>ESKILSTUNA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16135-2026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46219</v>
      </c>
      <c r="F437" t="inlineStr">
        <is>
          <t>SÖDERMANLANDS LÄN</t>
        </is>
      </c>
      <c r="G437" t="inlineStr">
        <is>
          <t>ESKILSTUNA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42545-2025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45905</v>
      </c>
      <c r="E438" s="1" t="n">
        <v>46219</v>
      </c>
      <c r="F438" t="inlineStr">
        <is>
          <t>SÖDERMANLANDS LÄN</t>
        </is>
      </c>
      <c r="G438" t="inlineStr">
        <is>
          <t>ESKILSTUNA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44615-2022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44839</v>
      </c>
      <c r="E439" s="1" t="n">
        <v>46219</v>
      </c>
      <c r="F439" t="inlineStr">
        <is>
          <t>SÖDERMANLANDS LÄN</t>
        </is>
      </c>
      <c r="G439" t="inlineStr">
        <is>
          <t>ESKILSTUNA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18487-2025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45763</v>
      </c>
      <c r="E440" s="1" t="n">
        <v>46219</v>
      </c>
      <c r="F440" t="inlineStr">
        <is>
          <t>SÖDERMANLANDS LÄN</t>
        </is>
      </c>
      <c r="G440" t="inlineStr">
        <is>
          <t>ESKILSTUNA</t>
        </is>
      </c>
      <c r="I440" t="n">
        <v>15.6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18105-2026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46125</v>
      </c>
      <c r="E441" s="1" t="n">
        <v>46219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53374-2022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44874</v>
      </c>
      <c r="E442" s="1" t="n">
        <v>46219</v>
      </c>
      <c r="F442" t="inlineStr">
        <is>
          <t>SÖDERMANLANDS LÄN</t>
        </is>
      </c>
      <c r="G442" t="inlineStr">
        <is>
          <t>ESKILSTUNA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44938</v>
      </c>
      <c r="E443" s="1" t="n">
        <v>46219</v>
      </c>
      <c r="F443" t="inlineStr">
        <is>
          <t>SÖDERMANLANDS LÄN</t>
        </is>
      </c>
      <c r="G443" t="inlineStr">
        <is>
          <t>ESKILSTUNA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13153-2026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46092</v>
      </c>
      <c r="E444" s="1" t="n">
        <v>46219</v>
      </c>
      <c r="F444" t="inlineStr">
        <is>
          <t>SÖDERMANLANDS LÄN</t>
        </is>
      </c>
      <c r="G444" t="inlineStr">
        <is>
          <t>ESKILSTUNA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28582-2023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46219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13385-2023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45005</v>
      </c>
      <c r="E446" s="1" t="n">
        <v>46219</v>
      </c>
      <c r="F446" t="inlineStr">
        <is>
          <t>SÖDERMANLANDS LÄN</t>
        </is>
      </c>
      <c r="G446" t="inlineStr">
        <is>
          <t>ESKILSTUNA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39291-2023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46219</v>
      </c>
      <c r="F447" t="inlineStr">
        <is>
          <t>SÖDERMANLANDS LÄN</t>
        </is>
      </c>
      <c r="G447" t="inlineStr">
        <is>
          <t>ESKILSTUNA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44942</v>
      </c>
      <c r="E448" s="1" t="n">
        <v>46219</v>
      </c>
      <c r="F448" t="inlineStr">
        <is>
          <t>SÖDERMANLANDS LÄN</t>
        </is>
      </c>
      <c r="G448" t="inlineStr">
        <is>
          <t>ESKILSTUNA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40386-2022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44819</v>
      </c>
      <c r="E449" s="1" t="n">
        <v>46219</v>
      </c>
      <c r="F449" t="inlineStr">
        <is>
          <t>SÖDERMANLANDS LÄN</t>
        </is>
      </c>
      <c r="G449" t="inlineStr">
        <is>
          <t>ESKILSTUNA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48671-2021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44452</v>
      </c>
      <c r="E450" s="1" t="n">
        <v>46219</v>
      </c>
      <c r="F450" t="inlineStr">
        <is>
          <t>SÖDERMANLANDS LÄN</t>
        </is>
      </c>
      <c r="G450" t="inlineStr">
        <is>
          <t>ESKILSTUNA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53476-2021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44468</v>
      </c>
      <c r="E451" s="1" t="n">
        <v>46219</v>
      </c>
      <c r="F451" t="inlineStr">
        <is>
          <t>SÖDERMANLANDS LÄN</t>
        </is>
      </c>
      <c r="G451" t="inlineStr">
        <is>
          <t>ESKILSTUNA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30096-2025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45826</v>
      </c>
      <c r="E452" s="1" t="n">
        <v>46219</v>
      </c>
      <c r="F452" t="inlineStr">
        <is>
          <t>SÖDERMANLANDS LÄN</t>
        </is>
      </c>
      <c r="G452" t="inlineStr">
        <is>
          <t>ESKILSTUNA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52290-2024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45608</v>
      </c>
      <c r="E453" s="1" t="n">
        <v>46219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Övriga Aktiebolag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30113-2025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46219</v>
      </c>
      <c r="F454" t="inlineStr">
        <is>
          <t>SÖDERMANLANDS LÄN</t>
        </is>
      </c>
      <c r="G454" t="inlineStr">
        <is>
          <t>ESKILSTUNA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30004-2025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45826</v>
      </c>
      <c r="E455" s="1" t="n">
        <v>46219</v>
      </c>
      <c r="F455" t="inlineStr">
        <is>
          <t>SÖDERMANLANDS LÄN</t>
        </is>
      </c>
      <c r="G455" t="inlineStr">
        <is>
          <t>ESKILSTUNA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21133-2023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46219</v>
      </c>
      <c r="F456" t="inlineStr">
        <is>
          <t>SÖDERMANLANDS LÄN</t>
        </is>
      </c>
      <c r="G456" t="inlineStr">
        <is>
          <t>ESKILSTUNA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30117-2025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46219</v>
      </c>
      <c r="F457" t="inlineStr">
        <is>
          <t>SÖDERMANLANDS LÄN</t>
        </is>
      </c>
      <c r="G457" t="inlineStr">
        <is>
          <t>ESKILSTUNA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56384-2025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46219</v>
      </c>
      <c r="F458" t="inlineStr">
        <is>
          <t>SÖDERMANLANDS LÄN</t>
        </is>
      </c>
      <c r="G458" t="inlineStr">
        <is>
          <t>ESKILSTUNA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13626-2023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45006</v>
      </c>
      <c r="E459" s="1" t="n">
        <v>46219</v>
      </c>
      <c r="F459" t="inlineStr">
        <is>
          <t>SÖDERMANLANDS LÄN</t>
        </is>
      </c>
      <c r="G459" t="inlineStr">
        <is>
          <t>ESKILSTUNA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31314-2025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45833</v>
      </c>
      <c r="E460" s="1" t="n">
        <v>46219</v>
      </c>
      <c r="F460" t="inlineStr">
        <is>
          <t>SÖDERMANLANDS LÄN</t>
        </is>
      </c>
      <c r="G460" t="inlineStr">
        <is>
          <t>ESKILSTUNA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25483-2026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46219</v>
      </c>
      <c r="F461" t="inlineStr">
        <is>
          <t>SÖDERMANLANDS LÄN</t>
        </is>
      </c>
      <c r="G461" t="inlineStr">
        <is>
          <t>ESKILSTUNA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44862-2025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46219</v>
      </c>
      <c r="F462" t="inlineStr">
        <is>
          <t>SÖDERMANLANDS LÄN</t>
        </is>
      </c>
      <c r="G462" t="inlineStr">
        <is>
          <t>ESKILSTUNA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55673-2024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46219</v>
      </c>
      <c r="F463" t="inlineStr">
        <is>
          <t>SÖDERMANLANDS LÄN</t>
        </is>
      </c>
      <c r="G463" t="inlineStr">
        <is>
          <t>ESKILSTUNA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6956-2023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46219</v>
      </c>
      <c r="F464" t="inlineStr">
        <is>
          <t>SÖDERMANLANDS LÄN</t>
        </is>
      </c>
      <c r="G464" t="inlineStr">
        <is>
          <t>ESKILSTUNA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36565-2022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44804</v>
      </c>
      <c r="E465" s="1" t="n">
        <v>46219</v>
      </c>
      <c r="F465" t="inlineStr">
        <is>
          <t>SÖDERMANLANDS LÄN</t>
        </is>
      </c>
      <c r="G465" t="inlineStr">
        <is>
          <t>ESKILSTUNA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13280-2023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45004</v>
      </c>
      <c r="E466" s="1" t="n">
        <v>46219</v>
      </c>
      <c r="F466" t="inlineStr">
        <is>
          <t>SÖDERMANLANDS LÄN</t>
        </is>
      </c>
      <c r="G466" t="inlineStr">
        <is>
          <t>ESKILSTUNA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46872-2022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44851</v>
      </c>
      <c r="E467" s="1" t="n">
        <v>46219</v>
      </c>
      <c r="F467" t="inlineStr">
        <is>
          <t>SÖDERMANLANDS LÄN</t>
        </is>
      </c>
      <c r="G467" t="inlineStr">
        <is>
          <t>ESKILSTUNA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46796-2023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45198</v>
      </c>
      <c r="E468" s="1" t="n">
        <v>46219</v>
      </c>
      <c r="F468" t="inlineStr">
        <is>
          <t>SÖDERMANLANDS LÄN</t>
        </is>
      </c>
      <c r="G468" t="inlineStr">
        <is>
          <t>ESKILSTUNA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25998-2026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46181</v>
      </c>
      <c r="E469" s="1" t="n">
        <v>46219</v>
      </c>
      <c r="F469" t="inlineStr">
        <is>
          <t>SÖDERMANLANDS LÄN</t>
        </is>
      </c>
      <c r="G469" t="inlineStr">
        <is>
          <t>ESKILSTUNA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25071-2022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44729</v>
      </c>
      <c r="E470" s="1" t="n">
        <v>46219</v>
      </c>
      <c r="F470" t="inlineStr">
        <is>
          <t>SÖDERMANLANDS LÄN</t>
        </is>
      </c>
      <c r="G470" t="inlineStr">
        <is>
          <t>ESKILSTUNA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59773-2025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45992</v>
      </c>
      <c r="E471" s="1" t="n">
        <v>46219</v>
      </c>
      <c r="F471" t="inlineStr">
        <is>
          <t>SÖDERMANLANDS LÄN</t>
        </is>
      </c>
      <c r="G471" t="inlineStr">
        <is>
          <t>ESKILSTUNA</t>
        </is>
      </c>
      <c r="I471" t="n">
        <v>10.8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59151-2022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44904</v>
      </c>
      <c r="E472" s="1" t="n">
        <v>46219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50484-2025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45945</v>
      </c>
      <c r="E473" s="1" t="n">
        <v>46219</v>
      </c>
      <c r="F473" t="inlineStr">
        <is>
          <t>SÖDERMANLANDS LÄN</t>
        </is>
      </c>
      <c r="G473" t="inlineStr">
        <is>
          <t>ESKILSTUNA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3145-2023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44946</v>
      </c>
      <c r="E474" s="1" t="n">
        <v>46219</v>
      </c>
      <c r="F474" t="inlineStr">
        <is>
          <t>SÖDERMANLANDS LÄN</t>
        </is>
      </c>
      <c r="G474" t="inlineStr">
        <is>
          <t>ESKILSTUNA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57541-2022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44889</v>
      </c>
      <c r="E475" s="1" t="n">
        <v>46219</v>
      </c>
      <c r="F475" t="inlineStr">
        <is>
          <t>SÖDERMANLANDS LÄN</t>
        </is>
      </c>
      <c r="G475" t="inlineStr">
        <is>
          <t>ESKILSTUNA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5713-2025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45694</v>
      </c>
      <c r="E476" s="1" t="n">
        <v>46219</v>
      </c>
      <c r="F476" t="inlineStr">
        <is>
          <t>SÖDERMANLANDS LÄN</t>
        </is>
      </c>
      <c r="G476" t="inlineStr">
        <is>
          <t>ESKILSTUNA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26022-2026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46219</v>
      </c>
      <c r="F477" t="inlineStr">
        <is>
          <t>SÖDERMANLANDS LÄN</t>
        </is>
      </c>
      <c r="G477" t="inlineStr">
        <is>
          <t>ESKILSTUNA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20529-2026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46140</v>
      </c>
      <c r="E478" s="1" t="n">
        <v>46219</v>
      </c>
      <c r="F478" t="inlineStr">
        <is>
          <t>SÖDERMANLANDS LÄN</t>
        </is>
      </c>
      <c r="G478" t="inlineStr">
        <is>
          <t>ESKILSTUNA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20823-2022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44701</v>
      </c>
      <c r="E479" s="1" t="n">
        <v>46219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51547-2024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46219</v>
      </c>
      <c r="F480" t="inlineStr">
        <is>
          <t>SÖDERMANLANDS LÄN</t>
        </is>
      </c>
      <c r="G480" t="inlineStr">
        <is>
          <t>ESKILSTUNA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24519-2024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46219</v>
      </c>
      <c r="F481" t="inlineStr">
        <is>
          <t>SÖDERMANLANDS LÄN</t>
        </is>
      </c>
      <c r="G481" t="inlineStr">
        <is>
          <t>ESKILSTUNA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37147-2025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46219</v>
      </c>
      <c r="F482" t="inlineStr">
        <is>
          <t>SÖDERMANLANDS LÄN</t>
        </is>
      </c>
      <c r="G482" t="inlineStr">
        <is>
          <t>ESKILSTUNA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26018-2026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46219</v>
      </c>
      <c r="F483" t="inlineStr">
        <is>
          <t>SÖDERMANLANDS LÄN</t>
        </is>
      </c>
      <c r="G483" t="inlineStr">
        <is>
          <t>ESKILSTUNA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27550-2026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46219</v>
      </c>
      <c r="F484" t="inlineStr">
        <is>
          <t>SÖDERMANLANDS LÄN</t>
        </is>
      </c>
      <c r="G484" t="inlineStr">
        <is>
          <t>ESKILSTUNA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27884-2026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46219</v>
      </c>
      <c r="F485" t="inlineStr">
        <is>
          <t>SÖDERMANLANDS LÄN</t>
        </is>
      </c>
      <c r="G485" t="inlineStr">
        <is>
          <t>ESKILSTUNA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27779-2026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46191</v>
      </c>
      <c r="E486" s="1" t="n">
        <v>46219</v>
      </c>
      <c r="F486" t="inlineStr">
        <is>
          <t>SÖDERMANLANDS LÄN</t>
        </is>
      </c>
      <c r="G486" t="inlineStr">
        <is>
          <t>ESKILSTUNA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21923-2026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46219</v>
      </c>
      <c r="F487" t="inlineStr">
        <is>
          <t>SÖDERMANLANDS LÄN</t>
        </is>
      </c>
      <c r="G487" t="inlineStr">
        <is>
          <t>ESKILSTUNA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28428-2026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46219</v>
      </c>
      <c r="F488" t="inlineStr">
        <is>
          <t>SÖDERMANLANDS LÄN</t>
        </is>
      </c>
      <c r="G488" t="inlineStr">
        <is>
          <t>ESKILSTUNA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29051-2026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46199</v>
      </c>
      <c r="E489" s="1" t="n">
        <v>46219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22759-2026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46157</v>
      </c>
      <c r="E490" s="1" t="n">
        <v>46219</v>
      </c>
      <c r="F490" t="inlineStr">
        <is>
          <t>SÖDERMANLANDS LÄN</t>
        </is>
      </c>
      <c r="G490" t="inlineStr">
        <is>
          <t>ESKILSTUNA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22767-2026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46157</v>
      </c>
      <c r="E491" s="1" t="n">
        <v>46219</v>
      </c>
      <c r="F491" t="inlineStr">
        <is>
          <t>SÖDERMANLANDS LÄN</t>
        </is>
      </c>
      <c r="G491" t="inlineStr">
        <is>
          <t>ESKILSTUNA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29053-2026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46199</v>
      </c>
      <c r="E492" s="1" t="n">
        <v>46219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46219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46219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46219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46219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46219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46219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46219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46219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46219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46219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46219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46219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46219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2026-07-16T01:29:38Z</dcterms:created>
  <dcterms:modified xmlns:dcterms="http://purl.org/dc/terms/" xmlns:xsi="http://www.w3.org/2001/XMLSchema-instance" xsi:type="dcterms:W3CDTF">2026-07-16T01:29:38Z</dcterms:modified>
</cp:coreProperties>
</file>