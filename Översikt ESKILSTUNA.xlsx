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45353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45353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45353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45353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45353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45353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45353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45353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45353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45353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45353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45353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45353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45353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45353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45353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45353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45353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45353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45353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45353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45353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45353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45353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45353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45353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38423-2020</t>
        </is>
      </c>
      <c r="B66" s="1" t="n">
        <v>44060</v>
      </c>
      <c r="C66" s="1" t="n">
        <v>45353</v>
      </c>
      <c r="D66" t="inlineStr">
        <is>
          <t>SÖDERMANLANDS LÄN</t>
        </is>
      </c>
      <c r="E66" t="inlineStr">
        <is>
          <t>ESKILSTUNA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HYPERLINK("https://klasma.github.io/Logging_0484/artfynd/A 38423-2020 artfynd.xlsx", "A 38423-2020")</f>
        <v/>
      </c>
      <c r="T66">
        <f>HYPERLINK("https://klasma.github.io/Logging_0484/kartor/A 38423-2020 karta.png", "A 38423-2020")</f>
        <v/>
      </c>
      <c r="V66">
        <f>HYPERLINK("https://klasma.github.io/Logging_0484/klagomål/A 38423-2020 FSC-klagomål.docx", "A 38423-2020")</f>
        <v/>
      </c>
      <c r="W66">
        <f>HYPERLINK("https://klasma.github.io/Logging_0484/klagomålsmail/A 38423-2020 FSC-klagomål mail.docx", "A 38423-2020")</f>
        <v/>
      </c>
      <c r="X66">
        <f>HYPERLINK("https://klasma.github.io/Logging_0484/tillsyn/A 38423-2020 tillsynsbegäran.docx", "A 38423-2020")</f>
        <v/>
      </c>
      <c r="Y66">
        <f>HYPERLINK("https://klasma.github.io/Logging_0484/tillsynsmail/A 38423-2020 tillsynsbegäran mail.docx", "A 38423-2020")</f>
        <v/>
      </c>
    </row>
    <row r="67" ht="15" customHeight="1">
      <c r="A67" t="inlineStr">
        <is>
          <t>A 56228-2020</t>
        </is>
      </c>
      <c r="B67" s="1" t="n">
        <v>44134</v>
      </c>
      <c r="C67" s="1" t="n">
        <v>45353</v>
      </c>
      <c r="D67" t="inlineStr">
        <is>
          <t>SÖDERMANLANDS LÄN</t>
        </is>
      </c>
      <c r="E67" t="inlineStr">
        <is>
          <t>ESKILSTUNA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HYPERLINK("https://klasma.github.io/Logging_0484/artfynd/A 56228-2020 artfynd.xlsx", "A 56228-2020")</f>
        <v/>
      </c>
      <c r="T67">
        <f>HYPERLINK("https://klasma.github.io/Logging_0484/kartor/A 56228-2020 karta.png", "A 56228-2020")</f>
        <v/>
      </c>
      <c r="V67">
        <f>HYPERLINK("https://klasma.github.io/Logging_0484/klagomål/A 56228-2020 FSC-klagomål.docx", "A 56228-2020")</f>
        <v/>
      </c>
      <c r="W67">
        <f>HYPERLINK("https://klasma.github.io/Logging_0484/klagomålsmail/A 56228-2020 FSC-klagomål mail.docx", "A 56228-2020")</f>
        <v/>
      </c>
      <c r="X67">
        <f>HYPERLINK("https://klasma.github.io/Logging_0484/tillsyn/A 56228-2020 tillsynsbegäran.docx", "A 56228-2020")</f>
        <v/>
      </c>
      <c r="Y67">
        <f>HYPERLINK("https://klasma.github.io/Logging_0484/tillsynsmail/A 56228-2020 tillsynsbegäran mail.docx", "A 56228-2020")</f>
        <v/>
      </c>
    </row>
    <row r="68" ht="15" customHeight="1">
      <c r="A68" t="inlineStr">
        <is>
          <t>A 33759-2021</t>
        </is>
      </c>
      <c r="B68" s="1" t="n">
        <v>44378</v>
      </c>
      <c r="C68" s="1" t="n">
        <v>45353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33759-2021 artfynd.xlsx", "A 33759-2021")</f>
        <v/>
      </c>
      <c r="T68">
        <f>HYPERLINK("https://klasma.github.io/Logging_0484/kartor/A 33759-2021 karta.png", "A 33759-2021")</f>
        <v/>
      </c>
      <c r="V68">
        <f>HYPERLINK("https://klasma.github.io/Logging_0484/klagomål/A 33759-2021 FSC-klagomål.docx", "A 33759-2021")</f>
        <v/>
      </c>
      <c r="W68">
        <f>HYPERLINK("https://klasma.github.io/Logging_0484/klagomålsmail/A 33759-2021 FSC-klagomål mail.docx", "A 33759-2021")</f>
        <v/>
      </c>
      <c r="X68">
        <f>HYPERLINK("https://klasma.github.io/Logging_0484/tillsyn/A 33759-2021 tillsynsbegäran.docx", "A 33759-2021")</f>
        <v/>
      </c>
      <c r="Y68">
        <f>HYPERLINK("https://klasma.github.io/Logging_0484/tillsynsmail/A 33759-2021 tillsynsbegäran mail.docx", "A 33759-2021")</f>
        <v/>
      </c>
    </row>
    <row r="69" ht="15" customHeight="1">
      <c r="A69" t="inlineStr">
        <is>
          <t>A 53206-2021</t>
        </is>
      </c>
      <c r="B69" s="1" t="n">
        <v>44468</v>
      </c>
      <c r="C69" s="1" t="n">
        <v>45353</v>
      </c>
      <c r="D69" t="inlineStr">
        <is>
          <t>SÖDERMANLANDS LÄN</t>
        </is>
      </c>
      <c r="E69" t="inlineStr">
        <is>
          <t>ESKILSTUNA</t>
        </is>
      </c>
      <c r="G69" t="n">
        <v>12.8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Zontaggsvamp</t>
        </is>
      </c>
      <c r="S69">
        <f>HYPERLINK("https://klasma.github.io/Logging_0484/artfynd/A 53206-2021 artfynd.xlsx", "A 53206-2021")</f>
        <v/>
      </c>
      <c r="T69">
        <f>HYPERLINK("https://klasma.github.io/Logging_0484/kartor/A 53206-2021 karta.png", "A 53206-2021")</f>
        <v/>
      </c>
      <c r="V69">
        <f>HYPERLINK("https://klasma.github.io/Logging_0484/klagomål/A 53206-2021 FSC-klagomål.docx", "A 53206-2021")</f>
        <v/>
      </c>
      <c r="W69">
        <f>HYPERLINK("https://klasma.github.io/Logging_0484/klagomålsmail/A 53206-2021 FSC-klagomål mail.docx", "A 53206-2021")</f>
        <v/>
      </c>
      <c r="X69">
        <f>HYPERLINK("https://klasma.github.io/Logging_0484/tillsyn/A 53206-2021 tillsynsbegäran.docx", "A 53206-2021")</f>
        <v/>
      </c>
      <c r="Y69">
        <f>HYPERLINK("https://klasma.github.io/Logging_0484/tillsynsmail/A 53206-2021 tillsynsbegäran mail.docx", "A 53206-2021")</f>
        <v/>
      </c>
    </row>
    <row r="70" ht="15" customHeight="1">
      <c r="A70" t="inlineStr">
        <is>
          <t>A 62141-2021</t>
        </is>
      </c>
      <c r="B70" s="1" t="n">
        <v>44502</v>
      </c>
      <c r="C70" s="1" t="n">
        <v>45353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13.7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HYPERLINK("https://klasma.github.io/Logging_0484/artfynd/A 62141-2021 artfynd.xlsx", "A 62141-2021")</f>
        <v/>
      </c>
      <c r="T70">
        <f>HYPERLINK("https://klasma.github.io/Logging_0484/kartor/A 62141-2021 karta.png", "A 62141-2021")</f>
        <v/>
      </c>
      <c r="V70">
        <f>HYPERLINK("https://klasma.github.io/Logging_0484/klagomål/A 62141-2021 FSC-klagomål.docx", "A 62141-2021")</f>
        <v/>
      </c>
      <c r="W70">
        <f>HYPERLINK("https://klasma.github.io/Logging_0484/klagomålsmail/A 62141-2021 FSC-klagomål mail.docx", "A 62141-2021")</f>
        <v/>
      </c>
      <c r="X70">
        <f>HYPERLINK("https://klasma.github.io/Logging_0484/tillsyn/A 62141-2021 tillsynsbegäran.docx", "A 62141-2021")</f>
        <v/>
      </c>
      <c r="Y70">
        <f>HYPERLINK("https://klasma.github.io/Logging_0484/tillsynsmail/A 62141-2021 tillsynsbegäran mail.docx", "A 62141-2021")</f>
        <v/>
      </c>
    </row>
    <row r="71" ht="15" customHeight="1">
      <c r="A71" t="inlineStr">
        <is>
          <t>A 65380-2021</t>
        </is>
      </c>
      <c r="B71" s="1" t="n">
        <v>44515</v>
      </c>
      <c r="C71" s="1" t="n">
        <v>45353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65380-2021 artfynd.xlsx", "A 65380-2021")</f>
        <v/>
      </c>
      <c r="T71">
        <f>HYPERLINK("https://klasma.github.io/Logging_0484/kartor/A 65380-2021 karta.png", "A 65380-2021")</f>
        <v/>
      </c>
      <c r="V71">
        <f>HYPERLINK("https://klasma.github.io/Logging_0484/klagomål/A 65380-2021 FSC-klagomål.docx", "A 65380-2021")</f>
        <v/>
      </c>
      <c r="W71">
        <f>HYPERLINK("https://klasma.github.io/Logging_0484/klagomålsmail/A 65380-2021 FSC-klagomål mail.docx", "A 65380-2021")</f>
        <v/>
      </c>
      <c r="X71">
        <f>HYPERLINK("https://klasma.github.io/Logging_0484/tillsyn/A 65380-2021 tillsynsbegäran.docx", "A 65380-2021")</f>
        <v/>
      </c>
      <c r="Y71">
        <f>HYPERLINK("https://klasma.github.io/Logging_0484/tillsynsmail/A 65380-2021 tillsynsbegäran mail.docx", "A 65380-2021")</f>
        <v/>
      </c>
    </row>
    <row r="72" ht="15" customHeight="1">
      <c r="A72" t="inlineStr">
        <is>
          <t>A 3162-2022</t>
        </is>
      </c>
      <c r="B72" s="1" t="n">
        <v>44582</v>
      </c>
      <c r="C72" s="1" t="n">
        <v>45353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HYPERLINK("https://klasma.github.io/Logging_0484/artfynd/A 3162-2022 artfynd.xlsx", "A 3162-2022")</f>
        <v/>
      </c>
      <c r="T72">
        <f>HYPERLINK("https://klasma.github.io/Logging_0484/kartor/A 3162-2022 karta.png", "A 3162-2022")</f>
        <v/>
      </c>
      <c r="V72">
        <f>HYPERLINK("https://klasma.github.io/Logging_0484/klagomål/A 3162-2022 FSC-klagomål.docx", "A 3162-2022")</f>
        <v/>
      </c>
      <c r="W72">
        <f>HYPERLINK("https://klasma.github.io/Logging_0484/klagomålsmail/A 3162-2022 FSC-klagomål mail.docx", "A 3162-2022")</f>
        <v/>
      </c>
      <c r="X72">
        <f>HYPERLINK("https://klasma.github.io/Logging_0484/tillsyn/A 3162-2022 tillsynsbegäran.docx", "A 3162-2022")</f>
        <v/>
      </c>
      <c r="Y72">
        <f>HYPERLINK("https://klasma.github.io/Logging_0484/tillsynsmail/A 3162-2022 tillsynsbegäran mail.docx", "A 3162-2022")</f>
        <v/>
      </c>
    </row>
    <row r="73" ht="15" customHeight="1">
      <c r="A73" t="inlineStr">
        <is>
          <t>A 15960-2022</t>
        </is>
      </c>
      <c r="B73" s="1" t="n">
        <v>44664</v>
      </c>
      <c r="C73" s="1" t="n">
        <v>45353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11.9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Scharlakansvårskål agg.</t>
        </is>
      </c>
      <c r="S73">
        <f>HYPERLINK("https://klasma.github.io/Logging_0484/artfynd/A 15960-2022 artfynd.xlsx", "A 15960-2022")</f>
        <v/>
      </c>
      <c r="T73">
        <f>HYPERLINK("https://klasma.github.io/Logging_0484/kartor/A 15960-2022 karta.png", "A 15960-2022")</f>
        <v/>
      </c>
      <c r="V73">
        <f>HYPERLINK("https://klasma.github.io/Logging_0484/klagomål/A 15960-2022 FSC-klagomål.docx", "A 15960-2022")</f>
        <v/>
      </c>
      <c r="W73">
        <f>HYPERLINK("https://klasma.github.io/Logging_0484/klagomålsmail/A 15960-2022 FSC-klagomål mail.docx", "A 15960-2022")</f>
        <v/>
      </c>
      <c r="X73">
        <f>HYPERLINK("https://klasma.github.io/Logging_0484/tillsyn/A 15960-2022 tillsynsbegäran.docx", "A 15960-2022")</f>
        <v/>
      </c>
      <c r="Y73">
        <f>HYPERLINK("https://klasma.github.io/Logging_0484/tillsynsmail/A 15960-2022 tillsynsbegäran mail.docx", "A 15960-2022")</f>
        <v/>
      </c>
    </row>
    <row r="74" ht="15" customHeight="1">
      <c r="A74" t="inlineStr">
        <is>
          <t>A 36140-2022</t>
        </is>
      </c>
      <c r="B74" s="1" t="n">
        <v>44803</v>
      </c>
      <c r="C74" s="1" t="n">
        <v>45353</v>
      </c>
      <c r="D74" t="inlineStr">
        <is>
          <t>SÖDERMANLANDS LÄN</t>
        </is>
      </c>
      <c r="E74" t="inlineStr">
        <is>
          <t>ESKILSTUNA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36140-2022 artfynd.xlsx", "A 36140-2022")</f>
        <v/>
      </c>
      <c r="T74">
        <f>HYPERLINK("https://klasma.github.io/Logging_0484/kartor/A 36140-2022 karta.png", "A 36140-2022")</f>
        <v/>
      </c>
      <c r="V74">
        <f>HYPERLINK("https://klasma.github.io/Logging_0484/klagomål/A 36140-2022 FSC-klagomål.docx", "A 36140-2022")</f>
        <v/>
      </c>
      <c r="W74">
        <f>HYPERLINK("https://klasma.github.io/Logging_0484/klagomålsmail/A 36140-2022 FSC-klagomål mail.docx", "A 36140-2022")</f>
        <v/>
      </c>
      <c r="X74">
        <f>HYPERLINK("https://klasma.github.io/Logging_0484/tillsyn/A 36140-2022 tillsynsbegäran.docx", "A 36140-2022")</f>
        <v/>
      </c>
      <c r="Y74">
        <f>HYPERLINK("https://klasma.github.io/Logging_0484/tillsynsmail/A 36140-2022 tillsynsbegäran mail.docx", "A 36140-2022")</f>
        <v/>
      </c>
    </row>
    <row r="75" ht="15" customHeight="1">
      <c r="A75" t="inlineStr">
        <is>
          <t>A 36155-2022</t>
        </is>
      </c>
      <c r="B75" s="1" t="n">
        <v>44803</v>
      </c>
      <c r="C75" s="1" t="n">
        <v>45353</v>
      </c>
      <c r="D75" t="inlineStr">
        <is>
          <t>SÖDERMANLANDS LÄN</t>
        </is>
      </c>
      <c r="E75" t="inlineStr">
        <is>
          <t>ESKILSTUNA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36155-2022 artfynd.xlsx", "A 36155-2022")</f>
        <v/>
      </c>
      <c r="T75">
        <f>HYPERLINK("https://klasma.github.io/Logging_0484/kartor/A 36155-2022 karta.png", "A 36155-2022")</f>
        <v/>
      </c>
      <c r="V75">
        <f>HYPERLINK("https://klasma.github.io/Logging_0484/klagomål/A 36155-2022 FSC-klagomål.docx", "A 36155-2022")</f>
        <v/>
      </c>
      <c r="W75">
        <f>HYPERLINK("https://klasma.github.io/Logging_0484/klagomålsmail/A 36155-2022 FSC-klagomål mail.docx", "A 36155-2022")</f>
        <v/>
      </c>
      <c r="X75">
        <f>HYPERLINK("https://klasma.github.io/Logging_0484/tillsyn/A 36155-2022 tillsynsbegäran.docx", "A 36155-2022")</f>
        <v/>
      </c>
      <c r="Y75">
        <f>HYPERLINK("https://klasma.github.io/Logging_0484/tillsynsmail/A 36155-2022 tillsynsbegäran mail.docx", "A 36155-2022")</f>
        <v/>
      </c>
    </row>
    <row r="76" ht="15" customHeight="1">
      <c r="A76" t="inlineStr">
        <is>
          <t>A 43547-2022</t>
        </is>
      </c>
      <c r="B76" s="1" t="n">
        <v>44834</v>
      </c>
      <c r="C76" s="1" t="n">
        <v>45353</v>
      </c>
      <c r="D76" t="inlineStr">
        <is>
          <t>SÖDERMANLANDS LÄN</t>
        </is>
      </c>
      <c r="E76" t="inlineStr">
        <is>
          <t>ESKILSTUNA</t>
        </is>
      </c>
      <c r="G76" t="n">
        <v>3.2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HYPERLINK("https://klasma.github.io/Logging_0484/artfynd/A 43547-2022 artfynd.xlsx", "A 43547-2022")</f>
        <v/>
      </c>
      <c r="T76">
        <f>HYPERLINK("https://klasma.github.io/Logging_0484/kartor/A 43547-2022 karta.png", "A 43547-2022")</f>
        <v/>
      </c>
      <c r="U76">
        <f>HYPERLINK("https://klasma.github.io/Logging_0484/knärot/A 43547-2022 karta knärot.png", "A 43547-2022")</f>
        <v/>
      </c>
      <c r="V76">
        <f>HYPERLINK("https://klasma.github.io/Logging_0484/klagomål/A 43547-2022 FSC-klagomål.docx", "A 43547-2022")</f>
        <v/>
      </c>
      <c r="W76">
        <f>HYPERLINK("https://klasma.github.io/Logging_0484/klagomålsmail/A 43547-2022 FSC-klagomål mail.docx", "A 43547-2022")</f>
        <v/>
      </c>
      <c r="X76">
        <f>HYPERLINK("https://klasma.github.io/Logging_0484/tillsyn/A 43547-2022 tillsynsbegäran.docx", "A 43547-2022")</f>
        <v/>
      </c>
      <c r="Y76">
        <f>HYPERLINK("https://klasma.github.io/Logging_0484/tillsynsmail/A 43547-2022 tillsynsbegäran mail.docx", "A 43547-2022")</f>
        <v/>
      </c>
    </row>
    <row r="77" ht="15" customHeight="1">
      <c r="A77" t="inlineStr">
        <is>
          <t>A 44664-2022</t>
        </is>
      </c>
      <c r="B77" s="1" t="n">
        <v>44840</v>
      </c>
      <c r="C77" s="1" t="n">
        <v>45353</v>
      </c>
      <c r="D77" t="inlineStr">
        <is>
          <t>SÖDERMANLANDS LÄN</t>
        </is>
      </c>
      <c r="E77" t="inlineStr">
        <is>
          <t>ESKILSTUNA</t>
        </is>
      </c>
      <c r="G77" t="n">
        <v>20.8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44664-2022 artfynd.xlsx", "A 44664-2022")</f>
        <v/>
      </c>
      <c r="T77">
        <f>HYPERLINK("https://klasma.github.io/Logging_0484/kartor/A 44664-2022 karta.png", "A 44664-2022")</f>
        <v/>
      </c>
      <c r="U77">
        <f>HYPERLINK("https://klasma.github.io/Logging_0484/knärot/A 44664-2022 karta knärot.png", "A 44664-2022")</f>
        <v/>
      </c>
      <c r="V77">
        <f>HYPERLINK("https://klasma.github.io/Logging_0484/klagomål/A 44664-2022 FSC-klagomål.docx", "A 44664-2022")</f>
        <v/>
      </c>
      <c r="W77">
        <f>HYPERLINK("https://klasma.github.io/Logging_0484/klagomålsmail/A 44664-2022 FSC-klagomål mail.docx", "A 44664-2022")</f>
        <v/>
      </c>
      <c r="X77">
        <f>HYPERLINK("https://klasma.github.io/Logging_0484/tillsyn/A 44664-2022 tillsynsbegäran.docx", "A 44664-2022")</f>
        <v/>
      </c>
      <c r="Y77">
        <f>HYPERLINK("https://klasma.github.io/Logging_0484/tillsynsmail/A 44664-2022 tillsynsbegäran mail.docx", "A 44664-2022")</f>
        <v/>
      </c>
    </row>
    <row r="78" ht="15" customHeight="1">
      <c r="A78" t="inlineStr">
        <is>
          <t>A 47648-2022</t>
        </is>
      </c>
      <c r="B78" s="1" t="n">
        <v>44854</v>
      </c>
      <c r="C78" s="1" t="n">
        <v>45353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HYPERLINK("https://klasma.github.io/Logging_0484/artfynd/A 47648-2022 artfynd.xlsx", "A 47648-2022")</f>
        <v/>
      </c>
      <c r="T78">
        <f>HYPERLINK("https://klasma.github.io/Logging_0484/kartor/A 47648-2022 karta.png", "A 47648-2022")</f>
        <v/>
      </c>
      <c r="V78">
        <f>HYPERLINK("https://klasma.github.io/Logging_0484/klagomål/A 47648-2022 FSC-klagomål.docx", "A 47648-2022")</f>
        <v/>
      </c>
      <c r="W78">
        <f>HYPERLINK("https://klasma.github.io/Logging_0484/klagomålsmail/A 47648-2022 FSC-klagomål mail.docx", "A 47648-2022")</f>
        <v/>
      </c>
      <c r="X78">
        <f>HYPERLINK("https://klasma.github.io/Logging_0484/tillsyn/A 47648-2022 tillsynsbegäran.docx", "A 47648-2022")</f>
        <v/>
      </c>
      <c r="Y78">
        <f>HYPERLINK("https://klasma.github.io/Logging_0484/tillsynsmail/A 47648-2022 tillsynsbegäran mail.docx", "A 47648-2022")</f>
        <v/>
      </c>
    </row>
    <row r="79" ht="15" customHeight="1">
      <c r="A79" t="inlineStr">
        <is>
          <t>A 61987-2022</t>
        </is>
      </c>
      <c r="B79" s="1" t="n">
        <v>44918</v>
      </c>
      <c r="C79" s="1" t="n">
        <v>45353</v>
      </c>
      <c r="D79" t="inlineStr">
        <is>
          <t>SÖDERMANLANDS LÄN</t>
        </is>
      </c>
      <c r="E79" t="inlineStr">
        <is>
          <t>ESKILSTUNA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HYPERLINK("https://klasma.github.io/Logging_0484/artfynd/A 61987-2022 artfynd.xlsx", "A 61987-2022")</f>
        <v/>
      </c>
      <c r="T79">
        <f>HYPERLINK("https://klasma.github.io/Logging_0484/kartor/A 61987-2022 karta.png", "A 61987-2022")</f>
        <v/>
      </c>
      <c r="V79">
        <f>HYPERLINK("https://klasma.github.io/Logging_0484/klagomål/A 61987-2022 FSC-klagomål.docx", "A 61987-2022")</f>
        <v/>
      </c>
      <c r="W79">
        <f>HYPERLINK("https://klasma.github.io/Logging_0484/klagomålsmail/A 61987-2022 FSC-klagomål mail.docx", "A 61987-2022")</f>
        <v/>
      </c>
      <c r="X79">
        <f>HYPERLINK("https://klasma.github.io/Logging_0484/tillsyn/A 61987-2022 tillsynsbegäran.docx", "A 61987-2022")</f>
        <v/>
      </c>
      <c r="Y79">
        <f>HYPERLINK("https://klasma.github.io/Logging_0484/tillsynsmail/A 61987-2022 tillsynsbegäran mail.docx", "A 61987-2022")</f>
        <v/>
      </c>
    </row>
    <row r="80" ht="15" customHeight="1">
      <c r="A80" t="inlineStr">
        <is>
          <t>A 9645-2023</t>
        </is>
      </c>
      <c r="B80" s="1" t="n">
        <v>44984</v>
      </c>
      <c r="C80" s="1" t="n">
        <v>45353</v>
      </c>
      <c r="D80" t="inlineStr">
        <is>
          <t>SÖDERMANLANDS LÄN</t>
        </is>
      </c>
      <c r="E80" t="inlineStr">
        <is>
          <t>ESKILSTUNA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HYPERLINK("https://klasma.github.io/Logging_0484/artfynd/A 9645-2023 artfynd.xlsx", "A 9645-2023")</f>
        <v/>
      </c>
      <c r="T80">
        <f>HYPERLINK("https://klasma.github.io/Logging_0484/kartor/A 9645-2023 karta.png", "A 9645-2023")</f>
        <v/>
      </c>
      <c r="V80">
        <f>HYPERLINK("https://klasma.github.io/Logging_0484/klagomål/A 9645-2023 FSC-klagomål.docx", "A 9645-2023")</f>
        <v/>
      </c>
      <c r="W80">
        <f>HYPERLINK("https://klasma.github.io/Logging_0484/klagomålsmail/A 9645-2023 FSC-klagomål mail.docx", "A 9645-2023")</f>
        <v/>
      </c>
      <c r="X80">
        <f>HYPERLINK("https://klasma.github.io/Logging_0484/tillsyn/A 9645-2023 tillsynsbegäran.docx", "A 9645-2023")</f>
        <v/>
      </c>
      <c r="Y80">
        <f>HYPERLINK("https://klasma.github.io/Logging_0484/tillsynsmail/A 9645-2023 tillsynsbegäran mail.docx", "A 9645-2023")</f>
        <v/>
      </c>
      <c r="Z80">
        <f>HYPERLINK("https://klasma.github.io/Logging_0484/fåglar/A 9645-2023 prioriterade fågelarter.docx", "A 9645-2023")</f>
        <v/>
      </c>
    </row>
    <row r="81" ht="15" customHeight="1">
      <c r="A81" t="inlineStr">
        <is>
          <t>A 14327-2023</t>
        </is>
      </c>
      <c r="B81" s="1" t="n">
        <v>45012</v>
      </c>
      <c r="C81" s="1" t="n">
        <v>45353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Kommuner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14327-2023 artfynd.xlsx", "A 14327-2023")</f>
        <v/>
      </c>
      <c r="T81">
        <f>HYPERLINK("https://klasma.github.io/Logging_0484/kartor/A 14327-2023 karta.png", "A 14327-2023")</f>
        <v/>
      </c>
      <c r="V81">
        <f>HYPERLINK("https://klasma.github.io/Logging_0484/klagomål/A 14327-2023 FSC-klagomål.docx", "A 14327-2023")</f>
        <v/>
      </c>
      <c r="W81">
        <f>HYPERLINK("https://klasma.github.io/Logging_0484/klagomålsmail/A 14327-2023 FSC-klagomål mail.docx", "A 14327-2023")</f>
        <v/>
      </c>
      <c r="X81">
        <f>HYPERLINK("https://klasma.github.io/Logging_0484/tillsyn/A 14327-2023 tillsynsbegäran.docx", "A 14327-2023")</f>
        <v/>
      </c>
      <c r="Y81">
        <f>HYPERLINK("https://klasma.github.io/Logging_0484/tillsynsmail/A 14327-2023 tillsynsbegäran mail.docx", "A 14327-2023")</f>
        <v/>
      </c>
    </row>
    <row r="82" ht="15" customHeight="1">
      <c r="A82" t="inlineStr">
        <is>
          <t>A 19627-2023</t>
        </is>
      </c>
      <c r="B82" s="1" t="n">
        <v>45050</v>
      </c>
      <c r="C82" s="1" t="n">
        <v>45353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HYPERLINK("https://klasma.github.io/Logging_0484/artfynd/A 19627-2023 artfynd.xlsx", "A 19627-2023")</f>
        <v/>
      </c>
      <c r="T82">
        <f>HYPERLINK("https://klasma.github.io/Logging_0484/kartor/A 19627-2023 karta.png", "A 19627-2023")</f>
        <v/>
      </c>
      <c r="V82">
        <f>HYPERLINK("https://klasma.github.io/Logging_0484/klagomål/A 19627-2023 FSC-klagomål.docx", "A 19627-2023")</f>
        <v/>
      </c>
      <c r="W82">
        <f>HYPERLINK("https://klasma.github.io/Logging_0484/klagomålsmail/A 19627-2023 FSC-klagomål mail.docx", "A 19627-2023")</f>
        <v/>
      </c>
      <c r="X82">
        <f>HYPERLINK("https://klasma.github.io/Logging_0484/tillsyn/A 19627-2023 tillsynsbegäran.docx", "A 19627-2023")</f>
        <v/>
      </c>
      <c r="Y82">
        <f>HYPERLINK("https://klasma.github.io/Logging_0484/tillsynsmail/A 19627-2023 tillsynsbegäran mail.docx", "A 19627-2023")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45353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26114-2023</t>
        </is>
      </c>
      <c r="B84" s="1" t="n">
        <v>45091</v>
      </c>
      <c r="C84" s="1" t="n">
        <v>45353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HYPERLINK("https://klasma.github.io/Logging_0484/artfynd/A 26114-2023 artfynd.xlsx", "A 26114-2023")</f>
        <v/>
      </c>
      <c r="T84">
        <f>HYPERLINK("https://klasma.github.io/Logging_0484/kartor/A 26114-2023 karta.png", "A 26114-2023")</f>
        <v/>
      </c>
      <c r="V84">
        <f>HYPERLINK("https://klasma.github.io/Logging_0484/klagomål/A 26114-2023 FSC-klagomål.docx", "A 26114-2023")</f>
        <v/>
      </c>
      <c r="W84">
        <f>HYPERLINK("https://klasma.github.io/Logging_0484/klagomålsmail/A 26114-2023 FSC-klagomål mail.docx", "A 26114-2023")</f>
        <v/>
      </c>
      <c r="X84">
        <f>HYPERLINK("https://klasma.github.io/Logging_0484/tillsyn/A 26114-2023 tillsynsbegäran.docx", "A 26114-2023")</f>
        <v/>
      </c>
      <c r="Y84">
        <f>HYPERLINK("https://klasma.github.io/Logging_0484/tillsynsmail/A 26114-2023 tillsynsbegäran mail.docx", "A 26114-2023")</f>
        <v/>
      </c>
    </row>
    <row r="85" ht="15" customHeight="1">
      <c r="A85" t="inlineStr">
        <is>
          <t>A 26133-2023</t>
        </is>
      </c>
      <c r="B85" s="1" t="n">
        <v>45091</v>
      </c>
      <c r="C85" s="1" t="n">
        <v>45353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26133-2023 artfynd.xlsx", "A 26133-2023")</f>
        <v/>
      </c>
      <c r="T85">
        <f>HYPERLINK("https://klasma.github.io/Logging_0484/kartor/A 26133-2023 karta.png", "A 26133-2023")</f>
        <v/>
      </c>
      <c r="V85">
        <f>HYPERLINK("https://klasma.github.io/Logging_0484/klagomål/A 26133-2023 FSC-klagomål.docx", "A 26133-2023")</f>
        <v/>
      </c>
      <c r="W85">
        <f>HYPERLINK("https://klasma.github.io/Logging_0484/klagomålsmail/A 26133-2023 FSC-klagomål mail.docx", "A 26133-2023")</f>
        <v/>
      </c>
      <c r="X85">
        <f>HYPERLINK("https://klasma.github.io/Logging_0484/tillsyn/A 26133-2023 tillsynsbegäran.docx", "A 26133-2023")</f>
        <v/>
      </c>
      <c r="Y85">
        <f>HYPERLINK("https://klasma.github.io/Logging_0484/tillsynsmail/A 26133-2023 tillsynsbegäran mail.docx", "A 26133-2023")</f>
        <v/>
      </c>
    </row>
    <row r="86" ht="15" customHeight="1">
      <c r="A86" t="inlineStr">
        <is>
          <t>A 26099-2023</t>
        </is>
      </c>
      <c r="B86" s="1" t="n">
        <v>45091</v>
      </c>
      <c r="C86" s="1" t="n">
        <v>45353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1.2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HYPERLINK("https://klasma.github.io/Logging_0484/artfynd/A 26099-2023 artfynd.xlsx", "A 26099-2023")</f>
        <v/>
      </c>
      <c r="T86">
        <f>HYPERLINK("https://klasma.github.io/Logging_0484/kartor/A 26099-2023 karta.png", "A 26099-2023")</f>
        <v/>
      </c>
      <c r="V86">
        <f>HYPERLINK("https://klasma.github.io/Logging_0484/klagomål/A 26099-2023 FSC-klagomål.docx", "A 26099-2023")</f>
        <v/>
      </c>
      <c r="W86">
        <f>HYPERLINK("https://klasma.github.io/Logging_0484/klagomålsmail/A 26099-2023 FSC-klagomål mail.docx", "A 26099-2023")</f>
        <v/>
      </c>
      <c r="X86">
        <f>HYPERLINK("https://klasma.github.io/Logging_0484/tillsyn/A 26099-2023 tillsynsbegäran.docx", "A 26099-2023")</f>
        <v/>
      </c>
      <c r="Y86">
        <f>HYPERLINK("https://klasma.github.io/Logging_0484/tillsynsmail/A 26099-2023 tillsynsbegäran mail.docx", "A 26099-2023")</f>
        <v/>
      </c>
      <c r="Z86">
        <f>HYPERLINK("https://klasma.github.io/Logging_0484/fåglar/A 26099-2023 prioriterade fågelarter.docx", "A 26099-2023")</f>
        <v/>
      </c>
    </row>
    <row r="87" ht="15" customHeight="1">
      <c r="A87" t="inlineStr">
        <is>
          <t>A 27580-2023</t>
        </is>
      </c>
      <c r="B87" s="1" t="n">
        <v>45097</v>
      </c>
      <c r="C87" s="1" t="n">
        <v>45353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HYPERLINK("https://klasma.github.io/Logging_0484/artfynd/A 27580-2023 artfynd.xlsx", "A 27580-2023")</f>
        <v/>
      </c>
      <c r="T87">
        <f>HYPERLINK("https://klasma.github.io/Logging_0484/kartor/A 27580-2023 karta.png", "A 27580-2023")</f>
        <v/>
      </c>
      <c r="V87">
        <f>HYPERLINK("https://klasma.github.io/Logging_0484/klagomål/A 27580-2023 FSC-klagomål.docx", "A 27580-2023")</f>
        <v/>
      </c>
      <c r="W87">
        <f>HYPERLINK("https://klasma.github.io/Logging_0484/klagomålsmail/A 27580-2023 FSC-klagomål mail.docx", "A 27580-2023")</f>
        <v/>
      </c>
      <c r="X87">
        <f>HYPERLINK("https://klasma.github.io/Logging_0484/tillsyn/A 27580-2023 tillsynsbegäran.docx", "A 27580-2023")</f>
        <v/>
      </c>
      <c r="Y87">
        <f>HYPERLINK("https://klasma.github.io/Logging_0484/tillsynsmail/A 27580-2023 tillsynsbegäran mail.docx", "A 27580-2023")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45353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34717-2023</t>
        </is>
      </c>
      <c r="B89" s="1" t="n">
        <v>45141</v>
      </c>
      <c r="C89" s="1" t="n">
        <v>45353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Triplax rufipes</t>
        </is>
      </c>
      <c r="S89">
        <f>HYPERLINK("https://klasma.github.io/Logging_0484/artfynd/A 34717-2023 artfynd.xlsx", "A 34717-2023")</f>
        <v/>
      </c>
      <c r="T89">
        <f>HYPERLINK("https://klasma.github.io/Logging_0484/kartor/A 34717-2023 karta.png", "A 34717-2023")</f>
        <v/>
      </c>
      <c r="V89">
        <f>HYPERLINK("https://klasma.github.io/Logging_0484/klagomål/A 34717-2023 FSC-klagomål.docx", "A 34717-2023")</f>
        <v/>
      </c>
      <c r="W89">
        <f>HYPERLINK("https://klasma.github.io/Logging_0484/klagomålsmail/A 34717-2023 FSC-klagomål mail.docx", "A 34717-2023")</f>
        <v/>
      </c>
      <c r="X89">
        <f>HYPERLINK("https://klasma.github.io/Logging_0484/tillsyn/A 34717-2023 tillsynsbegäran.docx", "A 34717-2023")</f>
        <v/>
      </c>
      <c r="Y89">
        <f>HYPERLINK("https://klasma.github.io/Logging_0484/tillsynsmail/A 34717-2023 tillsynsbegäran mail.docx", "A 34717-2023")</f>
        <v/>
      </c>
    </row>
    <row r="90" ht="15" customHeight="1">
      <c r="A90" t="inlineStr">
        <is>
          <t>A 46596-2023</t>
        </is>
      </c>
      <c r="B90" s="1" t="n">
        <v>45198</v>
      </c>
      <c r="C90" s="1" t="n">
        <v>45353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46596-2023 artfynd.xlsx", "A 46596-2023")</f>
        <v/>
      </c>
      <c r="T90">
        <f>HYPERLINK("https://klasma.github.io/Logging_0484/kartor/A 46596-2023 karta.png", "A 46596-2023")</f>
        <v/>
      </c>
      <c r="V90">
        <f>HYPERLINK("https://klasma.github.io/Logging_0484/klagomål/A 46596-2023 FSC-klagomål.docx", "A 46596-2023")</f>
        <v/>
      </c>
      <c r="W90">
        <f>HYPERLINK("https://klasma.github.io/Logging_0484/klagomålsmail/A 46596-2023 FSC-klagomål mail.docx", "A 46596-2023")</f>
        <v/>
      </c>
      <c r="X90">
        <f>HYPERLINK("https://klasma.github.io/Logging_0484/tillsyn/A 46596-2023 tillsynsbegäran.docx", "A 46596-2023")</f>
        <v/>
      </c>
      <c r="Y90">
        <f>HYPERLINK("https://klasma.github.io/Logging_0484/tillsynsmail/A 46596-2023 tillsynsbegäran mail.docx", "A 46596-2023")</f>
        <v/>
      </c>
    </row>
    <row r="91" ht="15" customHeight="1">
      <c r="A91" t="inlineStr">
        <is>
          <t>A 42470-2018</t>
        </is>
      </c>
      <c r="B91" s="1" t="n">
        <v>43353</v>
      </c>
      <c r="C91" s="1" t="n">
        <v>45353</v>
      </c>
      <c r="D91" t="inlineStr">
        <is>
          <t>SÖDERMANLANDS LÄN</t>
        </is>
      </c>
      <c r="E91" t="inlineStr">
        <is>
          <t>ESKILSTUNA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44474-2018</t>
        </is>
      </c>
      <c r="B92" s="1" t="n">
        <v>43356</v>
      </c>
      <c r="C92" s="1" t="n">
        <v>45353</v>
      </c>
      <c r="D92" t="inlineStr">
        <is>
          <t>SÖDERMANLANDS LÄN</t>
        </is>
      </c>
      <c r="E92" t="inlineStr">
        <is>
          <t>ESKILSTUNA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44911-2018</t>
        </is>
      </c>
      <c r="B93" s="1" t="n">
        <v>43360</v>
      </c>
      <c r="C93" s="1" t="n">
        <v>45353</v>
      </c>
      <c r="D93" t="inlineStr">
        <is>
          <t>SÖDERMANLANDS LÄN</t>
        </is>
      </c>
      <c r="E93" t="inlineStr">
        <is>
          <t>ESKILSTUNA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44900-2018</t>
        </is>
      </c>
      <c r="B94" s="1" t="n">
        <v>43360</v>
      </c>
      <c r="C94" s="1" t="n">
        <v>45353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52349-2018</t>
        </is>
      </c>
      <c r="B95" s="1" t="n">
        <v>43388</v>
      </c>
      <c r="C95" s="1" t="n">
        <v>45353</v>
      </c>
      <c r="D95" t="inlineStr">
        <is>
          <t>SÖDERMANLANDS LÄN</t>
        </is>
      </c>
      <c r="E95" t="inlineStr">
        <is>
          <t>ESKILSTUNA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55812-2018</t>
        </is>
      </c>
      <c r="B96" s="1" t="n">
        <v>43392</v>
      </c>
      <c r="C96" s="1" t="n">
        <v>45353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54727-2018</t>
        </is>
      </c>
      <c r="B97" s="1" t="n">
        <v>43395</v>
      </c>
      <c r="C97" s="1" t="n">
        <v>45353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54955-2018</t>
        </is>
      </c>
      <c r="B98" s="1" t="n">
        <v>43396</v>
      </c>
      <c r="C98" s="1" t="n">
        <v>45353</v>
      </c>
      <c r="D98" t="inlineStr">
        <is>
          <t>SÖDERMANLANDS LÄN</t>
        </is>
      </c>
      <c r="E98" t="inlineStr">
        <is>
          <t>ESKILSTUNA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59016-2018</t>
        </is>
      </c>
      <c r="B99" s="1" t="n">
        <v>43402</v>
      </c>
      <c r="C99" s="1" t="n">
        <v>45353</v>
      </c>
      <c r="D99" t="inlineStr">
        <is>
          <t>SÖDERMANLANDS LÄN</t>
        </is>
      </c>
      <c r="E99" t="inlineStr">
        <is>
          <t>ESKILSTUNA</t>
        </is>
      </c>
      <c r="G99" t="n">
        <v>14.2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58062-2018</t>
        </is>
      </c>
      <c r="B100" s="1" t="n">
        <v>43406</v>
      </c>
      <c r="C100" s="1" t="n">
        <v>45353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58067-2018</t>
        </is>
      </c>
      <c r="B101" s="1" t="n">
        <v>43406</v>
      </c>
      <c r="C101" s="1" t="n">
        <v>45353</v>
      </c>
      <c r="D101" t="inlineStr">
        <is>
          <t>SÖDERMANLANDS LÄN</t>
        </is>
      </c>
      <c r="E101" t="inlineStr">
        <is>
          <t>ESKILSTUNA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65533-2018</t>
        </is>
      </c>
      <c r="B102" s="1" t="n">
        <v>43413</v>
      </c>
      <c r="C102" s="1" t="n">
        <v>45353</v>
      </c>
      <c r="D102" t="inlineStr">
        <is>
          <t>SÖDERMANLANDS LÄN</t>
        </is>
      </c>
      <c r="E102" t="inlineStr">
        <is>
          <t>ESKILSTUNA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61414-2018</t>
        </is>
      </c>
      <c r="B103" s="1" t="n">
        <v>43413</v>
      </c>
      <c r="C103" s="1" t="n">
        <v>45353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63105-2018</t>
        </is>
      </c>
      <c r="B104" s="1" t="n">
        <v>43418</v>
      </c>
      <c r="C104" s="1" t="n">
        <v>45353</v>
      </c>
      <c r="D104" t="inlineStr">
        <is>
          <t>SÖDERMANLANDS LÄN</t>
        </is>
      </c>
      <c r="E104" t="inlineStr">
        <is>
          <t>ESKILSTUNA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60513-2018</t>
        </is>
      </c>
      <c r="B105" s="1" t="n">
        <v>43420</v>
      </c>
      <c r="C105" s="1" t="n">
        <v>45353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60504-2018</t>
        </is>
      </c>
      <c r="B106" s="1" t="n">
        <v>43420</v>
      </c>
      <c r="C106" s="1" t="n">
        <v>45353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63201-2018</t>
        </is>
      </c>
      <c r="B107" s="1" t="n">
        <v>43426</v>
      </c>
      <c r="C107" s="1" t="n">
        <v>45353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63210-2018</t>
        </is>
      </c>
      <c r="B108" s="1" t="n">
        <v>43426</v>
      </c>
      <c r="C108" s="1" t="n">
        <v>45353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66292-2018</t>
        </is>
      </c>
      <c r="B109" s="1" t="n">
        <v>43427</v>
      </c>
      <c r="C109" s="1" t="n">
        <v>45353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64203-2018</t>
        </is>
      </c>
      <c r="B110" s="1" t="n">
        <v>43430</v>
      </c>
      <c r="C110" s="1" t="n">
        <v>45353</v>
      </c>
      <c r="D110" t="inlineStr">
        <is>
          <t>SÖDERMANLANDS LÄN</t>
        </is>
      </c>
      <c r="E110" t="inlineStr">
        <is>
          <t>ESKILSTUNA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64439-2018</t>
        </is>
      </c>
      <c r="B111" s="1" t="n">
        <v>43431</v>
      </c>
      <c r="C111" s="1" t="n">
        <v>45353</v>
      </c>
      <c r="D111" t="inlineStr">
        <is>
          <t>SÖDERMANLANDS LÄN</t>
        </is>
      </c>
      <c r="E111" t="inlineStr">
        <is>
          <t>ESKILSTUNA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64839-2018</t>
        </is>
      </c>
      <c r="B112" s="1" t="n">
        <v>43431</v>
      </c>
      <c r="C112" s="1" t="n">
        <v>45353</v>
      </c>
      <c r="D112" t="inlineStr">
        <is>
          <t>SÖDERMANLANDS LÄN</t>
        </is>
      </c>
      <c r="E112" t="inlineStr">
        <is>
          <t>ESKILSTUNA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67295-2018</t>
        </is>
      </c>
      <c r="B113" s="1" t="n">
        <v>43439</v>
      </c>
      <c r="C113" s="1" t="n">
        <v>45353</v>
      </c>
      <c r="D113" t="inlineStr">
        <is>
          <t>SÖDERMANLANDS LÄN</t>
        </is>
      </c>
      <c r="E113" t="inlineStr">
        <is>
          <t>ESKILSTUNA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67319-2018</t>
        </is>
      </c>
      <c r="B114" s="1" t="n">
        <v>43439</v>
      </c>
      <c r="C114" s="1" t="n">
        <v>45353</v>
      </c>
      <c r="D114" t="inlineStr">
        <is>
          <t>SÖDERMANLANDS LÄN</t>
        </is>
      </c>
      <c r="E114" t="inlineStr">
        <is>
          <t>ESKILSTUNA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67284-2018</t>
        </is>
      </c>
      <c r="B115" s="1" t="n">
        <v>43439</v>
      </c>
      <c r="C115" s="1" t="n">
        <v>45353</v>
      </c>
      <c r="D115" t="inlineStr">
        <is>
          <t>SÖDERMANLANDS LÄN</t>
        </is>
      </c>
      <c r="E115" t="inlineStr">
        <is>
          <t>ESKILSTUNA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68199-2018</t>
        </is>
      </c>
      <c r="B116" s="1" t="n">
        <v>43441</v>
      </c>
      <c r="C116" s="1" t="n">
        <v>45353</v>
      </c>
      <c r="D116" t="inlineStr">
        <is>
          <t>SÖDERMANLANDS LÄN</t>
        </is>
      </c>
      <c r="E116" t="inlineStr">
        <is>
          <t>ESKILSTUNA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68206-2018</t>
        </is>
      </c>
      <c r="B117" s="1" t="n">
        <v>43441</v>
      </c>
      <c r="C117" s="1" t="n">
        <v>45353</v>
      </c>
      <c r="D117" t="inlineStr">
        <is>
          <t>SÖDERMANLANDS LÄN</t>
        </is>
      </c>
      <c r="E117" t="inlineStr">
        <is>
          <t>ESKILSTUNA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68201-2018</t>
        </is>
      </c>
      <c r="B118" s="1" t="n">
        <v>43441</v>
      </c>
      <c r="C118" s="1" t="n">
        <v>45353</v>
      </c>
      <c r="D118" t="inlineStr">
        <is>
          <t>SÖDERMANLANDS LÄN</t>
        </is>
      </c>
      <c r="E118" t="inlineStr">
        <is>
          <t>ESKILSTUNA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70054-2018</t>
        </is>
      </c>
      <c r="B119" s="1" t="n">
        <v>43445</v>
      </c>
      <c r="C119" s="1" t="n">
        <v>45353</v>
      </c>
      <c r="D119" t="inlineStr">
        <is>
          <t>SÖDERMANLANDS LÄN</t>
        </is>
      </c>
      <c r="E119" t="inlineStr">
        <is>
          <t>ESKILSTUNA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71345-2018</t>
        </is>
      </c>
      <c r="B120" s="1" t="n">
        <v>43451</v>
      </c>
      <c r="C120" s="1" t="n">
        <v>45353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71030-2018</t>
        </is>
      </c>
      <c r="B121" s="1" t="n">
        <v>43451</v>
      </c>
      <c r="C121" s="1" t="n">
        <v>45353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71145-2018</t>
        </is>
      </c>
      <c r="B122" s="1" t="n">
        <v>43452</v>
      </c>
      <c r="C122" s="1" t="n">
        <v>45353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606-2019</t>
        </is>
      </c>
      <c r="B123" s="1" t="n">
        <v>43455</v>
      </c>
      <c r="C123" s="1" t="n">
        <v>45353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600-2019</t>
        </is>
      </c>
      <c r="B124" s="1" t="n">
        <v>43455</v>
      </c>
      <c r="C124" s="1" t="n">
        <v>45353</v>
      </c>
      <c r="D124" t="inlineStr">
        <is>
          <t>SÖDERMANLANDS LÄN</t>
        </is>
      </c>
      <c r="E124" t="inlineStr">
        <is>
          <t>ESKILSTUNA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72334-2018</t>
        </is>
      </c>
      <c r="B125" s="1" t="n">
        <v>43460</v>
      </c>
      <c r="C125" s="1" t="n">
        <v>45353</v>
      </c>
      <c r="D125" t="inlineStr">
        <is>
          <t>SÖDERMANLANDS LÄN</t>
        </is>
      </c>
      <c r="E125" t="inlineStr">
        <is>
          <t>ESKILSTUNA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1658-2019</t>
        </is>
      </c>
      <c r="B126" s="1" t="n">
        <v>43461</v>
      </c>
      <c r="C126" s="1" t="n">
        <v>45353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72643-2018</t>
        </is>
      </c>
      <c r="B127" s="1" t="n">
        <v>43464</v>
      </c>
      <c r="C127" s="1" t="n">
        <v>45353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72645-2018</t>
        </is>
      </c>
      <c r="B128" s="1" t="n">
        <v>43464</v>
      </c>
      <c r="C128" s="1" t="n">
        <v>45353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17-2019</t>
        </is>
      </c>
      <c r="B129" s="1" t="n">
        <v>43466</v>
      </c>
      <c r="C129" s="1" t="n">
        <v>45353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458-2019</t>
        </is>
      </c>
      <c r="B130" s="1" t="n">
        <v>43468</v>
      </c>
      <c r="C130" s="1" t="n">
        <v>45353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1029-2019</t>
        </is>
      </c>
      <c r="B131" s="1" t="n">
        <v>43472</v>
      </c>
      <c r="C131" s="1" t="n">
        <v>45353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1534-2019</t>
        </is>
      </c>
      <c r="B132" s="1" t="n">
        <v>43473</v>
      </c>
      <c r="C132" s="1" t="n">
        <v>45353</v>
      </c>
      <c r="D132" t="inlineStr">
        <is>
          <t>SÖDERMANLANDS LÄN</t>
        </is>
      </c>
      <c r="E132" t="inlineStr">
        <is>
          <t>ESKILSTUNA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1446-2019</t>
        </is>
      </c>
      <c r="B133" s="1" t="n">
        <v>43473</v>
      </c>
      <c r="C133" s="1" t="n">
        <v>45353</v>
      </c>
      <c r="D133" t="inlineStr">
        <is>
          <t>SÖDERMANLANDS LÄN</t>
        </is>
      </c>
      <c r="E133" t="inlineStr">
        <is>
          <t>ESKILSTUNA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1535-2019</t>
        </is>
      </c>
      <c r="B134" s="1" t="n">
        <v>43473</v>
      </c>
      <c r="C134" s="1" t="n">
        <v>45353</v>
      </c>
      <c r="D134" t="inlineStr">
        <is>
          <t>SÖDERMANLANDS LÄN</t>
        </is>
      </c>
      <c r="E134" t="inlineStr">
        <is>
          <t>ESKILSTUNA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3536-2019</t>
        </is>
      </c>
      <c r="B135" s="1" t="n">
        <v>43474</v>
      </c>
      <c r="C135" s="1" t="n">
        <v>45353</v>
      </c>
      <c r="D135" t="inlineStr">
        <is>
          <t>SÖDERMANLANDS LÄN</t>
        </is>
      </c>
      <c r="E135" t="inlineStr">
        <is>
          <t>ESKILSTUNA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3526-2019</t>
        </is>
      </c>
      <c r="B136" s="1" t="n">
        <v>43474</v>
      </c>
      <c r="C136" s="1" t="n">
        <v>45353</v>
      </c>
      <c r="D136" t="inlineStr">
        <is>
          <t>SÖDERMANLANDS LÄN</t>
        </is>
      </c>
      <c r="E136" t="inlineStr">
        <is>
          <t>ESKILSTUNA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3795-2019</t>
        </is>
      </c>
      <c r="B137" s="1" t="n">
        <v>43475</v>
      </c>
      <c r="C137" s="1" t="n">
        <v>45353</v>
      </c>
      <c r="D137" t="inlineStr">
        <is>
          <t>SÖDERMANLANDS LÄN</t>
        </is>
      </c>
      <c r="E137" t="inlineStr">
        <is>
          <t>ESKILSTUNA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3073-2019</t>
        </is>
      </c>
      <c r="B138" s="1" t="n">
        <v>43479</v>
      </c>
      <c r="C138" s="1" t="n">
        <v>45353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2903-2019</t>
        </is>
      </c>
      <c r="B139" s="1" t="n">
        <v>43479</v>
      </c>
      <c r="C139" s="1" t="n">
        <v>45353</v>
      </c>
      <c r="D139" t="inlineStr">
        <is>
          <t>SÖDERMANLANDS LÄN</t>
        </is>
      </c>
      <c r="E139" t="inlineStr">
        <is>
          <t>ESKILSTUNA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3178-2019</t>
        </is>
      </c>
      <c r="B140" s="1" t="n">
        <v>43480</v>
      </c>
      <c r="C140" s="1" t="n">
        <v>45353</v>
      </c>
      <c r="D140" t="inlineStr">
        <is>
          <t>SÖDERMANLANDS LÄN</t>
        </is>
      </c>
      <c r="E140" t="inlineStr">
        <is>
          <t>ESKILSTUNA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4729-2019</t>
        </is>
      </c>
      <c r="B141" s="1" t="n">
        <v>43486</v>
      </c>
      <c r="C141" s="1" t="n">
        <v>45353</v>
      </c>
      <c r="D141" t="inlineStr">
        <is>
          <t>SÖDERMANLANDS LÄN</t>
        </is>
      </c>
      <c r="E141" t="inlineStr">
        <is>
          <t>ESKILSTUNA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5625-2019</t>
        </is>
      </c>
      <c r="B142" s="1" t="n">
        <v>43489</v>
      </c>
      <c r="C142" s="1" t="n">
        <v>45353</v>
      </c>
      <c r="D142" t="inlineStr">
        <is>
          <t>SÖDERMANLANDS LÄN</t>
        </is>
      </c>
      <c r="E142" t="inlineStr">
        <is>
          <t>ESKILSTUNA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5679-2019</t>
        </is>
      </c>
      <c r="B143" s="1" t="n">
        <v>43489</v>
      </c>
      <c r="C143" s="1" t="n">
        <v>45353</v>
      </c>
      <c r="D143" t="inlineStr">
        <is>
          <t>SÖDERMANLANDS LÄN</t>
        </is>
      </c>
      <c r="E143" t="inlineStr">
        <is>
          <t>ESKILSTUNA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7694-2019</t>
        </is>
      </c>
      <c r="B144" s="1" t="n">
        <v>43493</v>
      </c>
      <c r="C144" s="1" t="n">
        <v>45353</v>
      </c>
      <c r="D144" t="inlineStr">
        <is>
          <t>SÖDERMANLANDS LÄN</t>
        </is>
      </c>
      <c r="E144" t="inlineStr">
        <is>
          <t>ESKILSTUNA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8047-2019</t>
        </is>
      </c>
      <c r="B145" s="1" t="n">
        <v>43494</v>
      </c>
      <c r="C145" s="1" t="n">
        <v>45353</v>
      </c>
      <c r="D145" t="inlineStr">
        <is>
          <t>SÖDERMANLANDS LÄN</t>
        </is>
      </c>
      <c r="E145" t="inlineStr">
        <is>
          <t>ESKILSTUNA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7199-2019</t>
        </is>
      </c>
      <c r="B146" s="1" t="n">
        <v>43496</v>
      </c>
      <c r="C146" s="1" t="n">
        <v>45353</v>
      </c>
      <c r="D146" t="inlineStr">
        <is>
          <t>SÖDERMANLANDS LÄN</t>
        </is>
      </c>
      <c r="E146" t="inlineStr">
        <is>
          <t>ESKILSTUNA</t>
        </is>
      </c>
      <c r="G146" t="n">
        <v>14.1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8396-2019</t>
        </is>
      </c>
      <c r="B147" s="1" t="n">
        <v>43496</v>
      </c>
      <c r="C147" s="1" t="n">
        <v>45353</v>
      </c>
      <c r="D147" t="inlineStr">
        <is>
          <t>SÖDERMANLANDS LÄN</t>
        </is>
      </c>
      <c r="E147" t="inlineStr">
        <is>
          <t>ESKILSTUNA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9111-2019</t>
        </is>
      </c>
      <c r="B148" s="1" t="n">
        <v>43504</v>
      </c>
      <c r="C148" s="1" t="n">
        <v>45353</v>
      </c>
      <c r="D148" t="inlineStr">
        <is>
          <t>SÖDERMANLANDS LÄN</t>
        </is>
      </c>
      <c r="E148" t="inlineStr">
        <is>
          <t>ESKILSTUNA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9466-2019</t>
        </is>
      </c>
      <c r="B149" s="1" t="n">
        <v>43507</v>
      </c>
      <c r="C149" s="1" t="n">
        <v>45353</v>
      </c>
      <c r="D149" t="inlineStr">
        <is>
          <t>SÖDERMANLANDS LÄN</t>
        </is>
      </c>
      <c r="E149" t="inlineStr">
        <is>
          <t>ESKILSTUNA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9473-2019</t>
        </is>
      </c>
      <c r="B150" s="1" t="n">
        <v>43507</v>
      </c>
      <c r="C150" s="1" t="n">
        <v>45353</v>
      </c>
      <c r="D150" t="inlineStr">
        <is>
          <t>SÖDERMANLANDS LÄN</t>
        </is>
      </c>
      <c r="E150" t="inlineStr">
        <is>
          <t>ESKILSTUNA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9459-2019</t>
        </is>
      </c>
      <c r="B151" s="1" t="n">
        <v>43507</v>
      </c>
      <c r="C151" s="1" t="n">
        <v>45353</v>
      </c>
      <c r="D151" t="inlineStr">
        <is>
          <t>SÖDERMANLANDS LÄN</t>
        </is>
      </c>
      <c r="E151" t="inlineStr">
        <is>
          <t>ESKILSTUNA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9453-2019</t>
        </is>
      </c>
      <c r="B152" s="1" t="n">
        <v>43507</v>
      </c>
      <c r="C152" s="1" t="n">
        <v>45353</v>
      </c>
      <c r="D152" t="inlineStr">
        <is>
          <t>SÖDERMANLANDS LÄN</t>
        </is>
      </c>
      <c r="E152" t="inlineStr">
        <is>
          <t>ESKILSTUNA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9784-2019</t>
        </is>
      </c>
      <c r="B153" s="1" t="n">
        <v>43509</v>
      </c>
      <c r="C153" s="1" t="n">
        <v>45353</v>
      </c>
      <c r="D153" t="inlineStr">
        <is>
          <t>SÖDERMANLANDS LÄN</t>
        </is>
      </c>
      <c r="E153" t="inlineStr">
        <is>
          <t>ESKILSTUNA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10263-2019</t>
        </is>
      </c>
      <c r="B154" s="1" t="n">
        <v>43511</v>
      </c>
      <c r="C154" s="1" t="n">
        <v>45353</v>
      </c>
      <c r="D154" t="inlineStr">
        <is>
          <t>SÖDERMANLANDS LÄN</t>
        </is>
      </c>
      <c r="E154" t="inlineStr">
        <is>
          <t>ESKILSTUNA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11167-2019</t>
        </is>
      </c>
      <c r="B155" s="1" t="n">
        <v>43516</v>
      </c>
      <c r="C155" s="1" t="n">
        <v>45353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11491-2019</t>
        </is>
      </c>
      <c r="B156" s="1" t="n">
        <v>43517</v>
      </c>
      <c r="C156" s="1" t="n">
        <v>45353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11786-2019</t>
        </is>
      </c>
      <c r="B157" s="1" t="n">
        <v>43521</v>
      </c>
      <c r="C157" s="1" t="n">
        <v>45353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11784-2019</t>
        </is>
      </c>
      <c r="B158" s="1" t="n">
        <v>43521</v>
      </c>
      <c r="C158" s="1" t="n">
        <v>45353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11788-2019</t>
        </is>
      </c>
      <c r="B159" s="1" t="n">
        <v>43521</v>
      </c>
      <c r="C159" s="1" t="n">
        <v>45353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12002-2019</t>
        </is>
      </c>
      <c r="B160" s="1" t="n">
        <v>43521</v>
      </c>
      <c r="C160" s="1" t="n">
        <v>45353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12195-2019</t>
        </is>
      </c>
      <c r="B161" s="1" t="n">
        <v>43522</v>
      </c>
      <c r="C161" s="1" t="n">
        <v>45353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12394-2019</t>
        </is>
      </c>
      <c r="B162" s="1" t="n">
        <v>43523</v>
      </c>
      <c r="C162" s="1" t="n">
        <v>45353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12688-2019</t>
        </is>
      </c>
      <c r="B163" s="1" t="n">
        <v>43524</v>
      </c>
      <c r="C163" s="1" t="n">
        <v>45353</v>
      </c>
      <c r="D163" t="inlineStr">
        <is>
          <t>SÖDERMANLANDS LÄN</t>
        </is>
      </c>
      <c r="E163" t="inlineStr">
        <is>
          <t>ESKILSTUNA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12563-2019</t>
        </is>
      </c>
      <c r="B164" s="1" t="n">
        <v>43524</v>
      </c>
      <c r="C164" s="1" t="n">
        <v>45353</v>
      </c>
      <c r="D164" t="inlineStr">
        <is>
          <t>SÖDERMANLANDS LÄN</t>
        </is>
      </c>
      <c r="E164" t="inlineStr">
        <is>
          <t>ESKILSTUNA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12513-2019</t>
        </is>
      </c>
      <c r="B165" s="1" t="n">
        <v>43524</v>
      </c>
      <c r="C165" s="1" t="n">
        <v>45353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12963-2019</t>
        </is>
      </c>
      <c r="B166" s="1" t="n">
        <v>43526</v>
      </c>
      <c r="C166" s="1" t="n">
        <v>45353</v>
      </c>
      <c r="D166" t="inlineStr">
        <is>
          <t>SÖDERMANLANDS LÄN</t>
        </is>
      </c>
      <c r="E166" t="inlineStr">
        <is>
          <t>ESKILSTUNA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13071-2019</t>
        </is>
      </c>
      <c r="B167" s="1" t="n">
        <v>43528</v>
      </c>
      <c r="C167" s="1" t="n">
        <v>45353</v>
      </c>
      <c r="D167" t="inlineStr">
        <is>
          <t>SÖDERMANLANDS LÄN</t>
        </is>
      </c>
      <c r="E167" t="inlineStr">
        <is>
          <t>ESKILSTUNA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13460-2019</t>
        </is>
      </c>
      <c r="B168" s="1" t="n">
        <v>43530</v>
      </c>
      <c r="C168" s="1" t="n">
        <v>45353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13814-2019</t>
        </is>
      </c>
      <c r="B169" s="1" t="n">
        <v>43530</v>
      </c>
      <c r="C169" s="1" t="n">
        <v>45353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14139-2019</t>
        </is>
      </c>
      <c r="B170" s="1" t="n">
        <v>43532</v>
      </c>
      <c r="C170" s="1" t="n">
        <v>45353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15080-2019</t>
        </is>
      </c>
      <c r="B171" s="1" t="n">
        <v>43537</v>
      </c>
      <c r="C171" s="1" t="n">
        <v>45353</v>
      </c>
      <c r="D171" t="inlineStr">
        <is>
          <t>SÖDERMANLANDS LÄN</t>
        </is>
      </c>
      <c r="E171" t="inlineStr">
        <is>
          <t>ESKILSTUNA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14882-2019</t>
        </is>
      </c>
      <c r="B172" s="1" t="n">
        <v>43538</v>
      </c>
      <c r="C172" s="1" t="n">
        <v>45353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15250-2019</t>
        </is>
      </c>
      <c r="B173" s="1" t="n">
        <v>43539</v>
      </c>
      <c r="C173" s="1" t="n">
        <v>45353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15249-2019</t>
        </is>
      </c>
      <c r="B174" s="1" t="n">
        <v>43539</v>
      </c>
      <c r="C174" s="1" t="n">
        <v>45353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15429-2019</t>
        </is>
      </c>
      <c r="B175" s="1" t="n">
        <v>43542</v>
      </c>
      <c r="C175" s="1" t="n">
        <v>45353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15452-2019</t>
        </is>
      </c>
      <c r="B176" s="1" t="n">
        <v>43542</v>
      </c>
      <c r="C176" s="1" t="n">
        <v>45353</v>
      </c>
      <c r="D176" t="inlineStr">
        <is>
          <t>SÖDERMANLANDS LÄN</t>
        </is>
      </c>
      <c r="E176" t="inlineStr">
        <is>
          <t>ESKILSTUNA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17953-2019</t>
        </is>
      </c>
      <c r="B177" s="1" t="n">
        <v>43557</v>
      </c>
      <c r="C177" s="1" t="n">
        <v>45353</v>
      </c>
      <c r="D177" t="inlineStr">
        <is>
          <t>SÖDERMANLANDS LÄN</t>
        </is>
      </c>
      <c r="E177" t="inlineStr">
        <is>
          <t>ESKILSTUNA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18224-2019</t>
        </is>
      </c>
      <c r="B178" s="1" t="n">
        <v>43558</v>
      </c>
      <c r="C178" s="1" t="n">
        <v>45353</v>
      </c>
      <c r="D178" t="inlineStr">
        <is>
          <t>SÖDERMANLANDS LÄN</t>
        </is>
      </c>
      <c r="E178" t="inlineStr">
        <is>
          <t>ESKILSTUNA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18493-2019</t>
        </is>
      </c>
      <c r="B179" s="1" t="n">
        <v>43558</v>
      </c>
      <c r="C179" s="1" t="n">
        <v>45353</v>
      </c>
      <c r="D179" t="inlineStr">
        <is>
          <t>SÖDERMANLANDS LÄN</t>
        </is>
      </c>
      <c r="E179" t="inlineStr">
        <is>
          <t>ESKILSTUNA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18698-2019</t>
        </is>
      </c>
      <c r="B180" s="1" t="n">
        <v>43559</v>
      </c>
      <c r="C180" s="1" t="n">
        <v>45353</v>
      </c>
      <c r="D180" t="inlineStr">
        <is>
          <t>SÖDERMANLANDS LÄN</t>
        </is>
      </c>
      <c r="E180" t="inlineStr">
        <is>
          <t>ESKILSTUNA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18423-2019</t>
        </is>
      </c>
      <c r="B181" s="1" t="n">
        <v>43559</v>
      </c>
      <c r="C181" s="1" t="n">
        <v>45353</v>
      </c>
      <c r="D181" t="inlineStr">
        <is>
          <t>SÖDERMANLANDS LÄN</t>
        </is>
      </c>
      <c r="E181" t="inlineStr">
        <is>
          <t>ESKILSTUNA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18704-2019</t>
        </is>
      </c>
      <c r="B182" s="1" t="n">
        <v>43559</v>
      </c>
      <c r="C182" s="1" t="n">
        <v>45353</v>
      </c>
      <c r="D182" t="inlineStr">
        <is>
          <t>SÖDERMANLANDS LÄN</t>
        </is>
      </c>
      <c r="E182" t="inlineStr">
        <is>
          <t>ESKILSTUNA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18950-2019</t>
        </is>
      </c>
      <c r="B183" s="1" t="n">
        <v>43563</v>
      </c>
      <c r="C183" s="1" t="n">
        <v>45353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19122-2019</t>
        </is>
      </c>
      <c r="B184" s="1" t="n">
        <v>43564</v>
      </c>
      <c r="C184" s="1" t="n">
        <v>45353</v>
      </c>
      <c r="D184" t="inlineStr">
        <is>
          <t>SÖDERMANLANDS LÄN</t>
        </is>
      </c>
      <c r="E184" t="inlineStr">
        <is>
          <t>ESKILSTUNA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19291-2019</t>
        </is>
      </c>
      <c r="B185" s="1" t="n">
        <v>43565</v>
      </c>
      <c r="C185" s="1" t="n">
        <v>45353</v>
      </c>
      <c r="D185" t="inlineStr">
        <is>
          <t>SÖDERMANLANDS LÄN</t>
        </is>
      </c>
      <c r="E185" t="inlineStr">
        <is>
          <t>ESKILSTUNA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20179-2019</t>
        </is>
      </c>
      <c r="B186" s="1" t="n">
        <v>43570</v>
      </c>
      <c r="C186" s="1" t="n">
        <v>45353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21555-2019</t>
        </is>
      </c>
      <c r="B187" s="1" t="n">
        <v>43580</v>
      </c>
      <c r="C187" s="1" t="n">
        <v>45353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21472-2019</t>
        </is>
      </c>
      <c r="B188" s="1" t="n">
        <v>43580</v>
      </c>
      <c r="C188" s="1" t="n">
        <v>45353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22217-2019</t>
        </is>
      </c>
      <c r="B189" s="1" t="n">
        <v>43585</v>
      </c>
      <c r="C189" s="1" t="n">
        <v>45353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23769-2019</t>
        </is>
      </c>
      <c r="B190" s="1" t="n">
        <v>43595</v>
      </c>
      <c r="C190" s="1" t="n">
        <v>45353</v>
      </c>
      <c r="D190" t="inlineStr">
        <is>
          <t>SÖDERMANLANDS LÄN</t>
        </is>
      </c>
      <c r="E190" t="inlineStr">
        <is>
          <t>ESKILSTUNA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27151-2019</t>
        </is>
      </c>
      <c r="B191" s="1" t="n">
        <v>43614</v>
      </c>
      <c r="C191" s="1" t="n">
        <v>45353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27620-2019</t>
        </is>
      </c>
      <c r="B192" s="1" t="n">
        <v>43619</v>
      </c>
      <c r="C192" s="1" t="n">
        <v>45353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29084-2019</t>
        </is>
      </c>
      <c r="B193" s="1" t="n">
        <v>43628</v>
      </c>
      <c r="C193" s="1" t="n">
        <v>45353</v>
      </c>
      <c r="D193" t="inlineStr">
        <is>
          <t>SÖDERMANLANDS LÄN</t>
        </is>
      </c>
      <c r="E193" t="inlineStr">
        <is>
          <t>ESKILSTUNA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29449-2019</t>
        </is>
      </c>
      <c r="B194" s="1" t="n">
        <v>43629</v>
      </c>
      <c r="C194" s="1" t="n">
        <v>45353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29235-2019</t>
        </is>
      </c>
      <c r="B195" s="1" t="n">
        <v>43629</v>
      </c>
      <c r="C195" s="1" t="n">
        <v>45353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31492-2019</t>
        </is>
      </c>
      <c r="B196" s="1" t="n">
        <v>43640</v>
      </c>
      <c r="C196" s="1" t="n">
        <v>45353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32047-2019</t>
        </is>
      </c>
      <c r="B197" s="1" t="n">
        <v>43643</v>
      </c>
      <c r="C197" s="1" t="n">
        <v>45353</v>
      </c>
      <c r="D197" t="inlineStr">
        <is>
          <t>SÖDERMANLANDS LÄN</t>
        </is>
      </c>
      <c r="E197" t="inlineStr">
        <is>
          <t>ESKILSTUNA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33489-2019</t>
        </is>
      </c>
      <c r="B198" s="1" t="n">
        <v>43651</v>
      </c>
      <c r="C198" s="1" t="n">
        <v>45353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33490-2019</t>
        </is>
      </c>
      <c r="B199" s="1" t="n">
        <v>43651</v>
      </c>
      <c r="C199" s="1" t="n">
        <v>45353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35864-2019</t>
        </is>
      </c>
      <c r="B200" s="1" t="n">
        <v>43656</v>
      </c>
      <c r="C200" s="1" t="n">
        <v>45353</v>
      </c>
      <c r="D200" t="inlineStr">
        <is>
          <t>SÖDERMANLANDS LÄN</t>
        </is>
      </c>
      <c r="E200" t="inlineStr">
        <is>
          <t>ESKILSTUNA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35293-2019</t>
        </is>
      </c>
      <c r="B201" s="1" t="n">
        <v>43662</v>
      </c>
      <c r="C201" s="1" t="n">
        <v>45353</v>
      </c>
      <c r="D201" t="inlineStr">
        <is>
          <t>SÖDERMANLANDS LÄN</t>
        </is>
      </c>
      <c r="E201" t="inlineStr">
        <is>
          <t>ESKILSTUNA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36478-2019</t>
        </is>
      </c>
      <c r="B202" s="1" t="n">
        <v>43664</v>
      </c>
      <c r="C202" s="1" t="n">
        <v>45353</v>
      </c>
      <c r="D202" t="inlineStr">
        <is>
          <t>SÖDERMANLANDS LÄN</t>
        </is>
      </c>
      <c r="E202" t="inlineStr">
        <is>
          <t>ESKILSTUNA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35982-2019</t>
        </is>
      </c>
      <c r="B203" s="1" t="n">
        <v>43667</v>
      </c>
      <c r="C203" s="1" t="n">
        <v>45353</v>
      </c>
      <c r="D203" t="inlineStr">
        <is>
          <t>SÖDERMANLANDS LÄN</t>
        </is>
      </c>
      <c r="E203" t="inlineStr">
        <is>
          <t>ESKILSTUNA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35985-2019</t>
        </is>
      </c>
      <c r="B204" s="1" t="n">
        <v>43667</v>
      </c>
      <c r="C204" s="1" t="n">
        <v>45353</v>
      </c>
      <c r="D204" t="inlineStr">
        <is>
          <t>SÖDERMANLANDS LÄN</t>
        </is>
      </c>
      <c r="E204" t="inlineStr">
        <is>
          <t>ESKILSTUNA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37255-2019</t>
        </is>
      </c>
      <c r="B205" s="1" t="n">
        <v>43677</v>
      </c>
      <c r="C205" s="1" t="n">
        <v>45353</v>
      </c>
      <c r="D205" t="inlineStr">
        <is>
          <t>SÖDERMANLANDS LÄN</t>
        </is>
      </c>
      <c r="E205" t="inlineStr">
        <is>
          <t>ESKILSTUNA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37504-2019</t>
        </is>
      </c>
      <c r="B206" s="1" t="n">
        <v>43678</v>
      </c>
      <c r="C206" s="1" t="n">
        <v>45353</v>
      </c>
      <c r="D206" t="inlineStr">
        <is>
          <t>SÖDERMANLANDS LÄN</t>
        </is>
      </c>
      <c r="E206" t="inlineStr">
        <is>
          <t>ESKILSTUNA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37627-2019</t>
        </is>
      </c>
      <c r="B207" s="1" t="n">
        <v>43679</v>
      </c>
      <c r="C207" s="1" t="n">
        <v>45353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38107-2019</t>
        </is>
      </c>
      <c r="B208" s="1" t="n">
        <v>43683</v>
      </c>
      <c r="C208" s="1" t="n">
        <v>45353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38177-2019</t>
        </is>
      </c>
      <c r="B209" s="1" t="n">
        <v>43683</v>
      </c>
      <c r="C209" s="1" t="n">
        <v>45353</v>
      </c>
      <c r="D209" t="inlineStr">
        <is>
          <t>SÖDERMANLANDS LÄN</t>
        </is>
      </c>
      <c r="E209" t="inlineStr">
        <is>
          <t>ESKILSTUNA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38008-2019</t>
        </is>
      </c>
      <c r="B210" s="1" t="n">
        <v>43683</v>
      </c>
      <c r="C210" s="1" t="n">
        <v>45353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38213-2019</t>
        </is>
      </c>
      <c r="B211" s="1" t="n">
        <v>43684</v>
      </c>
      <c r="C211" s="1" t="n">
        <v>45353</v>
      </c>
      <c r="D211" t="inlineStr">
        <is>
          <t>SÖDERMANLANDS LÄN</t>
        </is>
      </c>
      <c r="E211" t="inlineStr">
        <is>
          <t>ESKILSTUNA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38217-2019</t>
        </is>
      </c>
      <c r="B212" s="1" t="n">
        <v>43684</v>
      </c>
      <c r="C212" s="1" t="n">
        <v>45353</v>
      </c>
      <c r="D212" t="inlineStr">
        <is>
          <t>SÖDERMANLANDS LÄN</t>
        </is>
      </c>
      <c r="E212" t="inlineStr">
        <is>
          <t>ESKILSTUNA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38303-2019</t>
        </is>
      </c>
      <c r="B213" s="1" t="n">
        <v>43684</v>
      </c>
      <c r="C213" s="1" t="n">
        <v>45353</v>
      </c>
      <c r="D213" t="inlineStr">
        <is>
          <t>SÖDERMANLANDS LÄN</t>
        </is>
      </c>
      <c r="E213" t="inlineStr">
        <is>
          <t>ESKILSTUNA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38589-2019</t>
        </is>
      </c>
      <c r="B214" s="1" t="n">
        <v>43684</v>
      </c>
      <c r="C214" s="1" t="n">
        <v>45353</v>
      </c>
      <c r="D214" t="inlineStr">
        <is>
          <t>SÖDERMANLANDS LÄN</t>
        </is>
      </c>
      <c r="E214" t="inlineStr">
        <is>
          <t>ESKILSTUNA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38436-2019</t>
        </is>
      </c>
      <c r="B215" s="1" t="n">
        <v>43685</v>
      </c>
      <c r="C215" s="1" t="n">
        <v>45353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39219-2019</t>
        </is>
      </c>
      <c r="B216" s="1" t="n">
        <v>43690</v>
      </c>
      <c r="C216" s="1" t="n">
        <v>45353</v>
      </c>
      <c r="D216" t="inlineStr">
        <is>
          <t>SÖDERMANLANDS LÄN</t>
        </is>
      </c>
      <c r="E216" t="inlineStr">
        <is>
          <t>ESKILSTUNA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39942-2019</t>
        </is>
      </c>
      <c r="B217" s="1" t="n">
        <v>43690</v>
      </c>
      <c r="C217" s="1" t="n">
        <v>45353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40020-2019</t>
        </is>
      </c>
      <c r="B218" s="1" t="n">
        <v>43693</v>
      </c>
      <c r="C218" s="1" t="n">
        <v>45353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40017-2019</t>
        </is>
      </c>
      <c r="B219" s="1" t="n">
        <v>43693</v>
      </c>
      <c r="C219" s="1" t="n">
        <v>45353</v>
      </c>
      <c r="D219" t="inlineStr">
        <is>
          <t>SÖDERMANLANDS LÄN</t>
        </is>
      </c>
      <c r="E219" t="inlineStr">
        <is>
          <t>ESKILSTUNA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40552-2019</t>
        </is>
      </c>
      <c r="B220" s="1" t="n">
        <v>43696</v>
      </c>
      <c r="C220" s="1" t="n">
        <v>45353</v>
      </c>
      <c r="D220" t="inlineStr">
        <is>
          <t>SÖDERMANLANDS LÄN</t>
        </is>
      </c>
      <c r="E220" t="inlineStr">
        <is>
          <t>ESKILSTUNA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41476-2019</t>
        </is>
      </c>
      <c r="B221" s="1" t="n">
        <v>43696</v>
      </c>
      <c r="C221" s="1" t="n">
        <v>45353</v>
      </c>
      <c r="D221" t="inlineStr">
        <is>
          <t>SÖDERMANLANDS LÄN</t>
        </is>
      </c>
      <c r="E221" t="inlineStr">
        <is>
          <t>ESKILSTUNA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41481-2019</t>
        </is>
      </c>
      <c r="B222" s="1" t="n">
        <v>43696</v>
      </c>
      <c r="C222" s="1" t="n">
        <v>45353</v>
      </c>
      <c r="D222" t="inlineStr">
        <is>
          <t>SÖDERMANLANDS LÄN</t>
        </is>
      </c>
      <c r="E222" t="inlineStr">
        <is>
          <t>ESKILSTUNA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41442-2019</t>
        </is>
      </c>
      <c r="B223" s="1" t="n">
        <v>43698</v>
      </c>
      <c r="C223" s="1" t="n">
        <v>45353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42056-2019</t>
        </is>
      </c>
      <c r="B224" s="1" t="n">
        <v>43700</v>
      </c>
      <c r="C224" s="1" t="n">
        <v>45353</v>
      </c>
      <c r="D224" t="inlineStr">
        <is>
          <t>SÖDERMANLANDS LÄN</t>
        </is>
      </c>
      <c r="E224" t="inlineStr">
        <is>
          <t>ESKILSTUNA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44364-2019</t>
        </is>
      </c>
      <c r="B225" s="1" t="n">
        <v>43705</v>
      </c>
      <c r="C225" s="1" t="n">
        <v>45353</v>
      </c>
      <c r="D225" t="inlineStr">
        <is>
          <t>SÖDERMANLANDS LÄN</t>
        </is>
      </c>
      <c r="E225" t="inlineStr">
        <is>
          <t>ESKILSTUNA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43312-2019</t>
        </is>
      </c>
      <c r="B226" s="1" t="n">
        <v>43706</v>
      </c>
      <c r="C226" s="1" t="n">
        <v>45353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43301-2019</t>
        </is>
      </c>
      <c r="B227" s="1" t="n">
        <v>43706</v>
      </c>
      <c r="C227" s="1" t="n">
        <v>45353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44742-2019</t>
        </is>
      </c>
      <c r="B228" s="1" t="n">
        <v>43712</v>
      </c>
      <c r="C228" s="1" t="n">
        <v>45353</v>
      </c>
      <c r="D228" t="inlineStr">
        <is>
          <t>SÖDERMANLANDS LÄN</t>
        </is>
      </c>
      <c r="E228" t="inlineStr">
        <is>
          <t>ESKILSTUNA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44698-2019</t>
        </is>
      </c>
      <c r="B229" s="1" t="n">
        <v>43712</v>
      </c>
      <c r="C229" s="1" t="n">
        <v>45353</v>
      </c>
      <c r="D229" t="inlineStr">
        <is>
          <t>SÖDERMANLANDS LÄN</t>
        </is>
      </c>
      <c r="E229" t="inlineStr">
        <is>
          <t>ESKILSTUNA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45181-2019</t>
        </is>
      </c>
      <c r="B230" s="1" t="n">
        <v>43713</v>
      </c>
      <c r="C230" s="1" t="n">
        <v>45353</v>
      </c>
      <c r="D230" t="inlineStr">
        <is>
          <t>SÖDERMANLANDS LÄN</t>
        </is>
      </c>
      <c r="E230" t="inlineStr">
        <is>
          <t>ESKILSTUNA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45988-2019</t>
        </is>
      </c>
      <c r="B231" s="1" t="n">
        <v>43718</v>
      </c>
      <c r="C231" s="1" t="n">
        <v>45353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47280-2019</t>
        </is>
      </c>
      <c r="B232" s="1" t="n">
        <v>43721</v>
      </c>
      <c r="C232" s="1" t="n">
        <v>45353</v>
      </c>
      <c r="D232" t="inlineStr">
        <is>
          <t>SÖDERMANLANDS LÄN</t>
        </is>
      </c>
      <c r="E232" t="inlineStr">
        <is>
          <t>ESKILSTUNA</t>
        </is>
      </c>
      <c r="G232" t="n">
        <v>18.1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48943-2019</t>
        </is>
      </c>
      <c r="B233" s="1" t="n">
        <v>43728</v>
      </c>
      <c r="C233" s="1" t="n">
        <v>45353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Naturvårdsverket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49628-2019</t>
        </is>
      </c>
      <c r="B234" s="1" t="n">
        <v>43732</v>
      </c>
      <c r="C234" s="1" t="n">
        <v>45353</v>
      </c>
      <c r="D234" t="inlineStr">
        <is>
          <t>SÖDERMANLANDS LÄN</t>
        </is>
      </c>
      <c r="E234" t="inlineStr">
        <is>
          <t>ESKILSTUNA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49630-2019</t>
        </is>
      </c>
      <c r="B235" s="1" t="n">
        <v>43732</v>
      </c>
      <c r="C235" s="1" t="n">
        <v>45353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51608-2019</t>
        </is>
      </c>
      <c r="B236" s="1" t="n">
        <v>43733</v>
      </c>
      <c r="C236" s="1" t="n">
        <v>45353</v>
      </c>
      <c r="D236" t="inlineStr">
        <is>
          <t>SÖDERMANLANDS LÄN</t>
        </is>
      </c>
      <c r="E236" t="inlineStr">
        <is>
          <t>ESKILSTUNA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50339-2019</t>
        </is>
      </c>
      <c r="B237" s="1" t="n">
        <v>43735</v>
      </c>
      <c r="C237" s="1" t="n">
        <v>45353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50951-2019</t>
        </is>
      </c>
      <c r="B238" s="1" t="n">
        <v>43738</v>
      </c>
      <c r="C238" s="1" t="n">
        <v>45353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51292-2019</t>
        </is>
      </c>
      <c r="B239" s="1" t="n">
        <v>43739</v>
      </c>
      <c r="C239" s="1" t="n">
        <v>45353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51648-2019</t>
        </is>
      </c>
      <c r="B240" s="1" t="n">
        <v>43740</v>
      </c>
      <c r="C240" s="1" t="n">
        <v>45353</v>
      </c>
      <c r="D240" t="inlineStr">
        <is>
          <t>SÖDERMANLANDS LÄN</t>
        </is>
      </c>
      <c r="E240" t="inlineStr">
        <is>
          <t>ESKILSTUNA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52717-2019</t>
        </is>
      </c>
      <c r="B241" s="1" t="n">
        <v>43746</v>
      </c>
      <c r="C241" s="1" t="n">
        <v>45353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52720-2019</t>
        </is>
      </c>
      <c r="B242" s="1" t="n">
        <v>43746</v>
      </c>
      <c r="C242" s="1" t="n">
        <v>45353</v>
      </c>
      <c r="D242" t="inlineStr">
        <is>
          <t>SÖDERMANLANDS LÄN</t>
        </is>
      </c>
      <c r="E242" t="inlineStr">
        <is>
          <t>ESKILSTUNA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53876-2019</t>
        </is>
      </c>
      <c r="B243" s="1" t="n">
        <v>43752</v>
      </c>
      <c r="C243" s="1" t="n">
        <v>45353</v>
      </c>
      <c r="D243" t="inlineStr">
        <is>
          <t>SÖDERMANLANDS LÄN</t>
        </is>
      </c>
      <c r="E243" t="inlineStr">
        <is>
          <t>ESKILSTUNA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53872-2019</t>
        </is>
      </c>
      <c r="B244" s="1" t="n">
        <v>43752</v>
      </c>
      <c r="C244" s="1" t="n">
        <v>45353</v>
      </c>
      <c r="D244" t="inlineStr">
        <is>
          <t>SÖDERMANLANDS LÄN</t>
        </is>
      </c>
      <c r="E244" t="inlineStr">
        <is>
          <t>ESKILSTUNA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54527-2019</t>
        </is>
      </c>
      <c r="B245" s="1" t="n">
        <v>43754</v>
      </c>
      <c r="C245" s="1" t="n">
        <v>45353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Allmännings- och besparingsskogar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56435-2019</t>
        </is>
      </c>
      <c r="B246" s="1" t="n">
        <v>43756</v>
      </c>
      <c r="C246" s="1" t="n">
        <v>45353</v>
      </c>
      <c r="D246" t="inlineStr">
        <is>
          <t>SÖDERMANLANDS LÄN</t>
        </is>
      </c>
      <c r="E246" t="inlineStr">
        <is>
          <t>ESKILSTUNA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56260-2019</t>
        </is>
      </c>
      <c r="B247" s="1" t="n">
        <v>43762</v>
      </c>
      <c r="C247" s="1" t="n">
        <v>45353</v>
      </c>
      <c r="D247" t="inlineStr">
        <is>
          <t>SÖDERMANLANDS LÄN</t>
        </is>
      </c>
      <c r="E247" t="inlineStr">
        <is>
          <t>ESKILSTUNA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56658-2019</t>
        </is>
      </c>
      <c r="B248" s="1" t="n">
        <v>43763</v>
      </c>
      <c r="C248" s="1" t="n">
        <v>45353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56745-2019</t>
        </is>
      </c>
      <c r="B249" s="1" t="n">
        <v>43763</v>
      </c>
      <c r="C249" s="1" t="n">
        <v>45353</v>
      </c>
      <c r="D249" t="inlineStr">
        <is>
          <t>SÖDERMANLANDS LÄN</t>
        </is>
      </c>
      <c r="E249" t="inlineStr">
        <is>
          <t>ESKILSTUNA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56759-2019</t>
        </is>
      </c>
      <c r="B250" s="1" t="n">
        <v>43763</v>
      </c>
      <c r="C250" s="1" t="n">
        <v>45353</v>
      </c>
      <c r="D250" t="inlineStr">
        <is>
          <t>SÖDERMANLANDS LÄN</t>
        </is>
      </c>
      <c r="E250" t="inlineStr">
        <is>
          <t>ESKILSTUNA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57137-2019</t>
        </is>
      </c>
      <c r="B251" s="1" t="n">
        <v>43766</v>
      </c>
      <c r="C251" s="1" t="n">
        <v>45353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57795-2019</t>
        </is>
      </c>
      <c r="B252" s="1" t="n">
        <v>43768</v>
      </c>
      <c r="C252" s="1" t="n">
        <v>45353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57800-2019</t>
        </is>
      </c>
      <c r="B253" s="1" t="n">
        <v>43768</v>
      </c>
      <c r="C253" s="1" t="n">
        <v>45353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57992-2019</t>
        </is>
      </c>
      <c r="B254" s="1" t="n">
        <v>43769</v>
      </c>
      <c r="C254" s="1" t="n">
        <v>45353</v>
      </c>
      <c r="D254" t="inlineStr">
        <is>
          <t>SÖDERMANLANDS LÄN</t>
        </is>
      </c>
      <c r="E254" t="inlineStr">
        <is>
          <t>ESKILSTUNA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58378-2019</t>
        </is>
      </c>
      <c r="B255" s="1" t="n">
        <v>43771</v>
      </c>
      <c r="C255" s="1" t="n">
        <v>45353</v>
      </c>
      <c r="D255" t="inlineStr">
        <is>
          <t>SÖDERMANLANDS LÄN</t>
        </is>
      </c>
      <c r="E255" t="inlineStr">
        <is>
          <t>ESKILSTUNA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59547-2019</t>
        </is>
      </c>
      <c r="B256" s="1" t="n">
        <v>43776</v>
      </c>
      <c r="C256" s="1" t="n">
        <v>45353</v>
      </c>
      <c r="D256" t="inlineStr">
        <is>
          <t>SÖDERMANLANDS LÄN</t>
        </is>
      </c>
      <c r="E256" t="inlineStr">
        <is>
          <t>ESKILSTUNA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59529-2019</t>
        </is>
      </c>
      <c r="B257" s="1" t="n">
        <v>43776</v>
      </c>
      <c r="C257" s="1" t="n">
        <v>45353</v>
      </c>
      <c r="D257" t="inlineStr">
        <is>
          <t>SÖDERMANLANDS LÄN</t>
        </is>
      </c>
      <c r="E257" t="inlineStr">
        <is>
          <t>ESKILSTUNA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60731-2019</t>
        </is>
      </c>
      <c r="B258" s="1" t="n">
        <v>43781</v>
      </c>
      <c r="C258" s="1" t="n">
        <v>45353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60860-2019</t>
        </is>
      </c>
      <c r="B259" s="1" t="n">
        <v>43781</v>
      </c>
      <c r="C259" s="1" t="n">
        <v>45353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Allmännings- och besparingsskogar</t>
        </is>
      </c>
      <c r="G259" t="n">
        <v>17.5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60852-2019</t>
        </is>
      </c>
      <c r="B260" s="1" t="n">
        <v>43781</v>
      </c>
      <c r="C260" s="1" t="n">
        <v>45353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61653-2019</t>
        </is>
      </c>
      <c r="B261" s="1" t="n">
        <v>43784</v>
      </c>
      <c r="C261" s="1" t="n">
        <v>45353</v>
      </c>
      <c r="D261" t="inlineStr">
        <is>
          <t>SÖDERMANLANDS LÄN</t>
        </is>
      </c>
      <c r="E261" t="inlineStr">
        <is>
          <t>ESKILSTUNA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61713-2019</t>
        </is>
      </c>
      <c r="B262" s="1" t="n">
        <v>43784</v>
      </c>
      <c r="C262" s="1" t="n">
        <v>45353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Holmen skog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61809-2019</t>
        </is>
      </c>
      <c r="B263" s="1" t="n">
        <v>43786</v>
      </c>
      <c r="C263" s="1" t="n">
        <v>45353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61863-2019</t>
        </is>
      </c>
      <c r="B264" s="1" t="n">
        <v>43787</v>
      </c>
      <c r="C264" s="1" t="n">
        <v>45353</v>
      </c>
      <c r="D264" t="inlineStr">
        <is>
          <t>SÖDERMANLANDS LÄN</t>
        </is>
      </c>
      <c r="E264" t="inlineStr">
        <is>
          <t>ESKILSTUNA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61980-2019</t>
        </is>
      </c>
      <c r="B265" s="1" t="n">
        <v>43787</v>
      </c>
      <c r="C265" s="1" t="n">
        <v>45353</v>
      </c>
      <c r="D265" t="inlineStr">
        <is>
          <t>SÖDERMANLANDS LÄN</t>
        </is>
      </c>
      <c r="E265" t="inlineStr">
        <is>
          <t>ESKILSTUNA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62271-2019</t>
        </is>
      </c>
      <c r="B266" s="1" t="n">
        <v>43788</v>
      </c>
      <c r="C266" s="1" t="n">
        <v>45353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62257-2019</t>
        </is>
      </c>
      <c r="B267" s="1" t="n">
        <v>43788</v>
      </c>
      <c r="C267" s="1" t="n">
        <v>45353</v>
      </c>
      <c r="D267" t="inlineStr">
        <is>
          <t>SÖDERMANLANDS LÄN</t>
        </is>
      </c>
      <c r="E267" t="inlineStr">
        <is>
          <t>ESKILSTUNA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62315-2019</t>
        </is>
      </c>
      <c r="B268" s="1" t="n">
        <v>43788</v>
      </c>
      <c r="C268" s="1" t="n">
        <v>45353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62471-2019</t>
        </is>
      </c>
      <c r="B269" s="1" t="n">
        <v>43788</v>
      </c>
      <c r="C269" s="1" t="n">
        <v>45353</v>
      </c>
      <c r="D269" t="inlineStr">
        <is>
          <t>SÖDERMANLANDS LÄN</t>
        </is>
      </c>
      <c r="E269" t="inlineStr">
        <is>
          <t>ESKILSTUNA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62510-2019</t>
        </is>
      </c>
      <c r="B270" s="1" t="n">
        <v>43788</v>
      </c>
      <c r="C270" s="1" t="n">
        <v>45353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62467-2019</t>
        </is>
      </c>
      <c r="B271" s="1" t="n">
        <v>43788</v>
      </c>
      <c r="C271" s="1" t="n">
        <v>45353</v>
      </c>
      <c r="D271" t="inlineStr">
        <is>
          <t>SÖDERMANLANDS LÄN</t>
        </is>
      </c>
      <c r="E271" t="inlineStr">
        <is>
          <t>ESKILSTUNA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62469-2019</t>
        </is>
      </c>
      <c r="B272" s="1" t="n">
        <v>43788</v>
      </c>
      <c r="C272" s="1" t="n">
        <v>45353</v>
      </c>
      <c r="D272" t="inlineStr">
        <is>
          <t>SÖDERMANLANDS LÄN</t>
        </is>
      </c>
      <c r="E272" t="inlineStr">
        <is>
          <t>ESKILSTUNA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62676-2019</t>
        </is>
      </c>
      <c r="B273" s="1" t="n">
        <v>43789</v>
      </c>
      <c r="C273" s="1" t="n">
        <v>45353</v>
      </c>
      <c r="D273" t="inlineStr">
        <is>
          <t>SÖDERMANLANDS LÄN</t>
        </is>
      </c>
      <c r="E273" t="inlineStr">
        <is>
          <t>ESKILSTUNA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62977-2019</t>
        </is>
      </c>
      <c r="B274" s="1" t="n">
        <v>43790</v>
      </c>
      <c r="C274" s="1" t="n">
        <v>45353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62982-2019</t>
        </is>
      </c>
      <c r="B275" s="1" t="n">
        <v>43790</v>
      </c>
      <c r="C275" s="1" t="n">
        <v>45353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63001-2019</t>
        </is>
      </c>
      <c r="B276" s="1" t="n">
        <v>43790</v>
      </c>
      <c r="C276" s="1" t="n">
        <v>45353</v>
      </c>
      <c r="D276" t="inlineStr">
        <is>
          <t>SÖDERMANLANDS LÄN</t>
        </is>
      </c>
      <c r="E276" t="inlineStr">
        <is>
          <t>ESKILSTUNA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62995-2019</t>
        </is>
      </c>
      <c r="B277" s="1" t="n">
        <v>43790</v>
      </c>
      <c r="C277" s="1" t="n">
        <v>45353</v>
      </c>
      <c r="D277" t="inlineStr">
        <is>
          <t>SÖDERMANLANDS LÄN</t>
        </is>
      </c>
      <c r="E277" t="inlineStr">
        <is>
          <t>ESKILSTUNA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63120-2019</t>
        </is>
      </c>
      <c r="B278" s="1" t="n">
        <v>43791</v>
      </c>
      <c r="C278" s="1" t="n">
        <v>45353</v>
      </c>
      <c r="D278" t="inlineStr">
        <is>
          <t>SÖDERMANLANDS LÄN</t>
        </is>
      </c>
      <c r="E278" t="inlineStr">
        <is>
          <t>ESKILSTUNA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63566-2019</t>
        </is>
      </c>
      <c r="B279" s="1" t="n">
        <v>43795</v>
      </c>
      <c r="C279" s="1" t="n">
        <v>45353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Allmännings- och besparingsskogar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63580-2019</t>
        </is>
      </c>
      <c r="B280" s="1" t="n">
        <v>43795</v>
      </c>
      <c r="C280" s="1" t="n">
        <v>45353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63575-2019</t>
        </is>
      </c>
      <c r="B281" s="1" t="n">
        <v>43795</v>
      </c>
      <c r="C281" s="1" t="n">
        <v>45353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63586-2019</t>
        </is>
      </c>
      <c r="B282" s="1" t="n">
        <v>43795</v>
      </c>
      <c r="C282" s="1" t="n">
        <v>45353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64222-2019</t>
        </is>
      </c>
      <c r="B283" s="1" t="n">
        <v>43797</v>
      </c>
      <c r="C283" s="1" t="n">
        <v>45353</v>
      </c>
      <c r="D283" t="inlineStr">
        <is>
          <t>SÖDERMANLANDS LÄN</t>
        </is>
      </c>
      <c r="E283" t="inlineStr">
        <is>
          <t>ESKILSTUNA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65523-2019</t>
        </is>
      </c>
      <c r="B284" s="1" t="n">
        <v>43803</v>
      </c>
      <c r="C284" s="1" t="n">
        <v>45353</v>
      </c>
      <c r="D284" t="inlineStr">
        <is>
          <t>SÖDERMANLANDS LÄN</t>
        </is>
      </c>
      <c r="E284" t="inlineStr">
        <is>
          <t>ESKILSTUNA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65657-2019</t>
        </is>
      </c>
      <c r="B285" s="1" t="n">
        <v>43804</v>
      </c>
      <c r="C285" s="1" t="n">
        <v>45353</v>
      </c>
      <c r="D285" t="inlineStr">
        <is>
          <t>SÖDERMANLANDS LÄN</t>
        </is>
      </c>
      <c r="E285" t="inlineStr">
        <is>
          <t>ESKILSTUNA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65747-2019</t>
        </is>
      </c>
      <c r="B286" s="1" t="n">
        <v>43804</v>
      </c>
      <c r="C286" s="1" t="n">
        <v>45353</v>
      </c>
      <c r="D286" t="inlineStr">
        <is>
          <t>SÖDERMANLANDS LÄN</t>
        </is>
      </c>
      <c r="E286" t="inlineStr">
        <is>
          <t>ESKILSTUNA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65766-2019</t>
        </is>
      </c>
      <c r="B287" s="1" t="n">
        <v>43804</v>
      </c>
      <c r="C287" s="1" t="n">
        <v>45353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66876-2019</t>
        </is>
      </c>
      <c r="B288" s="1" t="n">
        <v>43804</v>
      </c>
      <c r="C288" s="1" t="n">
        <v>45353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67164-2019</t>
        </is>
      </c>
      <c r="B289" s="1" t="n">
        <v>43804</v>
      </c>
      <c r="C289" s="1" t="n">
        <v>45353</v>
      </c>
      <c r="D289" t="inlineStr">
        <is>
          <t>SÖDERMANLANDS LÄN</t>
        </is>
      </c>
      <c r="E289" t="inlineStr">
        <is>
          <t>ESKILSTUNA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65961-2019</t>
        </is>
      </c>
      <c r="B290" s="1" t="n">
        <v>43805</v>
      </c>
      <c r="C290" s="1" t="n">
        <v>45353</v>
      </c>
      <c r="D290" t="inlineStr">
        <is>
          <t>SÖDERMANLANDS LÄN</t>
        </is>
      </c>
      <c r="E290" t="inlineStr">
        <is>
          <t>ESKILSTUNA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66901-2019</t>
        </is>
      </c>
      <c r="B291" s="1" t="n">
        <v>43805</v>
      </c>
      <c r="C291" s="1" t="n">
        <v>45353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66285-2019</t>
        </is>
      </c>
      <c r="B292" s="1" t="n">
        <v>43808</v>
      </c>
      <c r="C292" s="1" t="n">
        <v>45353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66363-2019</t>
        </is>
      </c>
      <c r="B293" s="1" t="n">
        <v>43808</v>
      </c>
      <c r="C293" s="1" t="n">
        <v>45353</v>
      </c>
      <c r="D293" t="inlineStr">
        <is>
          <t>SÖDERMANLANDS LÄN</t>
        </is>
      </c>
      <c r="E293" t="inlineStr">
        <is>
          <t>ESKILSTUNA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67320-2019</t>
        </is>
      </c>
      <c r="B294" s="1" t="n">
        <v>43808</v>
      </c>
      <c r="C294" s="1" t="n">
        <v>45353</v>
      </c>
      <c r="D294" t="inlineStr">
        <is>
          <t>SÖDERMANLANDS LÄN</t>
        </is>
      </c>
      <c r="E294" t="inlineStr">
        <is>
          <t>ESKILSTUNA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66360-2019</t>
        </is>
      </c>
      <c r="B295" s="1" t="n">
        <v>43808</v>
      </c>
      <c r="C295" s="1" t="n">
        <v>45353</v>
      </c>
      <c r="D295" t="inlineStr">
        <is>
          <t>SÖDERMANLANDS LÄN</t>
        </is>
      </c>
      <c r="E295" t="inlineStr">
        <is>
          <t>ESKILSTUNA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67307-2019</t>
        </is>
      </c>
      <c r="B296" s="1" t="n">
        <v>43808</v>
      </c>
      <c r="C296" s="1" t="n">
        <v>45353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67311-2019</t>
        </is>
      </c>
      <c r="B297" s="1" t="n">
        <v>43812</v>
      </c>
      <c r="C297" s="1" t="n">
        <v>45353</v>
      </c>
      <c r="D297" t="inlineStr">
        <is>
          <t>SÖDERMANLANDS LÄN</t>
        </is>
      </c>
      <c r="E297" t="inlineStr">
        <is>
          <t>ESKILSTUNA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67327-2019</t>
        </is>
      </c>
      <c r="B298" s="1" t="n">
        <v>43812</v>
      </c>
      <c r="C298" s="1" t="n">
        <v>45353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67306-2019</t>
        </is>
      </c>
      <c r="B299" s="1" t="n">
        <v>43812</v>
      </c>
      <c r="C299" s="1" t="n">
        <v>45353</v>
      </c>
      <c r="D299" t="inlineStr">
        <is>
          <t>SÖDERMANLANDS LÄN</t>
        </is>
      </c>
      <c r="E299" t="inlineStr">
        <is>
          <t>ESKILSTUNA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67321-2019</t>
        </is>
      </c>
      <c r="B300" s="1" t="n">
        <v>43812</v>
      </c>
      <c r="C300" s="1" t="n">
        <v>45353</v>
      </c>
      <c r="D300" t="inlineStr">
        <is>
          <t>SÖDERMANLANDS LÄN</t>
        </is>
      </c>
      <c r="E300" t="inlineStr">
        <is>
          <t>ESKILSTUNA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67955-2019</t>
        </is>
      </c>
      <c r="B301" s="1" t="n">
        <v>43816</v>
      </c>
      <c r="C301" s="1" t="n">
        <v>45353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68984-2019</t>
        </is>
      </c>
      <c r="B302" s="1" t="n">
        <v>43825</v>
      </c>
      <c r="C302" s="1" t="n">
        <v>45353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1720-2020</t>
        </is>
      </c>
      <c r="B303" s="1" t="n">
        <v>43844</v>
      </c>
      <c r="C303" s="1" t="n">
        <v>45353</v>
      </c>
      <c r="D303" t="inlineStr">
        <is>
          <t>SÖDERMANLANDS LÄN</t>
        </is>
      </c>
      <c r="E303" t="inlineStr">
        <is>
          <t>ESKILSTUNA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3687-2020</t>
        </is>
      </c>
      <c r="B304" s="1" t="n">
        <v>43845</v>
      </c>
      <c r="C304" s="1" t="n">
        <v>45353</v>
      </c>
      <c r="D304" t="inlineStr">
        <is>
          <t>SÖDERMANLANDS LÄN</t>
        </is>
      </c>
      <c r="E304" t="inlineStr">
        <is>
          <t>ESKILSTUNA</t>
        </is>
      </c>
      <c r="G304" t="n">
        <v>17.8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2113-2020</t>
        </is>
      </c>
      <c r="B305" s="1" t="n">
        <v>43846</v>
      </c>
      <c r="C305" s="1" t="n">
        <v>45353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Kyrkan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2486-2020</t>
        </is>
      </c>
      <c r="B306" s="1" t="n">
        <v>43847</v>
      </c>
      <c r="C306" s="1" t="n">
        <v>45353</v>
      </c>
      <c r="D306" t="inlineStr">
        <is>
          <t>SÖDERMANLANDS LÄN</t>
        </is>
      </c>
      <c r="E306" t="inlineStr">
        <is>
          <t>ESKILSTUNA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2502-2020</t>
        </is>
      </c>
      <c r="B307" s="1" t="n">
        <v>43847</v>
      </c>
      <c r="C307" s="1" t="n">
        <v>45353</v>
      </c>
      <c r="D307" t="inlineStr">
        <is>
          <t>SÖDERMANLANDS LÄN</t>
        </is>
      </c>
      <c r="E307" t="inlineStr">
        <is>
          <t>ESKILSTUNA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2509-2020</t>
        </is>
      </c>
      <c r="B308" s="1" t="n">
        <v>43847</v>
      </c>
      <c r="C308" s="1" t="n">
        <v>45353</v>
      </c>
      <c r="D308" t="inlineStr">
        <is>
          <t>SÖDERMANLANDS LÄN</t>
        </is>
      </c>
      <c r="E308" t="inlineStr">
        <is>
          <t>ESKILSTUNA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2661-2020</t>
        </is>
      </c>
      <c r="B309" s="1" t="n">
        <v>43848</v>
      </c>
      <c r="C309" s="1" t="n">
        <v>45353</v>
      </c>
      <c r="D309" t="inlineStr">
        <is>
          <t>SÖDERMANLANDS LÄN</t>
        </is>
      </c>
      <c r="E309" t="inlineStr">
        <is>
          <t>ESKILSTUNA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2879-2020</t>
        </is>
      </c>
      <c r="B310" s="1" t="n">
        <v>43850</v>
      </c>
      <c r="C310" s="1" t="n">
        <v>45353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2975-2020</t>
        </is>
      </c>
      <c r="B311" s="1" t="n">
        <v>43850</v>
      </c>
      <c r="C311" s="1" t="n">
        <v>45353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3931-2020</t>
        </is>
      </c>
      <c r="B312" s="1" t="n">
        <v>43851</v>
      </c>
      <c r="C312" s="1" t="n">
        <v>45353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4805-2020</t>
        </is>
      </c>
      <c r="B313" s="1" t="n">
        <v>43852</v>
      </c>
      <c r="C313" s="1" t="n">
        <v>45353</v>
      </c>
      <c r="D313" t="inlineStr">
        <is>
          <t>SÖDERMANLANDS LÄN</t>
        </is>
      </c>
      <c r="E313" t="inlineStr">
        <is>
          <t>ESKILSTUNA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4845-2020</t>
        </is>
      </c>
      <c r="B314" s="1" t="n">
        <v>43852</v>
      </c>
      <c r="C314" s="1" t="n">
        <v>45353</v>
      </c>
      <c r="D314" t="inlineStr">
        <is>
          <t>SÖDERMANLANDS LÄN</t>
        </is>
      </c>
      <c r="E314" t="inlineStr">
        <is>
          <t>ESKILSTUNA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3667-2020</t>
        </is>
      </c>
      <c r="B315" s="1" t="n">
        <v>43853</v>
      </c>
      <c r="C315" s="1" t="n">
        <v>45353</v>
      </c>
      <c r="D315" t="inlineStr">
        <is>
          <t>SÖDERMANLANDS LÄN</t>
        </is>
      </c>
      <c r="E315" t="inlineStr">
        <is>
          <t>ESKILSTUNA</t>
        </is>
      </c>
      <c r="G315" t="n">
        <v>50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3718-2020</t>
        </is>
      </c>
      <c r="B316" s="1" t="n">
        <v>43853</v>
      </c>
      <c r="C316" s="1" t="n">
        <v>45353</v>
      </c>
      <c r="D316" t="inlineStr">
        <is>
          <t>SÖDERMANLANDS LÄN</t>
        </is>
      </c>
      <c r="E316" t="inlineStr">
        <is>
          <t>ESKILSTUNA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5068-2020</t>
        </is>
      </c>
      <c r="B317" s="1" t="n">
        <v>43859</v>
      </c>
      <c r="C317" s="1" t="n">
        <v>45353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Kyrkan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5258-2020</t>
        </is>
      </c>
      <c r="B318" s="1" t="n">
        <v>43860</v>
      </c>
      <c r="C318" s="1" t="n">
        <v>45353</v>
      </c>
      <c r="D318" t="inlineStr">
        <is>
          <t>SÖDERMANLANDS LÄN</t>
        </is>
      </c>
      <c r="E318" t="inlineStr">
        <is>
          <t>ESKILSTUNA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5700-2020</t>
        </is>
      </c>
      <c r="B319" s="1" t="n">
        <v>43861</v>
      </c>
      <c r="C319" s="1" t="n">
        <v>45353</v>
      </c>
      <c r="D319" t="inlineStr">
        <is>
          <t>SÖDERMANLANDS LÄN</t>
        </is>
      </c>
      <c r="E319" t="inlineStr">
        <is>
          <t>ESKILSTUNA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5719-2020</t>
        </is>
      </c>
      <c r="B320" s="1" t="n">
        <v>43862</v>
      </c>
      <c r="C320" s="1" t="n">
        <v>45353</v>
      </c>
      <c r="D320" t="inlineStr">
        <is>
          <t>SÖDERMANLANDS LÄN</t>
        </is>
      </c>
      <c r="E320" t="inlineStr">
        <is>
          <t>ESKILSTUNA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6439-2020</t>
        </is>
      </c>
      <c r="B321" s="1" t="n">
        <v>43866</v>
      </c>
      <c r="C321" s="1" t="n">
        <v>45353</v>
      </c>
      <c r="D321" t="inlineStr">
        <is>
          <t>SÖDERMANLANDS LÄN</t>
        </is>
      </c>
      <c r="E321" t="inlineStr">
        <is>
          <t>ESKILSTUNA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10087-2020</t>
        </is>
      </c>
      <c r="B322" s="1" t="n">
        <v>43885</v>
      </c>
      <c r="C322" s="1" t="n">
        <v>45353</v>
      </c>
      <c r="D322" t="inlineStr">
        <is>
          <t>SÖDERMANLANDS LÄN</t>
        </is>
      </c>
      <c r="E322" t="inlineStr">
        <is>
          <t>ESKILSTUNA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11896-2020</t>
        </is>
      </c>
      <c r="B323" s="1" t="n">
        <v>43894</v>
      </c>
      <c r="C323" s="1" t="n">
        <v>45353</v>
      </c>
      <c r="D323" t="inlineStr">
        <is>
          <t>SÖDERMANLANDS LÄN</t>
        </is>
      </c>
      <c r="E323" t="inlineStr">
        <is>
          <t>ESKILSTUNA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12510-2020</t>
        </is>
      </c>
      <c r="B324" s="1" t="n">
        <v>43896</v>
      </c>
      <c r="C324" s="1" t="n">
        <v>45353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13538-2020</t>
        </is>
      </c>
      <c r="B325" s="1" t="n">
        <v>43902</v>
      </c>
      <c r="C325" s="1" t="n">
        <v>45353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13843-2020</t>
        </is>
      </c>
      <c r="B326" s="1" t="n">
        <v>43903</v>
      </c>
      <c r="C326" s="1" t="n">
        <v>45353</v>
      </c>
      <c r="D326" t="inlineStr">
        <is>
          <t>SÖDERMANLANDS LÄN</t>
        </is>
      </c>
      <c r="E326" t="inlineStr">
        <is>
          <t>ESKILSTUNA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14394-2020</t>
        </is>
      </c>
      <c r="B327" s="1" t="n">
        <v>43908</v>
      </c>
      <c r="C327" s="1" t="n">
        <v>45353</v>
      </c>
      <c r="D327" t="inlineStr">
        <is>
          <t>SÖDERMANLANDS LÄN</t>
        </is>
      </c>
      <c r="E327" t="inlineStr">
        <is>
          <t>ESKILSTUNA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14893-2020</t>
        </is>
      </c>
      <c r="B328" s="1" t="n">
        <v>43910</v>
      </c>
      <c r="C328" s="1" t="n">
        <v>45353</v>
      </c>
      <c r="D328" t="inlineStr">
        <is>
          <t>SÖDERMANLANDS LÄN</t>
        </is>
      </c>
      <c r="E328" t="inlineStr">
        <is>
          <t>ESKILSTUNA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15394-2020</t>
        </is>
      </c>
      <c r="B329" s="1" t="n">
        <v>43913</v>
      </c>
      <c r="C329" s="1" t="n">
        <v>45353</v>
      </c>
      <c r="D329" t="inlineStr">
        <is>
          <t>SÖDERMANLANDS LÄN</t>
        </is>
      </c>
      <c r="E329" t="inlineStr">
        <is>
          <t>ESKILSTUNA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16846-2020</t>
        </is>
      </c>
      <c r="B330" s="1" t="n">
        <v>43921</v>
      </c>
      <c r="C330" s="1" t="n">
        <v>45353</v>
      </c>
      <c r="D330" t="inlineStr">
        <is>
          <t>SÖDERMANLANDS LÄN</t>
        </is>
      </c>
      <c r="E330" t="inlineStr">
        <is>
          <t>ESKILSTUNA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16835-2020</t>
        </is>
      </c>
      <c r="B331" s="1" t="n">
        <v>43921</v>
      </c>
      <c r="C331" s="1" t="n">
        <v>45353</v>
      </c>
      <c r="D331" t="inlineStr">
        <is>
          <t>SÖDERMANLANDS LÄN</t>
        </is>
      </c>
      <c r="E331" t="inlineStr">
        <is>
          <t>ESKILSTUNA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19227-2020</t>
        </is>
      </c>
      <c r="B332" s="1" t="n">
        <v>43937</v>
      </c>
      <c r="C332" s="1" t="n">
        <v>45353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19418-2020</t>
        </is>
      </c>
      <c r="B333" s="1" t="n">
        <v>43938</v>
      </c>
      <c r="C333" s="1" t="n">
        <v>45353</v>
      </c>
      <c r="D333" t="inlineStr">
        <is>
          <t>SÖDERMANLANDS LÄN</t>
        </is>
      </c>
      <c r="E333" t="inlineStr">
        <is>
          <t>ESKILSTUNA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19475-2020</t>
        </is>
      </c>
      <c r="B334" s="1" t="n">
        <v>43938</v>
      </c>
      <c r="C334" s="1" t="n">
        <v>45353</v>
      </c>
      <c r="D334" t="inlineStr">
        <is>
          <t>SÖDERMANLANDS LÄN</t>
        </is>
      </c>
      <c r="E334" t="inlineStr">
        <is>
          <t>ESKILSTUNA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19490-2020</t>
        </is>
      </c>
      <c r="B335" s="1" t="n">
        <v>43938</v>
      </c>
      <c r="C335" s="1" t="n">
        <v>45353</v>
      </c>
      <c r="D335" t="inlineStr">
        <is>
          <t>SÖDERMANLANDS LÄN</t>
        </is>
      </c>
      <c r="E335" t="inlineStr">
        <is>
          <t>ESKILSTUNA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19562-2020</t>
        </is>
      </c>
      <c r="B336" s="1" t="n">
        <v>43941</v>
      </c>
      <c r="C336" s="1" t="n">
        <v>45353</v>
      </c>
      <c r="D336" t="inlineStr">
        <is>
          <t>SÖDERMANLANDS LÄN</t>
        </is>
      </c>
      <c r="E336" t="inlineStr">
        <is>
          <t>ESKILSTUNA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22398-2020</t>
        </is>
      </c>
      <c r="B337" s="1" t="n">
        <v>43962</v>
      </c>
      <c r="C337" s="1" t="n">
        <v>45353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23450-2020</t>
        </is>
      </c>
      <c r="B338" s="1" t="n">
        <v>43966</v>
      </c>
      <c r="C338" s="1" t="n">
        <v>45353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23468-2020</t>
        </is>
      </c>
      <c r="B339" s="1" t="n">
        <v>43966</v>
      </c>
      <c r="C339" s="1" t="n">
        <v>45353</v>
      </c>
      <c r="D339" t="inlineStr">
        <is>
          <t>SÖDERMANLANDS LÄN</t>
        </is>
      </c>
      <c r="E339" t="inlineStr">
        <is>
          <t>ESKILSTUNA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45353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45353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45353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45353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45353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45353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45353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45353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45353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45353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45353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45353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45353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45353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45353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45353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45353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45353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45353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45353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45353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45353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45353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45353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45353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45353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45353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45353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45353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45353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45353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45353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45353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45353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45353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45353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45353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45353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45353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45353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45353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45353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45353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45353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45353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45353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45353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45353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45353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45353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45353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45353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45353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45353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45353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45353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45353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45353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45353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45353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45353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45353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45353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45353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45353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45353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45353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45353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45353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45353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45353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45353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45353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45353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45353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45353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45353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45353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45353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45353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45353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45353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45353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45353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45353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45353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45353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45353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45353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45353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45353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45353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45353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45353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45353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45353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45353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45353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45353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45353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45353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45353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45353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45353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45353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45353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45353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45353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45353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45353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45353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45353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45353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45353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45353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45353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45353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45353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45353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45353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45353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45353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45353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45353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45353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45353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45353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45353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45353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45353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45353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45353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45353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45353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45353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45353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45353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45353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45353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45353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45353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45353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45353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45353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45353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45353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45353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45353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45353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45353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45353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45353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45353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45353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45353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45353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45353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45353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45353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45353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45353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45353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45353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45353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45353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45353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45353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45353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45353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45353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45353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45353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45353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45353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45353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45353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45353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45353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45353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45353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45353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45353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45353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45353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45353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45353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45353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45353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45353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45353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45353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45353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45353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45353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45353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45353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45353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45353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45353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45353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45353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45353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45353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45353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45353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45353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45353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45353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45353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45353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45353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45353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45353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45353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45353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45353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45353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45353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45353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45353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45353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45353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45353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45353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45353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45353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45353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45353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45353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45353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45353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45353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45353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45353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45353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45353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45353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45353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45353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45353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45353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45353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45353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45353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45353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45353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45353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45353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45353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45353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45353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45353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45353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45353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45353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45353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45353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45353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45353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45353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45353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45353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45353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45353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45353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45353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45353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45353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45353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45353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45353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45353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45353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45353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45353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45353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45353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45353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45353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45353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45353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45353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45353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45353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45353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45353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45353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45353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45353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45353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45353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45353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45353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45353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45353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45353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45353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45353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45353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45353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45353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45353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45353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45353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45353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45353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45353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45353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45353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45353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45353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45353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45353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45353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45353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45353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45353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45353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45353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45353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45353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45353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45353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45353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45353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45353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45353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45353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45353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45353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45353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45353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45353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45353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45353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45353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45353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45353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45353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45353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45353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45353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45353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45353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45353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45353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45353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45353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45353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45353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45353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45353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45353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45353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45353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45353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45353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45353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45353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45353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45353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45353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45353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45353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45353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45353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45353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45353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45353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45353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45353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45353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45353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45353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45353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45353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45353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45353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45353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45353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45353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45353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45353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45353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45353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45353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45353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45353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45353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45353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45353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45353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45353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45353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45353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45353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45353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45353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45353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45353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45353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45353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45353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45353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45353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45353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45353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45353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45353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45353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45353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45353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45353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45353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45353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45353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45353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45353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45353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45353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45353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45353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45353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45353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45353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45353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45353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45353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45353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45353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45353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45353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45353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45353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45353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45353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45353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45353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45353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45353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45353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45353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45353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45353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45353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45353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45353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45353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45353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45353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45353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45353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45353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45353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45353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45353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45353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45353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45353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45353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45353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45353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45353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45353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45353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45353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45353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45353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45353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45353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45353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45353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45353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45353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45353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45353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45353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45353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45353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45353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45353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45353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45353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45353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45353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45353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45353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45353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45353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45353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45353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45353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45353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45353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45353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45353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45353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45353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45353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45353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45353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45353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45353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45353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45353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45353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45353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45353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45353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45353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45353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45353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45353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45353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45353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45353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45353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45353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45353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45353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45353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45353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45353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45353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45353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45353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45353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45353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45353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45353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45353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45353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45353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45353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45353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45353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45353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45353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45353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45353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45353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45353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45353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45353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45353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45353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45353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45353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45353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45353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45353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45353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45353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45353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4305-2024</t>
        </is>
      </c>
      <c r="B1016" s="1" t="n">
        <v>45324</v>
      </c>
      <c r="C1016" s="1" t="n">
        <v>45353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4307-2024</t>
        </is>
      </c>
      <c r="B1017" s="1" t="n">
        <v>45324</v>
      </c>
      <c r="C1017" s="1" t="n">
        <v>45353</v>
      </c>
      <c r="D1017" t="inlineStr">
        <is>
          <t>SÖDERMANLANDS LÄN</t>
        </is>
      </c>
      <c r="E1017" t="inlineStr">
        <is>
          <t>ESKILSTUNA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45353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45353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5044-2024</t>
        </is>
      </c>
      <c r="B1020" s="1" t="n">
        <v>45329</v>
      </c>
      <c r="C1020" s="1" t="n">
        <v>45353</v>
      </c>
      <c r="D1020" t="inlineStr">
        <is>
          <t>SÖDERMANLANDS LÄN</t>
        </is>
      </c>
      <c r="E1020" t="inlineStr">
        <is>
          <t>ESKILSTUNA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45353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45353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45353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45353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45353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45353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45353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45353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45353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45353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7000-2024</t>
        </is>
      </c>
      <c r="B1031" s="1" t="n">
        <v>45343</v>
      </c>
      <c r="C1031" s="1" t="n">
        <v>45353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7331-2024</t>
        </is>
      </c>
      <c r="B1032" s="1" t="n">
        <v>45345</v>
      </c>
      <c r="C1032" s="1" t="n">
        <v>45353</v>
      </c>
      <c r="D1032" t="inlineStr">
        <is>
          <t>SÖDERMANLANDS LÄN</t>
        </is>
      </c>
      <c r="E1032" t="inlineStr">
        <is>
          <t>ESKILSTUNA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45353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7409-2024</t>
        </is>
      </c>
      <c r="B1034" s="1" t="n">
        <v>45345</v>
      </c>
      <c r="C1034" s="1" t="n">
        <v>45353</v>
      </c>
      <c r="D1034" t="inlineStr">
        <is>
          <t>SÖDERMANLANDS LÄN</t>
        </is>
      </c>
      <c r="E1034" t="inlineStr">
        <is>
          <t>ESKILSTUNA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8143-2024</t>
        </is>
      </c>
      <c r="B1035" s="1" t="n">
        <v>45351</v>
      </c>
      <c r="C1035" s="1" t="n">
        <v>45353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2024-03-02T13:07:03Z</dcterms:created>
  <dcterms:modified xmlns:dcterms="http://purl.org/dc/terms/" xmlns:xsi="http://www.w3.org/2001/XMLSchema-instance" xsi:type="dcterms:W3CDTF">2024-03-02T13:07:04Z</dcterms:modified>
</cp:coreProperties>
</file>