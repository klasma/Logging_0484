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45571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45571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45571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45571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45571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45571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45571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45571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45571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45571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45571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45571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45571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45571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45571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45571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45571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45571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45571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45571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45571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45571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45571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57266-2020</t>
        </is>
      </c>
      <c r="B25" s="1" t="n">
        <v>44139</v>
      </c>
      <c r="C25" s="1" t="n">
        <v>45571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11.9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Tallticka
Ullticka
Blåmossa</t>
        </is>
      </c>
      <c r="S25">
        <f>HYPERLINK("https://klasma.github.io/Logging_0484/artfynd/A 57266-2020 artfynd.xlsx", "A 57266-2020")</f>
        <v/>
      </c>
      <c r="T25">
        <f>HYPERLINK("https://klasma.github.io/Logging_0484/kartor/A 57266-2020 karta.png", "A 57266-2020")</f>
        <v/>
      </c>
      <c r="U25">
        <f>HYPERLINK("https://klasma.github.io/Logging_0484/knärot/A 57266-2020 karta knärot.png", "A 57266-2020")</f>
        <v/>
      </c>
      <c r="V25">
        <f>HYPERLINK("https://klasma.github.io/Logging_0484/klagomål/A 57266-2020 FSC-klagomål.docx", "A 57266-2020")</f>
        <v/>
      </c>
      <c r="W25">
        <f>HYPERLINK("https://klasma.github.io/Logging_0484/klagomålsmail/A 57266-2020 FSC-klagomål mail.docx", "A 57266-2020")</f>
        <v/>
      </c>
      <c r="X25">
        <f>HYPERLINK("https://klasma.github.io/Logging_0484/tillsyn/A 57266-2020 tillsynsbegäran.docx", "A 57266-2020")</f>
        <v/>
      </c>
      <c r="Y25">
        <f>HYPERLINK("https://klasma.github.io/Logging_0484/tillsynsmail/A 57266-2020 tillsynsbegäran mail.docx", "A 57266-2020")</f>
        <v/>
      </c>
    </row>
    <row r="26" ht="15" customHeight="1">
      <c r="A26" t="inlineStr">
        <is>
          <t>A 6861-2021</t>
        </is>
      </c>
      <c r="B26" s="1" t="n">
        <v>44237</v>
      </c>
      <c r="C26" s="1" t="n">
        <v>45571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Blodticka
Grönpyrola
Blåsippa</t>
        </is>
      </c>
      <c r="S26">
        <f>HYPERLINK("https://klasma.github.io/Logging_0484/artfynd/A 6861-2021 artfynd.xlsx", "A 6861-2021")</f>
        <v/>
      </c>
      <c r="T26">
        <f>HYPERLINK("https://klasma.github.io/Logging_0484/kartor/A 6861-2021 karta.png", "A 6861-2021")</f>
        <v/>
      </c>
      <c r="U26">
        <f>HYPERLINK("https://klasma.github.io/Logging_0484/knärot/A 6861-2021 karta knärot.png", "A 6861-2021")</f>
        <v/>
      </c>
      <c r="V26">
        <f>HYPERLINK("https://klasma.github.io/Logging_0484/klagomål/A 6861-2021 FSC-klagomål.docx", "A 6861-2021")</f>
        <v/>
      </c>
      <c r="W26">
        <f>HYPERLINK("https://klasma.github.io/Logging_0484/klagomålsmail/A 6861-2021 FSC-klagomål mail.docx", "A 6861-2021")</f>
        <v/>
      </c>
      <c r="X26">
        <f>HYPERLINK("https://klasma.github.io/Logging_0484/tillsyn/A 6861-2021 tillsynsbegäran.docx", "A 6861-2021")</f>
        <v/>
      </c>
      <c r="Y26">
        <f>HYPERLINK("https://klasma.github.io/Logging_0484/tillsynsmail/A 6861-2021 tillsynsbegäran mail.docx", "A 6861-2021")</f>
        <v/>
      </c>
    </row>
    <row r="27" ht="15" customHeight="1">
      <c r="A27" t="inlineStr">
        <is>
          <t>A 24111-2021</t>
        </is>
      </c>
      <c r="B27" s="1" t="n">
        <v>44336</v>
      </c>
      <c r="C27" s="1" t="n">
        <v>45571</v>
      </c>
      <c r="D27" t="inlineStr">
        <is>
          <t>SÖDERMANLANDS LÄN</t>
        </is>
      </c>
      <c r="E27" t="inlineStr">
        <is>
          <t>ESKILSTUNA</t>
        </is>
      </c>
      <c r="G27" t="n">
        <v>5.7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Svinrot
Svart trolldruva
Blåsippa
Gullviva</t>
        </is>
      </c>
      <c r="S27">
        <f>HYPERLINK("https://klasma.github.io/Logging_0484/artfynd/A 24111-2021 artfynd.xlsx", "A 24111-2021")</f>
        <v/>
      </c>
      <c r="T27">
        <f>HYPERLINK("https://klasma.github.io/Logging_0484/kartor/A 24111-2021 karta.png", "A 24111-2021")</f>
        <v/>
      </c>
      <c r="V27">
        <f>HYPERLINK("https://klasma.github.io/Logging_0484/klagomål/A 24111-2021 FSC-klagomål.docx", "A 24111-2021")</f>
        <v/>
      </c>
      <c r="W27">
        <f>HYPERLINK("https://klasma.github.io/Logging_0484/klagomålsmail/A 24111-2021 FSC-klagomål mail.docx", "A 24111-2021")</f>
        <v/>
      </c>
      <c r="X27">
        <f>HYPERLINK("https://klasma.github.io/Logging_0484/tillsyn/A 24111-2021 tillsynsbegäran.docx", "A 24111-2021")</f>
        <v/>
      </c>
      <c r="Y27">
        <f>HYPERLINK("https://klasma.github.io/Logging_0484/tillsynsmail/A 24111-2021 tillsynsbegäran mail.docx", "A 24111-2021")</f>
        <v/>
      </c>
    </row>
    <row r="28" ht="15" customHeight="1">
      <c r="A28" t="inlineStr">
        <is>
          <t>A 2968-2022</t>
        </is>
      </c>
      <c r="B28" s="1" t="n">
        <v>44581</v>
      </c>
      <c r="C28" s="1" t="n">
        <v>45571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Kommuner</t>
        </is>
      </c>
      <c r="G28" t="n">
        <v>5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Bronshjon
Dropptaggsvamp
Vedticka
Blåsippa</t>
        </is>
      </c>
      <c r="S28">
        <f>HYPERLINK("https://klasma.github.io/Logging_0484/artfynd/A 2968-2022 artfynd.xlsx", "A 2968-2022")</f>
        <v/>
      </c>
      <c r="T28">
        <f>HYPERLINK("https://klasma.github.io/Logging_0484/kartor/A 2968-2022 karta.png", "A 2968-2022")</f>
        <v/>
      </c>
      <c r="V28">
        <f>HYPERLINK("https://klasma.github.io/Logging_0484/klagomål/A 2968-2022 FSC-klagomål.docx", "A 2968-2022")</f>
        <v/>
      </c>
      <c r="W28">
        <f>HYPERLINK("https://klasma.github.io/Logging_0484/klagomålsmail/A 2968-2022 FSC-klagomål mail.docx", "A 2968-2022")</f>
        <v/>
      </c>
      <c r="X28">
        <f>HYPERLINK("https://klasma.github.io/Logging_0484/tillsyn/A 2968-2022 tillsynsbegäran.docx", "A 2968-2022")</f>
        <v/>
      </c>
      <c r="Y28">
        <f>HYPERLINK("https://klasma.github.io/Logging_0484/tillsynsmail/A 2968-2022 tillsynsbegäran mail.docx", "A 2968-2022")</f>
        <v/>
      </c>
    </row>
    <row r="29" ht="15" customHeight="1">
      <c r="A29" t="inlineStr">
        <is>
          <t>A 30969-2022</t>
        </is>
      </c>
      <c r="B29" s="1" t="n">
        <v>44768</v>
      </c>
      <c r="C29" s="1" t="n">
        <v>45571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Stare
Havsörn
Spillkråka
Hasselticka</t>
        </is>
      </c>
      <c r="S29">
        <f>HYPERLINK("https://klasma.github.io/Logging_0484/artfynd/A 30969-2022 artfynd.xlsx", "A 30969-2022")</f>
        <v/>
      </c>
      <c r="T29">
        <f>HYPERLINK("https://klasma.github.io/Logging_0484/kartor/A 30969-2022 karta.png", "A 30969-2022")</f>
        <v/>
      </c>
      <c r="V29">
        <f>HYPERLINK("https://klasma.github.io/Logging_0484/klagomål/A 30969-2022 FSC-klagomål.docx", "A 30969-2022")</f>
        <v/>
      </c>
      <c r="W29">
        <f>HYPERLINK("https://klasma.github.io/Logging_0484/klagomålsmail/A 30969-2022 FSC-klagomål mail.docx", "A 30969-2022")</f>
        <v/>
      </c>
      <c r="X29">
        <f>HYPERLINK("https://klasma.github.io/Logging_0484/tillsyn/A 30969-2022 tillsynsbegäran.docx", "A 30969-2022")</f>
        <v/>
      </c>
      <c r="Y29">
        <f>HYPERLINK("https://klasma.github.io/Logging_0484/tillsynsmail/A 30969-2022 tillsynsbegäran mail.docx", "A 30969-2022")</f>
        <v/>
      </c>
      <c r="Z29">
        <f>HYPERLINK("https://klasma.github.io/Logging_0484/fåglar/A 30969-2022 prioriterade fågelarter.docx", "A 30969-2022")</f>
        <v/>
      </c>
    </row>
    <row r="30" ht="15" customHeight="1">
      <c r="A30" t="inlineStr">
        <is>
          <t>A 33699-2022</t>
        </is>
      </c>
      <c r="B30" s="1" t="n">
        <v>44789</v>
      </c>
      <c r="C30" s="1" t="n">
        <v>45571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Mindre märgborre
Blåsippa
Mattlummer</t>
        </is>
      </c>
      <c r="S30">
        <f>HYPERLINK("https://klasma.github.io/Logging_0484/artfynd/A 33699-2022 artfynd.xlsx", "A 33699-2022")</f>
        <v/>
      </c>
      <c r="T30">
        <f>HYPERLINK("https://klasma.github.io/Logging_0484/kartor/A 33699-2022 karta.png", "A 33699-2022")</f>
        <v/>
      </c>
      <c r="U30">
        <f>HYPERLINK("https://klasma.github.io/Logging_0484/knärot/A 33699-2022 karta knärot.png", "A 33699-2022")</f>
        <v/>
      </c>
      <c r="V30">
        <f>HYPERLINK("https://klasma.github.io/Logging_0484/klagomål/A 33699-2022 FSC-klagomål.docx", "A 33699-2022")</f>
        <v/>
      </c>
      <c r="W30">
        <f>HYPERLINK("https://klasma.github.io/Logging_0484/klagomålsmail/A 33699-2022 FSC-klagomål mail.docx", "A 33699-2022")</f>
        <v/>
      </c>
      <c r="X30">
        <f>HYPERLINK("https://klasma.github.io/Logging_0484/tillsyn/A 33699-2022 tillsynsbegäran.docx", "A 33699-2022")</f>
        <v/>
      </c>
      <c r="Y30">
        <f>HYPERLINK("https://klasma.github.io/Logging_0484/tillsynsmail/A 33699-2022 tillsynsbegäran mail.docx", "A 33699-2022")</f>
        <v/>
      </c>
    </row>
    <row r="31" ht="15" customHeight="1">
      <c r="A31" t="inlineStr">
        <is>
          <t>A 4219-2023</t>
        </is>
      </c>
      <c r="B31" s="1" t="n">
        <v>44953</v>
      </c>
      <c r="C31" s="1" t="n">
        <v>45571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0.6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Leptoporus erubescens
Talltita
Mindre märgborre</t>
        </is>
      </c>
      <c r="S31">
        <f>HYPERLINK("https://klasma.github.io/Logging_0484/artfynd/A 4219-2023 artfynd.xlsx", "A 4219-2023")</f>
        <v/>
      </c>
      <c r="T31">
        <f>HYPERLINK("https://klasma.github.io/Logging_0484/kartor/A 4219-2023 karta.png", "A 4219-2023")</f>
        <v/>
      </c>
      <c r="U31">
        <f>HYPERLINK("https://klasma.github.io/Logging_0484/knärot/A 4219-2023 karta knärot.png", "A 4219-2023")</f>
        <v/>
      </c>
      <c r="V31">
        <f>HYPERLINK("https://klasma.github.io/Logging_0484/klagomål/A 4219-2023 FSC-klagomål.docx", "A 4219-2023")</f>
        <v/>
      </c>
      <c r="W31">
        <f>HYPERLINK("https://klasma.github.io/Logging_0484/klagomålsmail/A 4219-2023 FSC-klagomål mail.docx", "A 4219-2023")</f>
        <v/>
      </c>
      <c r="X31">
        <f>HYPERLINK("https://klasma.github.io/Logging_0484/tillsyn/A 4219-2023 tillsynsbegäran.docx", "A 4219-2023")</f>
        <v/>
      </c>
      <c r="Y31">
        <f>HYPERLINK("https://klasma.github.io/Logging_0484/tillsynsmail/A 4219-2023 tillsynsbegäran mail.docx", "A 4219-2023")</f>
        <v/>
      </c>
      <c r="Z31">
        <f>HYPERLINK("https://klasma.github.io/Logging_0484/fåglar/A 4219-2023 prioriterade fågelarter.docx", "A 4219-2023")</f>
        <v/>
      </c>
    </row>
    <row r="32" ht="15" customHeight="1">
      <c r="A32" t="inlineStr">
        <is>
          <t>A 21734-2023</t>
        </is>
      </c>
      <c r="B32" s="1" t="n">
        <v>45063</v>
      </c>
      <c r="C32" s="1" t="n">
        <v>45571</v>
      </c>
      <c r="D32" t="inlineStr">
        <is>
          <t>SÖDERMANLANDS LÄN</t>
        </is>
      </c>
      <c r="E32" t="inlineStr">
        <is>
          <t>ESKILSTUNA</t>
        </is>
      </c>
      <c r="G32" t="n">
        <v>10.5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Dropptaggsvamp
Grönpyrola
Kryddspindling
Skarp dropptaggsvamp</t>
        </is>
      </c>
      <c r="S32">
        <f>HYPERLINK("https://klasma.github.io/Logging_0484/artfynd/A 21734-2023 artfynd.xlsx", "A 21734-2023")</f>
        <v/>
      </c>
      <c r="T32">
        <f>HYPERLINK("https://klasma.github.io/Logging_0484/kartor/A 21734-2023 karta.png", "A 21734-2023")</f>
        <v/>
      </c>
      <c r="V32">
        <f>HYPERLINK("https://klasma.github.io/Logging_0484/klagomål/A 21734-2023 FSC-klagomål.docx", "A 21734-2023")</f>
        <v/>
      </c>
      <c r="W32">
        <f>HYPERLINK("https://klasma.github.io/Logging_0484/klagomålsmail/A 21734-2023 FSC-klagomål mail.docx", "A 21734-2023")</f>
        <v/>
      </c>
      <c r="X32">
        <f>HYPERLINK("https://klasma.github.io/Logging_0484/tillsyn/A 21734-2023 tillsynsbegäran.docx", "A 21734-2023")</f>
        <v/>
      </c>
      <c r="Y32">
        <f>HYPERLINK("https://klasma.github.io/Logging_0484/tillsynsmail/A 21734-2023 tillsynsbegäran mail.docx", "A 21734-2023")</f>
        <v/>
      </c>
    </row>
    <row r="33" ht="15" customHeight="1">
      <c r="A33" t="inlineStr">
        <is>
          <t>A 49457-2023</t>
        </is>
      </c>
      <c r="B33" s="1" t="n">
        <v>45211</v>
      </c>
      <c r="C33" s="1" t="n">
        <v>45571</v>
      </c>
      <c r="D33" t="inlineStr">
        <is>
          <t>SÖDERMANLANDS LÄN</t>
        </is>
      </c>
      <c r="E33" t="inlineStr">
        <is>
          <t>ESKILSTUNA</t>
        </is>
      </c>
      <c r="G33" t="n">
        <v>0.7</v>
      </c>
      <c r="H33" t="n">
        <v>4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Fläcknycklar
Blåsippa
Lopplummer
Revlummer</t>
        </is>
      </c>
      <c r="S33">
        <f>HYPERLINK("https://klasma.github.io/Logging_0484/artfynd/A 49457-2023 artfynd.xlsx", "A 49457-2023")</f>
        <v/>
      </c>
      <c r="T33">
        <f>HYPERLINK("https://klasma.github.io/Logging_0484/kartor/A 49457-2023 karta.png", "A 49457-2023")</f>
        <v/>
      </c>
      <c r="V33">
        <f>HYPERLINK("https://klasma.github.io/Logging_0484/klagomål/A 49457-2023 FSC-klagomål.docx", "A 49457-2023")</f>
        <v/>
      </c>
      <c r="W33">
        <f>HYPERLINK("https://klasma.github.io/Logging_0484/klagomålsmail/A 49457-2023 FSC-klagomål mail.docx", "A 49457-2023")</f>
        <v/>
      </c>
      <c r="X33">
        <f>HYPERLINK("https://klasma.github.io/Logging_0484/tillsyn/A 49457-2023 tillsynsbegäran.docx", "A 49457-2023")</f>
        <v/>
      </c>
      <c r="Y33">
        <f>HYPERLINK("https://klasma.github.io/Logging_0484/tillsynsmail/A 49457-2023 tillsynsbegäran mail.docx", "A 49457-2023")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45571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45571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43401-2019</t>
        </is>
      </c>
      <c r="B36" s="1" t="n">
        <v>43706</v>
      </c>
      <c r="C36" s="1" t="n">
        <v>45571</v>
      </c>
      <c r="D36" t="inlineStr">
        <is>
          <t>SÖDERMANLANDS LÄN</t>
        </is>
      </c>
      <c r="E36" t="inlineStr">
        <is>
          <t>ESKILSTUNA</t>
        </is>
      </c>
      <c r="G36" t="n">
        <v>22.9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 sköldmossa
Stubbspretmossa
Lopplummer</t>
        </is>
      </c>
      <c r="S36">
        <f>HYPERLINK("https://klasma.github.io/Logging_0484/artfynd/A 43401-2019 artfynd.xlsx", "A 43401-2019")</f>
        <v/>
      </c>
      <c r="T36">
        <f>HYPERLINK("https://klasma.github.io/Logging_0484/kartor/A 43401-2019 karta.png", "A 43401-2019")</f>
        <v/>
      </c>
      <c r="V36">
        <f>HYPERLINK("https://klasma.github.io/Logging_0484/klagomål/A 43401-2019 FSC-klagomål.docx", "A 43401-2019")</f>
        <v/>
      </c>
      <c r="W36">
        <f>HYPERLINK("https://klasma.github.io/Logging_0484/klagomålsmail/A 43401-2019 FSC-klagomål mail.docx", "A 43401-2019")</f>
        <v/>
      </c>
      <c r="X36">
        <f>HYPERLINK("https://klasma.github.io/Logging_0484/tillsyn/A 43401-2019 tillsynsbegäran.docx", "A 43401-2019")</f>
        <v/>
      </c>
      <c r="Y36">
        <f>HYPERLINK("https://klasma.github.io/Logging_0484/tillsynsmail/A 43401-2019 tillsynsbegäran mail.docx", "A 43401-2019")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45571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45571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45571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45571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45571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45571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45571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45571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45571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45571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24767-2024</t>
        </is>
      </c>
      <c r="B47" s="1" t="n">
        <v>45460</v>
      </c>
      <c r="C47" s="1" t="n">
        <v>45571</v>
      </c>
      <c r="D47" t="inlineStr">
        <is>
          <t>SÖDERMANLANDS LÄN</t>
        </is>
      </c>
      <c r="E47" t="inlineStr">
        <is>
          <t>ESKILSTUNA</t>
        </is>
      </c>
      <c r="G47" t="n">
        <v>15.2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Lopplummer
Mattlummer</t>
        </is>
      </c>
      <c r="S47">
        <f>HYPERLINK("https://klasma.github.io/Logging_0484/artfynd/A 24767-2024 artfynd.xlsx", "A 24767-2024")</f>
        <v/>
      </c>
      <c r="T47">
        <f>HYPERLINK("https://klasma.github.io/Logging_0484/kartor/A 24767-2024 karta.png", "A 24767-2024")</f>
        <v/>
      </c>
      <c r="V47">
        <f>HYPERLINK("https://klasma.github.io/Logging_0484/klagomål/A 24767-2024 FSC-klagomål.docx", "A 24767-2024")</f>
        <v/>
      </c>
      <c r="W47">
        <f>HYPERLINK("https://klasma.github.io/Logging_0484/klagomålsmail/A 24767-2024 FSC-klagomål mail.docx", "A 24767-2024")</f>
        <v/>
      </c>
      <c r="X47">
        <f>HYPERLINK("https://klasma.github.io/Logging_0484/tillsyn/A 24767-2024 tillsynsbegäran.docx", "A 24767-2024")</f>
        <v/>
      </c>
      <c r="Y47">
        <f>HYPERLINK("https://klasma.github.io/Logging_0484/tillsynsmail/A 24767-2024 tillsynsbegäran mail.docx", "A 24767-2024")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45571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45571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45571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45571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45571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45571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45571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45571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45571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45571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45571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45571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45571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45571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45571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45571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45571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45571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45571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45571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45571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45571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45571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45571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45571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45571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45571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45571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45571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45571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45571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45571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45571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45571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45571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45571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45571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45571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45571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45571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45571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45571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45571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45571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45571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45571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45571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45571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45571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45571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45571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45571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45571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45571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45571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45571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45571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45571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45571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45571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45571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45571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45571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45571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45571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45571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45571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45571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45571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45571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45571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45571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45571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45571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45571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45571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45571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45571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45571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45571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45571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45571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45571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45571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45571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45571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45571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45571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45571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45571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45571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45571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45571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45571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45571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45571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45571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45571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45571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45571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45571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45571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45571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45571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45571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45571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45571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45571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45571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45571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45571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45571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45571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45571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45571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45571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45571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45571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45571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45571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45571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45571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45571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45571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45571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45571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45571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45571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45571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45571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45571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45571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45571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45571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45571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45571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45571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45571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45571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45571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45571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45571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45571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45571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45571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45571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45571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45571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45571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45571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45571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45571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45571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45571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45571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45571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45571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45571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45571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45571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45571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45571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45571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45571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45571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45571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45571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45571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45571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45571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45571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45571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45571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45571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45571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45571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45571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45571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45571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45571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45571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45571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45571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45571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45571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45571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45571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45571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45571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45571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45571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45571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45571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45571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45571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45571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45571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45571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45571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45571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45571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45571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45571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45571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45571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45571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45571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45571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45571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45571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45571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45571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45571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45571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45571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45571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45571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45571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45571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45571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45571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45571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45571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45571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45571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45571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45571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45571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45571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45571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45571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45571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45571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45571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45571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45571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45571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45571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45571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45571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45571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45571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45571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45571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45571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45571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45571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45571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45571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45571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45571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45571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45571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45571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45571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45571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45571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45571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45571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45571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45571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45571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45571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45571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45571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45571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45571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45571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45571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45571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45571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45571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45571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45571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45571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45571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45571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45571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45571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45571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45571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45571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45571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45571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45571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45571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45571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45571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45571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45571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45571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45571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45571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45571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45571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45571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45571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45571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45571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45571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45571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45571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45571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45571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45571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45571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45571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45571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45571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45571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45571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45571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45571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45571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45571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45571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45571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45571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45571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45571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45571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45571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45571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45571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45571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45571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45571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45571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45571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45571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45571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45571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45571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45571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45571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45571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45571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45571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45571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45571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45571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45571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45571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45571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45571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45571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45571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45571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45571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45571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45571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45571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45571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45571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45571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45571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45571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45571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45571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45571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45571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45571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45571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45571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45571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45571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45571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45571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45571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45571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45571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45571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45571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45571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45571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45571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45571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45571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45571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45571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45571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45571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45571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45571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45571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45571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45571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45571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45571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45571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45571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45571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45571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45571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45571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45571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45571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45571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45571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45571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45571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45571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45571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45571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45571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45571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45571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45571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45571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45571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45571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45571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45571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45571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45571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45571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45571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45571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45571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45571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45571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45571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45571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45571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45571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45571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45571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45571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45571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45571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45571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45571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45571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45571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45571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45571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45571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45571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45571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45571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45571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45571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45571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45571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45571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45571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45571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45571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45571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45571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45571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45571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45571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45571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45571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45571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45571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45571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45571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45571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45571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45571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45571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45571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45571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45571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45571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45571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45571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45571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45571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45571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45571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45571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45571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45571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45571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45571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45571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45571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45571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45571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45571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45571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45571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45571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45571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45571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45571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45571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45571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45571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45571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45571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45571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45571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45571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45571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45571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45571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45571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45571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45571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45571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45571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45571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45571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45571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45571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45571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45571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45571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45571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45571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45571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45571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45571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45571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45571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45571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45571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45571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45571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45571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45571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45571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45571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45571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45571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45571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45571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45571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45571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45571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45571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45571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45571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45571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45571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45571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45571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45571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45571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45571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45571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45571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45571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45571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45571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45571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45571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45571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45571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45571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45571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45571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45571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45571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45571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45571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45571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45571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45571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45571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45571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45571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45571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45571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45571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45571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45571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45571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45571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45571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45571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45571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45571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45571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45571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45571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45571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45571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45571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45571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45571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45571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45571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45571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45571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45571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45571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45571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45571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45571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45571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45571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45571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45571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45571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45571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45571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45571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45571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45571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45571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45571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45571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45571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45571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45571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45571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45571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45571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45571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45571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45571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45571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45571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45571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45571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45571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45571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45571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45571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45571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45571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45571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45571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45571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45571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45571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45571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45571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45571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45571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45571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45571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45571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45571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45571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45571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45571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45571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45571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45571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45571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45571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45571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45571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45571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45571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45571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45571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45571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45571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45571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45571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45571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45571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45571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45571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45571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45571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45571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45571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45571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45571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45571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45571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45571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45571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45571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45571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45571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45571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45571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45571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45571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45571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45571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45571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45571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45571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45571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45571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45571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45571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45571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45571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45571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45571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45571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45571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45571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45571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45571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45571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45571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45571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45571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45571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45571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45571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45571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45571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45571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45571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45571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45571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45571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45571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45571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45571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45571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45571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45571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45571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45571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45571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45571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45571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45571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45571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45571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45571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45571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45571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45571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45571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45571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45571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45571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45571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45571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45571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45571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45571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45571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45571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45571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45571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45571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45571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45571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45571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45571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45571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45571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45571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45571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45571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45571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45571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45571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45571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45571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45571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45571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45571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45571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45571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45571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45571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45571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45571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45571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45571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45571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45571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45571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45571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45571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45571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45571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45571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45571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45571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45571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45571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45571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45571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45571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45571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45571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45571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45571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45571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45571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45571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45571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45571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45571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45571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45571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45571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45571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45571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45571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45571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45571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45571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45571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45571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45571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45571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45571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45571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45571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45571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45571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45571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45571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45571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45571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45571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45571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45571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45571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45571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45571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45571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45571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45571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45571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45571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45571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45571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45571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45571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45571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45571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45571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45571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45571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45571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45571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45571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45571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45571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45571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45571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45571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45571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45571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45571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45571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45571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45571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45571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45571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45571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45571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45571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45571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45571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45571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45571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45571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45571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45571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45571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45571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45571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45571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45571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45571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45571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45571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45571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45571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45571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45571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45571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45571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45571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45571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45571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45571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45571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45571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45571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45571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45571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45571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45571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45571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45571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45571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45571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45571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45571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45571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45571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45571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45571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45571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45571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45571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45571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45571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45571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45571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45571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45571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45571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45571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45571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45571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45571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45571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45571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45571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45571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45571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45571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45571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45571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45571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45571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45571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45571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45571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45571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45571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45571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45571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45571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45571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45571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45571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45571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45571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45571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45571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45571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45571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45571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45571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45571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45571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45571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45571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45571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45571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45571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45571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45571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45571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45571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45571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45571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45571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45571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45571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45571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45571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45571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45571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45571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45571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45571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45571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45571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45571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45571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45571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45571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45571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45571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45571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45571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45571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45571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45571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45571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45571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45571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45571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45571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45571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45571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45571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45571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45571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45571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45571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45571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45571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45571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45571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45571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45571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45571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45571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45571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45571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45571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43392-2024</t>
        </is>
      </c>
      <c r="B1045" s="1" t="n">
        <v>45568</v>
      </c>
      <c r="C1045" s="1" t="n">
        <v>45571</v>
      </c>
      <c r="D1045" t="inlineStr">
        <is>
          <t>SÖDERMANLANDS LÄN</t>
        </is>
      </c>
      <c r="E1045" t="inlineStr">
        <is>
          <t>ESKILSTUNA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45571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43489-2024</t>
        </is>
      </c>
      <c r="B1047" s="1" t="n">
        <v>45568</v>
      </c>
      <c r="C1047" s="1" t="n">
        <v>45571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45571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45571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43486-2024</t>
        </is>
      </c>
      <c r="B1050" s="1" t="n">
        <v>45568</v>
      </c>
      <c r="C1050" s="1" t="n">
        <v>45571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2024-10-06T11:57:51Z</dcterms:created>
  <dcterms:modified xmlns:dcterms="http://purl.org/dc/terms/" xmlns:xsi="http://www.w3.org/2001/XMLSchema-instance" xsi:type="dcterms:W3CDTF">2024-10-06T11:57:52Z</dcterms:modified>
</cp:coreProperties>
</file>