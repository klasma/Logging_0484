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46284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46284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46284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46284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46284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46284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46284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46284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46284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46284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46284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46284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46284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46284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46284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46284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46284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46284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46284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46284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46284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46284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46284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46284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46284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46284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46284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46284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46284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46284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46284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46284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46284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46284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46284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46284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46284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46284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46284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46284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46284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46284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46284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46284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46284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46284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46284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26148-2022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46284</v>
      </c>
      <c r="F65" t="inlineStr">
        <is>
          <t>SÖDERMANLANDS LÄN</t>
        </is>
      </c>
      <c r="G65" t="inlineStr">
        <is>
          <t>ESKILSTUNA</t>
        </is>
      </c>
      <c r="I65" t="n">
        <v>3.3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Rödvingetrast</t>
        </is>
      </c>
      <c r="W65">
        <f>HYPERLINK("https://klasma.github.io/Logging_0484/artfynd/A 26148-2022 artfynd.xlsx", "A 26148-2022")</f>
        <v/>
      </c>
      <c r="X65">
        <f>HYPERLINK("https://klasma.github.io/Logging_0484/kartor/A 26148-2022 karta.png", "A 26148-2022")</f>
        <v/>
      </c>
      <c r="Y65">
        <f>HYPERLINK("https://klasma.github.io/Logging_0484/kartor_geotiff/A 26148-2022 georefererad karta.tif", "A 26148-2022")</f>
        <v/>
      </c>
      <c r="AA65">
        <f>HYPERLINK("https://klasma.github.io/Logging_0484/klagomål/A 26148-2022 FSC-klagomål.docx", "A 26148-2022")</f>
        <v/>
      </c>
      <c r="AB65">
        <f>HYPERLINK("https://klasma.github.io/Logging_0484/klagomålsmail/A 26148-2022 FSC-klagomål mail.docx", "A 26148-2022")</f>
        <v/>
      </c>
      <c r="AC65">
        <f>HYPERLINK("https://klasma.github.io/Logging_0484/tillsyn/A 26148-2022 tillsynsbegäran.docx", "A 26148-2022")</f>
        <v/>
      </c>
      <c r="AD65">
        <f>HYPERLINK("https://klasma.github.io/Logging_0484/tillsynsmail/A 26148-2022 tillsynsbegäran mail.docx", "A 26148-2022")</f>
        <v/>
      </c>
      <c r="AE65">
        <f>HYPERLINK("https://klasma.github.io/Logging_0484/fåglar/A 26148-2022 prioriterade fågelarter.docx", "A 26148-2022")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46284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14327-2023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46284</v>
      </c>
      <c r="F67" t="inlineStr">
        <is>
          <t>SÖDERMANLANDS LÄN</t>
        </is>
      </c>
      <c r="G67" t="inlineStr">
        <is>
          <t>ESKILSTUNA</t>
        </is>
      </c>
      <c r="H67" t="inlineStr">
        <is>
          <t>Kommuner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HYPERLINK("https://klasma.github.io/Logging_0484/artfynd/A 14327-2023 artfynd.xlsx", "A 14327-2023")</f>
        <v/>
      </c>
      <c r="X67">
        <f>HYPERLINK("https://klasma.github.io/Logging_0484/kartor/A 14327-2023 karta.png", "A 14327-2023")</f>
        <v/>
      </c>
      <c r="Y67">
        <f>HYPERLINK("https://klasma.github.io/Logging_0484/kartor_geotiff/A 14327-2023 georefererad karta.tif", "A 14327-2023")</f>
        <v/>
      </c>
      <c r="AA67">
        <f>HYPERLINK("https://klasma.github.io/Logging_0484/klagomål/A 14327-2023 FSC-klagomål.docx", "A 14327-2023")</f>
        <v/>
      </c>
      <c r="AB67">
        <f>HYPERLINK("https://klasma.github.io/Logging_0484/klagomålsmail/A 14327-2023 FSC-klagomål mail.docx", "A 14327-2023")</f>
        <v/>
      </c>
      <c r="AC67">
        <f>HYPERLINK("https://klasma.github.io/Logging_0484/tillsyn/A 14327-2023 tillsynsbegäran.docx", "A 14327-2023")</f>
        <v/>
      </c>
      <c r="AD67">
        <f>HYPERLINK("https://klasma.github.io/Logging_0484/tillsynsmail/A 14327-2023 tillsynsbegäran mail.docx", "A 14327-2023")</f>
        <v/>
      </c>
    </row>
    <row r="68" ht="15" customHeight="1">
      <c r="A68" t="inlineStr">
        <is>
          <t>A 59070-2022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46284</v>
      </c>
      <c r="F68" t="inlineStr">
        <is>
          <t>SÖDERMANLANDS LÄN</t>
        </is>
      </c>
      <c r="G68" t="inlineStr">
        <is>
          <t>ESKILSTUNA</t>
        </is>
      </c>
      <c r="I68" t="n">
        <v>6.6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HYPERLINK("https://klasma.github.io/Logging_0484/artfynd/A 59070-2022 artfynd.xlsx", "A 59070-2022")</f>
        <v/>
      </c>
      <c r="X68">
        <f>HYPERLINK("https://klasma.github.io/Logging_0484/kartor/A 59070-2022 karta.png", "A 59070-2022")</f>
        <v/>
      </c>
      <c r="Y68">
        <f>HYPERLINK("https://klasma.github.io/Logging_0484/kartor_geotiff/A 59070-2022 georefererad karta.tif", "A 59070-2022")</f>
        <v/>
      </c>
      <c r="AA68">
        <f>HYPERLINK("https://klasma.github.io/Logging_0484/klagomål/A 59070-2022 FSC-klagomål.docx", "A 59070-2022")</f>
        <v/>
      </c>
      <c r="AB68">
        <f>HYPERLINK("https://klasma.github.io/Logging_0484/klagomålsmail/A 59070-2022 FSC-klagomål mail.docx", "A 59070-2022")</f>
        <v/>
      </c>
      <c r="AC68">
        <f>HYPERLINK("https://klasma.github.io/Logging_0484/tillsyn/A 59070-2022 tillsynsbegäran.docx", "A 59070-2022")</f>
        <v/>
      </c>
      <c r="AD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46284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9645-2023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46284</v>
      </c>
      <c r="F70" t="inlineStr">
        <is>
          <t>SÖDERMANLANDS LÄN</t>
        </is>
      </c>
      <c r="G70" t="inlineStr">
        <is>
          <t>ESKILSTUNA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Skogsduva</t>
        </is>
      </c>
      <c r="W70">
        <f>HYPERLINK("https://klasma.github.io/Logging_0484/artfynd/A 9645-2023 artfynd.xlsx", "A 9645-2023")</f>
        <v/>
      </c>
      <c r="X70">
        <f>HYPERLINK("https://klasma.github.io/Logging_0484/kartor/A 9645-2023 karta.png", "A 9645-2023")</f>
        <v/>
      </c>
      <c r="Y70">
        <f>HYPERLINK("https://klasma.github.io/Logging_0484/kartor_geotiff/A 9645-2023 georefererad karta.tif", "A 9645-2023")</f>
        <v/>
      </c>
      <c r="AA70">
        <f>HYPERLINK("https://klasma.github.io/Logging_0484/klagomål/A 9645-2023 FSC-klagomål.docx", "A 9645-2023")</f>
        <v/>
      </c>
      <c r="AB70">
        <f>HYPERLINK("https://klasma.github.io/Logging_0484/klagomålsmail/A 9645-2023 FSC-klagomål mail.docx", "A 9645-2023")</f>
        <v/>
      </c>
      <c r="AC70">
        <f>HYPERLINK("https://klasma.github.io/Logging_0484/tillsyn/A 9645-2023 tillsynsbegäran.docx", "A 9645-2023")</f>
        <v/>
      </c>
      <c r="AD70">
        <f>HYPERLINK("https://klasma.github.io/Logging_0484/tillsynsmail/A 9645-2023 tillsynsbegäran mail.docx", "A 9645-2023")</f>
        <v/>
      </c>
    </row>
    <row r="71" ht="15" customHeight="1">
      <c r="A71" t="inlineStr">
        <is>
          <t>A 55087-2022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46284</v>
      </c>
      <c r="F71" t="inlineStr">
        <is>
          <t>SÖDERMANLANDS LÄN</t>
        </is>
      </c>
      <c r="G71" t="inlineStr">
        <is>
          <t>ESKILSTUNA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HYPERLINK("https://klasma.github.io/Logging_0484/artfynd/A 55087-2022 artfynd.xlsx", "A 55087-2022")</f>
        <v/>
      </c>
      <c r="X71">
        <f>HYPERLINK("https://klasma.github.io/Logging_0484/kartor/A 55087-2022 karta.png", "A 55087-2022")</f>
        <v/>
      </c>
      <c r="Y71">
        <f>HYPERLINK("https://klasma.github.io/Logging_0484/kartor_geotiff/A 55087-2022 georefererad karta.tif", "A 55087-2022")</f>
        <v/>
      </c>
      <c r="AA71">
        <f>HYPERLINK("https://klasma.github.io/Logging_0484/klagomål/A 55087-2022 FSC-klagomål.docx", "A 55087-2022")</f>
        <v/>
      </c>
      <c r="AB71">
        <f>HYPERLINK("https://klasma.github.io/Logging_0484/klagomålsmail/A 55087-2022 FSC-klagomål mail.docx", "A 55087-2022")</f>
        <v/>
      </c>
      <c r="AC71">
        <f>HYPERLINK("https://klasma.github.io/Logging_0484/tillsyn/A 55087-2022 tillsynsbegäran.docx", "A 55087-2022")</f>
        <v/>
      </c>
      <c r="AD71">
        <f>HYPERLINK("https://klasma.github.io/Logging_0484/tillsynsmail/A 55087-2022 tillsynsbegäran mail.docx", "A 55087-2022")</f>
        <v/>
      </c>
      <c r="AE71">
        <f>HYPERLINK("https://klasma.github.io/Logging_0484/fåglar/A 55087-2022 prioriterade fågelarter.docx", "A 55087-2022")</f>
        <v/>
      </c>
    </row>
    <row r="72" ht="15" customHeight="1">
      <c r="A72" t="inlineStr">
        <is>
          <t>A 29647-2023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46284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Allmännings- och besparingsskogar</t>
        </is>
      </c>
      <c r="I72" t="n">
        <v>0.9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29647-2023 artfynd.xlsx", "A 29647-2023")</f>
        <v/>
      </c>
      <c r="X72">
        <f>HYPERLINK("https://klasma.github.io/Logging_0484/kartor/A 29647-2023 karta.png", "A 29647-2023")</f>
        <v/>
      </c>
      <c r="Y72">
        <f>HYPERLINK("https://klasma.github.io/Logging_0484/kartor_geotiff/A 29647-2023 georefererad karta.tif", "A 29647-2023")</f>
        <v/>
      </c>
      <c r="AA72">
        <f>HYPERLINK("https://klasma.github.io/Logging_0484/klagomål/A 29647-2023 FSC-klagomål.docx", "A 29647-2023")</f>
        <v/>
      </c>
      <c r="AB72">
        <f>HYPERLINK("https://klasma.github.io/Logging_0484/klagomålsmail/A 29647-2023 FSC-klagomål mail.docx", "A 29647-2023")</f>
        <v/>
      </c>
      <c r="AC72">
        <f>HYPERLINK("https://klasma.github.io/Logging_0484/tillsyn/A 29647-2023 tillsynsbegäran.docx", "A 29647-2023")</f>
        <v/>
      </c>
      <c r="AD72">
        <f>HYPERLINK("https://klasma.github.io/Logging_0484/tillsynsmail/A 29647-2023 tillsynsbegäran mail.docx", "A 29647-2023")</f>
        <v/>
      </c>
      <c r="AE72">
        <f>HYPERLINK("https://klasma.github.io/Logging_0484/fåglar/A 29647-2023 prioriterade fågelarter.docx", "A 29647-2023")</f>
        <v/>
      </c>
    </row>
    <row r="73" ht="15" customHeight="1">
      <c r="A73" t="inlineStr">
        <is>
          <t>A 8518-2026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46284</v>
      </c>
      <c r="F73" t="inlineStr">
        <is>
          <t>SÖDERMANLANDS LÄN</t>
        </is>
      </c>
      <c r="G73" t="inlineStr">
        <is>
          <t>ESKILSTUNA</t>
        </is>
      </c>
      <c r="I73" t="n">
        <v>8.9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8518-2026 artfynd.xlsx", "A 8518-2026")</f>
        <v/>
      </c>
      <c r="X73">
        <f>HYPERLINK("https://klasma.github.io/Logging_0484/kartor/A 8518-2026 karta.png", "A 8518-2026")</f>
        <v/>
      </c>
      <c r="Y73">
        <f>HYPERLINK("https://klasma.github.io/Logging_0484/kartor_geotiff/A 8518-2026 georefererad karta.tif", "A 8518-2026")</f>
        <v/>
      </c>
      <c r="AA73">
        <f>HYPERLINK("https://klasma.github.io/Logging_0484/klagomål/A 8518-2026 FSC-klagomål.docx", "A 8518-2026")</f>
        <v/>
      </c>
      <c r="AB73">
        <f>HYPERLINK("https://klasma.github.io/Logging_0484/klagomålsmail/A 8518-2026 FSC-klagomål mail.docx", "A 8518-2026")</f>
        <v/>
      </c>
      <c r="AC73">
        <f>HYPERLINK("https://klasma.github.io/Logging_0484/tillsyn/A 8518-2026 tillsynsbegäran.docx", "A 8518-2026")</f>
        <v/>
      </c>
      <c r="AD73">
        <f>HYPERLINK("https://klasma.github.io/Logging_0484/tillsynsmail/A 8518-2026 tillsynsbegäran mail.docx", "A 8518-2026")</f>
        <v/>
      </c>
    </row>
    <row r="74" ht="15" customHeight="1">
      <c r="A74" t="inlineStr">
        <is>
          <t>A 26097-2026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46284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Svinrot</t>
        </is>
      </c>
      <c r="W74">
        <f>HYPERLINK("https://klasma.github.io/Logging_0484/artfynd/A 26097-2026 artfynd.xlsx", "A 26097-2026")</f>
        <v/>
      </c>
      <c r="X74">
        <f>HYPERLINK("https://klasma.github.io/Logging_0484/kartor/A 26097-2026 karta.png", "A 26097-2026")</f>
        <v/>
      </c>
      <c r="Y74">
        <f>HYPERLINK("https://klasma.github.io/Logging_0484/kartor_geotiff/A 26097-2026 georefererad karta.tif", "A 26097-2026")</f>
        <v/>
      </c>
      <c r="AA74">
        <f>HYPERLINK("https://klasma.github.io/Logging_0484/klagomål/A 26097-2026 FSC-klagomål.docx", "A 26097-2026")</f>
        <v/>
      </c>
      <c r="AB74">
        <f>HYPERLINK("https://klasma.github.io/Logging_0484/klagomålsmail/A 26097-2026 FSC-klagomål mail.docx", "A 26097-2026")</f>
        <v/>
      </c>
      <c r="AC74">
        <f>HYPERLINK("https://klasma.github.io/Logging_0484/tillsyn/A 26097-2026 tillsynsbegäran.docx", "A 26097-2026")</f>
        <v/>
      </c>
      <c r="AD74">
        <f>HYPERLINK("https://klasma.github.io/Logging_0484/tillsynsmail/A 26097-2026 tillsynsbegäran mail.docx", "A 26097-2026")</f>
        <v/>
      </c>
    </row>
    <row r="75" ht="15" customHeight="1">
      <c r="A75" t="inlineStr">
        <is>
          <t>A 26008-2026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46284</v>
      </c>
      <c r="F75" t="inlineStr">
        <is>
          <t>SÖDERMANLANDS LÄN</t>
        </is>
      </c>
      <c r="G75" t="inlineStr">
        <is>
          <t>ESKILSTUNA</t>
        </is>
      </c>
      <c r="I75" t="n">
        <v>2.8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8</v>
      </c>
      <c r="U75" t="n">
        <v>0</v>
      </c>
      <c r="V75" s="2" t="inlineStr">
        <is>
          <t>Svart trolldruva</t>
        </is>
      </c>
      <c r="W75">
        <f>HYPERLINK("https://klasma.github.io/Logging_0484/artfynd/A 26008-2026 artfynd.xlsx", "A 26008-2026")</f>
        <v/>
      </c>
      <c r="X75">
        <f>HYPERLINK("https://klasma.github.io/Logging_0484/kartor/A 26008-2026 karta.png", "A 26008-2026")</f>
        <v/>
      </c>
      <c r="Y75">
        <f>HYPERLINK("https://klasma.github.io/Logging_0484/kartor_geotiff/A 26008-2026 georefererad karta.tif", "A 26008-2026")</f>
        <v/>
      </c>
      <c r="AA75">
        <f>HYPERLINK("https://klasma.github.io/Logging_0484/klagomål/A 26008-2026 FSC-klagomål.docx", "A 26008-2026")</f>
        <v/>
      </c>
      <c r="AB75">
        <f>HYPERLINK("https://klasma.github.io/Logging_0484/klagomålsmail/A 26008-2026 FSC-klagomål mail.docx", "A 26008-2026")</f>
        <v/>
      </c>
      <c r="AC75">
        <f>HYPERLINK("https://klasma.github.io/Logging_0484/tillsyn/A 26008-2026 tillsynsbegäran.docx", "A 26008-2026")</f>
        <v/>
      </c>
      <c r="AD75">
        <f>HYPERLINK("https://klasma.github.io/Logging_0484/tillsynsmail/A 26008-2026 tillsynsbegäran mail.docx", "A 26008-2026")</f>
        <v/>
      </c>
    </row>
    <row r="76" ht="15" customHeight="1">
      <c r="A76" t="inlineStr">
        <is>
          <t>A 26094-2026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46284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3.4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HYPERLINK("https://klasma.github.io/Logging_0484/artfynd/A 26094-2026 artfynd.xlsx", "A 26094-2026")</f>
        <v/>
      </c>
      <c r="X76">
        <f>HYPERLINK("https://klasma.github.io/Logging_0484/kartor/A 26094-2026 karta.png", "A 26094-2026")</f>
        <v/>
      </c>
      <c r="Y76">
        <f>HYPERLINK("https://klasma.github.io/Logging_0484/kartor_geotiff/A 26094-2026 georefererad karta.tif", "A 26094-2026")</f>
        <v/>
      </c>
      <c r="AA76">
        <f>HYPERLINK("https://klasma.github.io/Logging_0484/klagomål/A 26094-2026 FSC-klagomål.docx", "A 26094-2026")</f>
        <v/>
      </c>
      <c r="AB76">
        <f>HYPERLINK("https://klasma.github.io/Logging_0484/klagomålsmail/A 26094-2026 FSC-klagomål mail.docx", "A 26094-2026")</f>
        <v/>
      </c>
      <c r="AC76">
        <f>HYPERLINK("https://klasma.github.io/Logging_0484/tillsyn/A 26094-2026 tillsynsbegäran.docx", "A 26094-2026")</f>
        <v/>
      </c>
      <c r="AD76">
        <f>HYPERLINK("https://klasma.github.io/Logging_0484/tillsynsmail/A 26094-2026 tillsynsbegäran mail.docx", "A 26094-2026")</f>
        <v/>
      </c>
      <c r="AE76">
        <f>HYPERLINK("https://klasma.github.io/Logging_0484/fåglar/A 26094-2026 prioriterade fågelarter.docx", "A 26094-2026")</f>
        <v/>
      </c>
    </row>
    <row r="77" ht="15" customHeight="1">
      <c r="A77" t="inlineStr">
        <is>
          <t>A 38361-2024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46284</v>
      </c>
      <c r="F77" t="inlineStr">
        <is>
          <t>SÖDERMANLANDS LÄN</t>
        </is>
      </c>
      <c r="G77" t="inlineStr">
        <is>
          <t>ESKILSTUNA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HYPERLINK("https://klasma.github.io/Logging_0484/artfynd/A 38361-2024 artfynd.xlsx", "A 38361-2024")</f>
        <v/>
      </c>
      <c r="X77">
        <f>HYPERLINK("https://klasma.github.io/Logging_0484/kartor/A 38361-2024 karta.png", "A 38361-2024")</f>
        <v/>
      </c>
      <c r="Y77">
        <f>HYPERLINK("https://klasma.github.io/Logging_0484/kartor_geotiff/A 38361-2024 georefererad karta.tif", "A 38361-2024")</f>
        <v/>
      </c>
      <c r="AA77">
        <f>HYPERLINK("https://klasma.github.io/Logging_0484/klagomål/A 38361-2024 FSC-klagomål.docx", "A 38361-2024")</f>
        <v/>
      </c>
      <c r="AB77">
        <f>HYPERLINK("https://klasma.github.io/Logging_0484/klagomålsmail/A 38361-2024 FSC-klagomål mail.docx", "A 38361-2024")</f>
        <v/>
      </c>
      <c r="AC77">
        <f>HYPERLINK("https://klasma.github.io/Logging_0484/tillsyn/A 38361-2024 tillsynsbegäran.docx", "A 38361-2024")</f>
        <v/>
      </c>
      <c r="AD77">
        <f>HYPERLINK("https://klasma.github.io/Logging_0484/tillsynsmail/A 38361-2024 tillsynsbegäran mail.docx", "A 38361-2024")</f>
        <v/>
      </c>
      <c r="AE77">
        <f>HYPERLINK("https://klasma.github.io/Logging_0484/fåglar/A 38361-2024 prioriterade fågelarter.docx", "A 38361-2024")</f>
        <v/>
      </c>
    </row>
    <row r="78" ht="15" customHeight="1">
      <c r="A78" t="inlineStr">
        <is>
          <t>A 67047-2021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44522</v>
      </c>
      <c r="E78" s="1" t="n">
        <v>46284</v>
      </c>
      <c r="F78" t="inlineStr">
        <is>
          <t>SÖDERMANLANDS LÄN</t>
        </is>
      </c>
      <c r="G78" t="inlineStr">
        <is>
          <t>ESKILSTUNA</t>
        </is>
      </c>
      <c r="H78" t="inlineStr">
        <is>
          <t>Kyrkan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HYPERLINK("https://klasma.github.io/Logging_0484/artfynd/A 67047-2021 artfynd.xlsx", "A 67047-2021")</f>
        <v/>
      </c>
      <c r="X78">
        <f>HYPERLINK("https://klasma.github.io/Logging_0484/kartor/A 67047-2021 karta.png", "A 67047-2021")</f>
        <v/>
      </c>
      <c r="Y78">
        <f>HYPERLINK("https://klasma.github.io/Logging_0484/kartor_geotiff/A 67047-2021 georefererad karta.tif", "A 67047-2021")</f>
        <v/>
      </c>
      <c r="AA78">
        <f>HYPERLINK("https://klasma.github.io/Logging_0484/klagomål/A 67047-2021 FSC-klagomål.docx", "A 67047-2021")</f>
        <v/>
      </c>
      <c r="AB78">
        <f>HYPERLINK("https://klasma.github.io/Logging_0484/klagomålsmail/A 67047-2021 FSC-klagomål mail.docx", "A 67047-2021")</f>
        <v/>
      </c>
      <c r="AC78">
        <f>HYPERLINK("https://klasma.github.io/Logging_0484/tillsyn/A 67047-2021 tillsynsbegäran.docx", "A 67047-2021")</f>
        <v/>
      </c>
      <c r="AD78">
        <f>HYPERLINK("https://klasma.github.io/Logging_0484/tillsynsmail/A 67047-2021 tillsynsbegäran mail.docx", "A 67047-2021")</f>
        <v/>
      </c>
    </row>
    <row r="79" ht="15" customHeight="1">
      <c r="A79" t="inlineStr">
        <is>
          <t>A 27892-2026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46191</v>
      </c>
      <c r="E79" s="1" t="n">
        <v>46284</v>
      </c>
      <c r="F79" t="inlineStr">
        <is>
          <t>SÖDERMANLANDS LÄN</t>
        </is>
      </c>
      <c r="G79" t="inlineStr">
        <is>
          <t>ESKILSTUNA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Nattviol</t>
        </is>
      </c>
      <c r="W79">
        <f>HYPERLINK("https://klasma.github.io/Logging_0484/artfynd/A 27892-2026 artfynd.xlsx", "A 27892-2026")</f>
        <v/>
      </c>
      <c r="X79">
        <f>HYPERLINK("https://klasma.github.io/Logging_0484/kartor/A 27892-2026 karta.png", "A 27892-2026")</f>
        <v/>
      </c>
      <c r="Y79">
        <f>HYPERLINK("https://klasma.github.io/Logging_0484/kartor_geotiff/A 27892-2026 georefererad karta.tif", "A 27892-2026")</f>
        <v/>
      </c>
      <c r="AA79">
        <f>HYPERLINK("https://klasma.github.io/Logging_0484/klagomål/A 27892-2026 FSC-klagomål.docx", "A 27892-2026")</f>
        <v/>
      </c>
      <c r="AB79">
        <f>HYPERLINK("https://klasma.github.io/Logging_0484/klagomålsmail/A 27892-2026 FSC-klagomål mail.docx", "A 27892-2026")</f>
        <v/>
      </c>
      <c r="AC79">
        <f>HYPERLINK("https://klasma.github.io/Logging_0484/tillsyn/A 27892-2026 tillsynsbegäran.docx", "A 27892-2026")</f>
        <v/>
      </c>
      <c r="AD79">
        <f>HYPERLINK("https://klasma.github.io/Logging_0484/tillsynsmail/A 27892-2026 tillsynsbegäran mail.docx", "A 27892-2026")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46284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47648-2022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46284</v>
      </c>
      <c r="F81" t="inlineStr">
        <is>
          <t>SÖDERMANLANDS LÄN</t>
        </is>
      </c>
      <c r="G81" t="inlineStr">
        <is>
          <t>ESKILSTUNA</t>
        </is>
      </c>
      <c r="I81" t="n">
        <v>1.8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Grönsångare</t>
        </is>
      </c>
      <c r="W81">
        <f>HYPERLINK("https://klasma.github.io/Logging_0484/artfynd/A 47648-2022 artfynd.xlsx", "A 47648-2022")</f>
        <v/>
      </c>
      <c r="X81">
        <f>HYPERLINK("https://klasma.github.io/Logging_0484/kartor/A 47648-2022 karta.png", "A 47648-2022")</f>
        <v/>
      </c>
      <c r="Y81">
        <f>HYPERLINK("https://klasma.github.io/Logging_0484/kartor_geotiff/A 47648-2022 georefererad karta.tif", "A 47648-2022")</f>
        <v/>
      </c>
      <c r="AA81">
        <f>HYPERLINK("https://klasma.github.io/Logging_0484/klagomål/A 47648-2022 FSC-klagomål.docx", "A 47648-2022")</f>
        <v/>
      </c>
      <c r="AB81">
        <f>HYPERLINK("https://klasma.github.io/Logging_0484/klagomålsmail/A 47648-2022 FSC-klagomål mail.docx", "A 47648-2022")</f>
        <v/>
      </c>
      <c r="AC81">
        <f>HYPERLINK("https://klasma.github.io/Logging_0484/tillsyn/A 47648-2022 tillsynsbegäran.docx", "A 47648-2022")</f>
        <v/>
      </c>
      <c r="AD81">
        <f>HYPERLINK("https://klasma.github.io/Logging_0484/tillsynsmail/A 47648-2022 tillsynsbegäran mail.docx", "A 47648-2022")</f>
        <v/>
      </c>
      <c r="AE81">
        <f>HYPERLINK("https://klasma.github.io/Logging_0484/fåglar/A 47648-2022 prioriterade fågelarter.docx", "A 47648-2022")</f>
        <v/>
      </c>
    </row>
    <row r="82" ht="15" customHeight="1">
      <c r="A82" t="inlineStr">
        <is>
          <t>A 53399-2023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46284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HYPERLINK("https://klasma.github.io/Logging_0484/artfynd/A 53399-2023 artfynd.xlsx", "A 53399-2023")</f>
        <v/>
      </c>
      <c r="X82">
        <f>HYPERLINK("https://klasma.github.io/Logging_0484/kartor/A 53399-2023 karta.png", "A 53399-2023")</f>
        <v/>
      </c>
      <c r="Y82">
        <f>HYPERLINK("https://klasma.github.io/Logging_0484/kartor_geotiff/A 53399-2023 georefererad karta.tif", "A 53399-2023")</f>
        <v/>
      </c>
      <c r="AA82">
        <f>HYPERLINK("https://klasma.github.io/Logging_0484/klagomål/A 53399-2023 FSC-klagomål.docx", "A 53399-2023")</f>
        <v/>
      </c>
      <c r="AB82">
        <f>HYPERLINK("https://klasma.github.io/Logging_0484/klagomålsmail/A 53399-2023 FSC-klagomål mail.docx", "A 53399-2023")</f>
        <v/>
      </c>
      <c r="AC82">
        <f>HYPERLINK("https://klasma.github.io/Logging_0484/tillsyn/A 53399-2023 tillsynsbegäran.docx", "A 53399-2023")</f>
        <v/>
      </c>
      <c r="AD82">
        <f>HYPERLINK("https://klasma.github.io/Logging_0484/tillsynsmail/A 53399-2023 tillsynsbegäran mail.docx", "A 53399-2023")</f>
        <v/>
      </c>
    </row>
    <row r="83" ht="15" customHeight="1">
      <c r="A83" t="inlineStr">
        <is>
          <t>A 43547-2022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44834</v>
      </c>
      <c r="E83" s="1" t="n">
        <v>46284</v>
      </c>
      <c r="F83" t="inlineStr">
        <is>
          <t>SÖDERMANLANDS LÄN</t>
        </is>
      </c>
      <c r="G83" t="inlineStr">
        <is>
          <t>ESKILSTUNA</t>
        </is>
      </c>
      <c r="I83" t="n">
        <v>3.2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HYPERLINK("https://klasma.github.io/Logging_0484/artfynd/A 43547-2022 artfynd.xlsx", "A 43547-2022")</f>
        <v/>
      </c>
      <c r="X83">
        <f>HYPERLINK("https://klasma.github.io/Logging_0484/kartor/A 43547-2022 karta.png", "A 43547-2022")</f>
        <v/>
      </c>
      <c r="Y83">
        <f>HYPERLINK("https://klasma.github.io/Logging_0484/kartor_geotiff/A 43547-2022 georefererad karta.tif", "A 43547-2022")</f>
        <v/>
      </c>
      <c r="Z83">
        <f>HYPERLINK("https://klasma.github.io/Logging_0484/knärot/A 43547-2022 karta knärot.png", "A 43547-2022")</f>
        <v/>
      </c>
      <c r="AA83">
        <f>HYPERLINK("https://klasma.github.io/Logging_0484/klagomål/A 43547-2022 FSC-klagomål.docx", "A 43547-2022")</f>
        <v/>
      </c>
      <c r="AB83">
        <f>HYPERLINK("https://klasma.github.io/Logging_0484/klagomålsmail/A 43547-2022 FSC-klagomål mail.docx", "A 43547-2022")</f>
        <v/>
      </c>
      <c r="AC83">
        <f>HYPERLINK("https://klasma.github.io/Logging_0484/tillsyn/A 43547-2022 tillsynsbegäran.docx", "A 43547-2022")</f>
        <v/>
      </c>
      <c r="AD83">
        <f>HYPERLINK("https://klasma.github.io/Logging_0484/tillsynsmail/A 43547-2022 tillsynsbegäran mail.docx", "A 43547-2022")</f>
        <v/>
      </c>
    </row>
    <row r="84" ht="15" customHeight="1">
      <c r="A84" t="inlineStr">
        <is>
          <t>A 12984-2024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46284</v>
      </c>
      <c r="F84" t="inlineStr">
        <is>
          <t>SÖDERMANLANDS LÄN</t>
        </is>
      </c>
      <c r="G84" t="inlineStr">
        <is>
          <t>ESKILSTUNA</t>
        </is>
      </c>
      <c r="H84" t="inlineStr">
        <is>
          <t>Allmännings- och besparingsskogar</t>
        </is>
      </c>
      <c r="I84" t="n">
        <v>6.4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HYPERLINK("https://klasma.github.io/Logging_0484/artfynd/A 12984-2024 artfynd.xlsx", "A 12984-2024")</f>
        <v/>
      </c>
      <c r="X84">
        <f>HYPERLINK("https://klasma.github.io/Logging_0484/kartor/A 12984-2024 karta.png", "A 12984-2024")</f>
        <v/>
      </c>
      <c r="Y84">
        <f>HYPERLINK("https://klasma.github.io/Logging_0484/kartor_geotiff/A 12984-2024 georefererad karta.tif", "A 12984-2024")</f>
        <v/>
      </c>
      <c r="AA84">
        <f>HYPERLINK("https://klasma.github.io/Logging_0484/klagomål/A 12984-2024 FSC-klagomål.docx", "A 12984-2024")</f>
        <v/>
      </c>
      <c r="AB84">
        <f>HYPERLINK("https://klasma.github.io/Logging_0484/klagomålsmail/A 12984-2024 FSC-klagomål mail.docx", "A 12984-2024")</f>
        <v/>
      </c>
      <c r="AC84">
        <f>HYPERLINK("https://klasma.github.io/Logging_0484/tillsyn/A 12984-2024 tillsynsbegäran.docx", "A 12984-2024")</f>
        <v/>
      </c>
      <c r="AD84">
        <f>HYPERLINK("https://klasma.github.io/Logging_0484/tillsynsmail/A 12984-2024 tillsynsbegäran mail.docx", "A 12984-2024")</f>
        <v/>
      </c>
    </row>
    <row r="85" ht="15" customHeight="1">
      <c r="A85" t="inlineStr">
        <is>
          <t>A 30975-2023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46284</v>
      </c>
      <c r="F85" t="inlineStr">
        <is>
          <t>SÖDERMANLANDS LÄN</t>
        </is>
      </c>
      <c r="G85" t="inlineStr">
        <is>
          <t>ESKILSTUNA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Bombmurkla</t>
        </is>
      </c>
      <c r="W85">
        <f>HYPERLINK("https://klasma.github.io/Logging_0484/artfynd/A 30975-2023 artfynd.xlsx", "A 30975-2023")</f>
        <v/>
      </c>
      <c r="X85">
        <f>HYPERLINK("https://klasma.github.io/Logging_0484/kartor/A 30975-2023 karta.png", "A 30975-2023")</f>
        <v/>
      </c>
      <c r="Y85">
        <f>HYPERLINK("https://klasma.github.io/Logging_0484/kartor_geotiff/A 30975-2023 georefererad karta.tif", "A 30975-2023")</f>
        <v/>
      </c>
      <c r="AA85">
        <f>HYPERLINK("https://klasma.github.io/Logging_0484/klagomål/A 30975-2023 FSC-klagomål.docx", "A 30975-2023")</f>
        <v/>
      </c>
      <c r="AB85">
        <f>HYPERLINK("https://klasma.github.io/Logging_0484/klagomålsmail/A 30975-2023 FSC-klagomål mail.docx", "A 30975-2023")</f>
        <v/>
      </c>
      <c r="AC85">
        <f>HYPERLINK("https://klasma.github.io/Logging_0484/tillsyn/A 30975-2023 tillsynsbegäran.docx", "A 30975-2023")</f>
        <v/>
      </c>
      <c r="AD85">
        <f>HYPERLINK("https://klasma.github.io/Logging_0484/tillsynsmail/A 30975-2023 tillsynsbegäran mail.docx", "A 30975-2023")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46284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2512-2025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45674</v>
      </c>
      <c r="E87" s="1" t="n">
        <v>46284</v>
      </c>
      <c r="F87" t="inlineStr">
        <is>
          <t>SÖDERMANLANDS LÄN</t>
        </is>
      </c>
      <c r="G87" t="inlineStr">
        <is>
          <t>ESKILSTUNA</t>
        </is>
      </c>
      <c r="I87" t="n">
        <v>3.9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HYPERLINK("https://klasma.github.io/Logging_0484/artfynd/A 2512-2025 artfynd.xlsx", "A 2512-2025")</f>
        <v/>
      </c>
      <c r="X87">
        <f>HYPERLINK("https://klasma.github.io/Logging_0484/kartor/A 2512-2025 karta.png", "A 2512-2025")</f>
        <v/>
      </c>
      <c r="Y87">
        <f>HYPERLINK("https://klasma.github.io/Logging_0484/kartor_geotiff/A 2512-2025 georefererad karta.tif", "A 2512-2025")</f>
        <v/>
      </c>
      <c r="AA87">
        <f>HYPERLINK("https://klasma.github.io/Logging_0484/klagomål/A 2512-2025 FSC-klagomål.docx", "A 2512-2025")</f>
        <v/>
      </c>
      <c r="AB87">
        <f>HYPERLINK("https://klasma.github.io/Logging_0484/klagomålsmail/A 2512-2025 FSC-klagomål mail.docx", "A 2512-2025")</f>
        <v/>
      </c>
      <c r="AC87">
        <f>HYPERLINK("https://klasma.github.io/Logging_0484/tillsyn/A 2512-2025 tillsynsbegäran.docx", "A 2512-2025")</f>
        <v/>
      </c>
      <c r="AD87">
        <f>HYPERLINK("https://klasma.github.io/Logging_0484/tillsynsmail/A 2512-2025 tillsynsbegäran mail.docx", "A 2512-2025")</f>
        <v/>
      </c>
    </row>
    <row r="88" ht="15" customHeight="1">
      <c r="A88" t="inlineStr">
        <is>
          <t>A 31056-2025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46284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HYPERLINK("https://klasma.github.io/Logging_0484/artfynd/A 31056-2025 artfynd.xlsx", "A 31056-2025")</f>
        <v/>
      </c>
      <c r="X88">
        <f>HYPERLINK("https://klasma.github.io/Logging_0484/kartor/A 31056-2025 karta.png", "A 31056-2025")</f>
        <v/>
      </c>
      <c r="Y88">
        <f>HYPERLINK("https://klasma.github.io/Logging_0484/kartor_geotiff/A 31056-2025 georefererad karta.tif", "A 31056-2025")</f>
        <v/>
      </c>
      <c r="AA88">
        <f>HYPERLINK("https://klasma.github.io/Logging_0484/klagomål/A 31056-2025 FSC-klagomål.docx", "A 31056-2025")</f>
        <v/>
      </c>
      <c r="AB88">
        <f>HYPERLINK("https://klasma.github.io/Logging_0484/klagomålsmail/A 31056-2025 FSC-klagomål mail.docx", "A 31056-2025")</f>
        <v/>
      </c>
      <c r="AC88">
        <f>HYPERLINK("https://klasma.github.io/Logging_0484/tillsyn/A 31056-2025 tillsynsbegäran.docx", "A 31056-2025")</f>
        <v/>
      </c>
      <c r="AD88">
        <f>HYPERLINK("https://klasma.github.io/Logging_0484/tillsynsmail/A 31056-2025 tillsynsbegäran mail.docx", "A 31056-2025")</f>
        <v/>
      </c>
    </row>
    <row r="89" ht="15" customHeight="1">
      <c r="A89" t="inlineStr">
        <is>
          <t>A 36216-2025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45867</v>
      </c>
      <c r="E89" s="1" t="n">
        <v>46284</v>
      </c>
      <c r="F89" t="inlineStr">
        <is>
          <t>SÖDERMANLANDS LÄN</t>
        </is>
      </c>
      <c r="G89" t="inlineStr">
        <is>
          <t>ESKILSTUNA</t>
        </is>
      </c>
      <c r="I89" t="n">
        <v>18.7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Blomkålssvamp</t>
        </is>
      </c>
      <c r="W89">
        <f>HYPERLINK("https://klasma.github.io/Logging_0484/artfynd/A 36216-2025 artfynd.xlsx", "A 36216-2025")</f>
        <v/>
      </c>
      <c r="X89">
        <f>HYPERLINK("https://klasma.github.io/Logging_0484/kartor/A 36216-2025 karta.png", "A 36216-2025")</f>
        <v/>
      </c>
      <c r="Y89">
        <f>HYPERLINK("https://klasma.github.io/Logging_0484/kartor_geotiff/A 36216-2025 georefererad karta.tif", "A 36216-2025")</f>
        <v/>
      </c>
      <c r="AA89">
        <f>HYPERLINK("https://klasma.github.io/Logging_0484/klagomål/A 36216-2025 FSC-klagomål.docx", "A 36216-2025")</f>
        <v/>
      </c>
      <c r="AB89">
        <f>HYPERLINK("https://klasma.github.io/Logging_0484/klagomålsmail/A 36216-2025 FSC-klagomål mail.docx", "A 36216-2025")</f>
        <v/>
      </c>
      <c r="AC89">
        <f>HYPERLINK("https://klasma.github.io/Logging_0484/tillsyn/A 36216-2025 tillsynsbegäran.docx", "A 36216-2025")</f>
        <v/>
      </c>
      <c r="AD89">
        <f>HYPERLINK("https://klasma.github.io/Logging_0484/tillsynsmail/A 36216-2025 tillsynsbegäran mail.docx", "A 36216-2025")</f>
        <v/>
      </c>
    </row>
    <row r="90" ht="15" customHeight="1">
      <c r="A90" t="inlineStr">
        <is>
          <t>A 35096-2022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46284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46284</v>
      </c>
      <c r="F91" t="inlineStr">
        <is>
          <t>SÖDERMANLANDS LÄN</t>
        </is>
      </c>
      <c r="G91" t="inlineStr">
        <is>
          <t>ESKILSTUNA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46284</v>
      </c>
      <c r="F92" t="inlineStr">
        <is>
          <t>SÖDERMANLANDS LÄN</t>
        </is>
      </c>
      <c r="G92" t="inlineStr">
        <is>
          <t>ESKILSTUNA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46284</v>
      </c>
      <c r="F93" t="inlineStr">
        <is>
          <t>SÖDERMANLANDS LÄN</t>
        </is>
      </c>
      <c r="G93" t="inlineStr">
        <is>
          <t>ESKILSTUNA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46284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46284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64986-2021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44513</v>
      </c>
      <c r="E96" s="1" t="n">
        <v>46284</v>
      </c>
      <c r="F96" t="inlineStr">
        <is>
          <t>SÖDERMANLANDS LÄN</t>
        </is>
      </c>
      <c r="G96" t="inlineStr">
        <is>
          <t>ESKILSTUNA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46284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46284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46284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46284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46284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46284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46284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46284</v>
      </c>
      <c r="F104" t="inlineStr">
        <is>
          <t>SÖDERMANLANDS LÄN</t>
        </is>
      </c>
      <c r="G104" t="inlineStr">
        <is>
          <t>ESKILSTUNA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46284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46284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46284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46284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46284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46284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46284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46284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46284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46284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46284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46284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46284</v>
      </c>
      <c r="F117" t="inlineStr">
        <is>
          <t>SÖDERMANLANDS LÄN</t>
        </is>
      </c>
      <c r="G117" t="inlineStr">
        <is>
          <t>ESKILSTUNA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46284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46284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46284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46284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46284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46284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46284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46284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46284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46284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46284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46284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46284</v>
      </c>
      <c r="F130" t="inlineStr">
        <is>
          <t>SÖDERMANLANDS LÄN</t>
        </is>
      </c>
      <c r="G130" t="inlineStr">
        <is>
          <t>ESKILSTUNA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46284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46284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46284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65406-2021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46284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Kyrkan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46284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46284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46284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46284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46284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46284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46284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46284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46284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46284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46284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46284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46284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46284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46284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46284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46284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46284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46284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46284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46284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46284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46284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46284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46284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44755</v>
      </c>
      <c r="E160" s="1" t="n">
        <v>46284</v>
      </c>
      <c r="F160" t="inlineStr">
        <is>
          <t>SÖDERMANLANDS LÄN</t>
        </is>
      </c>
      <c r="G160" t="inlineStr">
        <is>
          <t>ESKILSTUNA</t>
        </is>
      </c>
      <c r="I160" t="n">
        <v>20.1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46284</v>
      </c>
      <c r="F161" t="inlineStr">
        <is>
          <t>SÖDERMANLANDS LÄN</t>
        </is>
      </c>
      <c r="G161" t="inlineStr">
        <is>
          <t>ESKILSTUNA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46284</v>
      </c>
      <c r="F162" t="inlineStr">
        <is>
          <t>SÖDERMANLANDS LÄN</t>
        </is>
      </c>
      <c r="G162" t="inlineStr">
        <is>
          <t>ESKILSTUNA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46284</v>
      </c>
      <c r="F163" t="inlineStr">
        <is>
          <t>SÖDERMANLANDS LÄN</t>
        </is>
      </c>
      <c r="G163" t="inlineStr">
        <is>
          <t>ESKILSTUNA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46284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46284</v>
      </c>
      <c r="F165" t="inlineStr">
        <is>
          <t>SÖDERMANLANDS LÄN</t>
        </is>
      </c>
      <c r="G165" t="inlineStr">
        <is>
          <t>ESKILSTUNA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46284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Kommuner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46284</v>
      </c>
      <c r="F167" t="inlineStr">
        <is>
          <t>SÖDERMANLANDS LÄN</t>
        </is>
      </c>
      <c r="G167" t="inlineStr">
        <is>
          <t>ESKILSTUNA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15592-2023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45020</v>
      </c>
      <c r="E168" s="1" t="n">
        <v>46284</v>
      </c>
      <c r="F168" t="inlineStr">
        <is>
          <t>SÖDERMANLANDS LÄN</t>
        </is>
      </c>
      <c r="G168" t="inlineStr">
        <is>
          <t>ESKILSTUNA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46284</v>
      </c>
      <c r="F169" t="inlineStr">
        <is>
          <t>SÖDERMANLANDS LÄN</t>
        </is>
      </c>
      <c r="G169" t="inlineStr">
        <is>
          <t>ESKILSTUNA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46284</v>
      </c>
      <c r="F170" t="inlineStr">
        <is>
          <t>SÖDERMANLANDS LÄN</t>
        </is>
      </c>
      <c r="G170" t="inlineStr">
        <is>
          <t>ESKILSTUNA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46284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46284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46284</v>
      </c>
      <c r="F173" t="inlineStr">
        <is>
          <t>SÖDERMANLANDS LÄN</t>
        </is>
      </c>
      <c r="G173" t="inlineStr">
        <is>
          <t>ESKILSTUNA</t>
        </is>
      </c>
      <c r="I173" t="n">
        <v>11.6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46284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46284</v>
      </c>
      <c r="F175" t="inlineStr">
        <is>
          <t>SÖDERMANLANDS LÄN</t>
        </is>
      </c>
      <c r="G175" t="inlineStr">
        <is>
          <t>ESKILSTUNA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46284</v>
      </c>
      <c r="F176" t="inlineStr">
        <is>
          <t>SÖDERMANLANDS LÄN</t>
        </is>
      </c>
      <c r="G176" t="inlineStr">
        <is>
          <t>ESKILSTUNA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46284</v>
      </c>
      <c r="F177" t="inlineStr">
        <is>
          <t>SÖDERMANLANDS LÄN</t>
        </is>
      </c>
      <c r="G177" t="inlineStr">
        <is>
          <t>ESKILSTUNA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46284</v>
      </c>
      <c r="F178" t="inlineStr">
        <is>
          <t>SÖDERMANLANDS LÄN</t>
        </is>
      </c>
      <c r="G178" t="inlineStr">
        <is>
          <t>ESKILSTUNA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46284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Övriga Aktiebolag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46284</v>
      </c>
      <c r="F180" t="inlineStr">
        <is>
          <t>SÖDERMANLANDS LÄN</t>
        </is>
      </c>
      <c r="G180" t="inlineStr">
        <is>
          <t>ESKILSTUNA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46284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68020-2021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44525</v>
      </c>
      <c r="E182" s="1" t="n">
        <v>46284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30968-2022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44768</v>
      </c>
      <c r="E183" s="1" t="n">
        <v>46284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46284</v>
      </c>
      <c r="F184" t="inlineStr">
        <is>
          <t>SÖDERMANLANDS LÄN</t>
        </is>
      </c>
      <c r="G184" t="inlineStr">
        <is>
          <t>ESKILSTUNA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46284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46284</v>
      </c>
      <c r="F186" t="inlineStr">
        <is>
          <t>SÖDERMANLANDS LÄN</t>
        </is>
      </c>
      <c r="G186" t="inlineStr">
        <is>
          <t>ESKILSTUNA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46284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45163</v>
      </c>
      <c r="E188" s="1" t="n">
        <v>46284</v>
      </c>
      <c r="F188" t="inlineStr">
        <is>
          <t>SÖDERMANLANDS LÄN</t>
        </is>
      </c>
      <c r="G188" t="inlineStr">
        <is>
          <t>ESKILSTUNA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46284</v>
      </c>
      <c r="F189" t="inlineStr">
        <is>
          <t>SÖDERMANLANDS LÄN</t>
        </is>
      </c>
      <c r="G189" t="inlineStr">
        <is>
          <t>ESKILSTUNA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44844</v>
      </c>
      <c r="E190" s="1" t="n">
        <v>46284</v>
      </c>
      <c r="F190" t="inlineStr">
        <is>
          <t>SÖDERMANLANDS LÄN</t>
        </is>
      </c>
      <c r="G190" t="inlineStr">
        <is>
          <t>ESKILSTUNA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44844</v>
      </c>
      <c r="E191" s="1" t="n">
        <v>46284</v>
      </c>
      <c r="F191" t="inlineStr">
        <is>
          <t>SÖDERMANLANDS LÄN</t>
        </is>
      </c>
      <c r="G191" t="inlineStr">
        <is>
          <t>ESKILSTUNA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46284</v>
      </c>
      <c r="F192" t="inlineStr">
        <is>
          <t>SÖDERMANLANDS LÄN</t>
        </is>
      </c>
      <c r="G192" t="inlineStr">
        <is>
          <t>ESKILSTUNA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46284</v>
      </c>
      <c r="F193" t="inlineStr">
        <is>
          <t>SÖDERMANLANDS LÄN</t>
        </is>
      </c>
      <c r="G193" t="inlineStr">
        <is>
          <t>ESKILSTUNA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45266</v>
      </c>
      <c r="E194" s="1" t="n">
        <v>46284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45365</v>
      </c>
      <c r="E195" s="1" t="n">
        <v>46284</v>
      </c>
      <c r="F195" t="inlineStr">
        <is>
          <t>SÖDERMANLANDS LÄN</t>
        </is>
      </c>
      <c r="G195" t="inlineStr">
        <is>
          <t>ESKILSTUNA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46284</v>
      </c>
      <c r="F196" t="inlineStr">
        <is>
          <t>SÖDERMANLANDS LÄN</t>
        </is>
      </c>
      <c r="G196" t="inlineStr">
        <is>
          <t>ESKILSTUNA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46284</v>
      </c>
      <c r="F197" t="inlineStr">
        <is>
          <t>SÖDERMANLANDS LÄN</t>
        </is>
      </c>
      <c r="G197" t="inlineStr">
        <is>
          <t>ESKILSTUNA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46284</v>
      </c>
      <c r="F198" t="inlineStr">
        <is>
          <t>SÖDERMANLANDS LÄN</t>
        </is>
      </c>
      <c r="G198" t="inlineStr">
        <is>
          <t>ESKILSTUNA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46284</v>
      </c>
      <c r="F199" t="inlineStr">
        <is>
          <t>SÖDERMANLANDS LÄN</t>
        </is>
      </c>
      <c r="G199" t="inlineStr">
        <is>
          <t>ESKILSTUNA</t>
        </is>
      </c>
      <c r="I199" t="n">
        <v>15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46284</v>
      </c>
      <c r="F200" t="inlineStr">
        <is>
          <t>SÖDERMANLANDS LÄN</t>
        </is>
      </c>
      <c r="G200" t="inlineStr">
        <is>
          <t>ESKILSTUNA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44536</v>
      </c>
      <c r="E201" s="1" t="n">
        <v>46284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46284</v>
      </c>
      <c r="F202" t="inlineStr">
        <is>
          <t>SÖDERMANLANDS LÄN</t>
        </is>
      </c>
      <c r="G202" t="inlineStr">
        <is>
          <t>ESKILSTUNA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45685</v>
      </c>
      <c r="E203" s="1" t="n">
        <v>46284</v>
      </c>
      <c r="F203" t="inlineStr">
        <is>
          <t>SÖDERMANLANDS LÄN</t>
        </is>
      </c>
      <c r="G203" t="inlineStr">
        <is>
          <t>ESKILSTUNA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46284</v>
      </c>
      <c r="F204" t="inlineStr">
        <is>
          <t>SÖDERMANLANDS LÄN</t>
        </is>
      </c>
      <c r="G204" t="inlineStr">
        <is>
          <t>ESKILSTUNA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65614-2021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46284</v>
      </c>
      <c r="F205" t="inlineStr">
        <is>
          <t>SÖDERMANLANDS LÄN</t>
        </is>
      </c>
      <c r="G205" t="inlineStr">
        <is>
          <t>ESKILSTUNA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45695</v>
      </c>
      <c r="E206" s="1" t="n">
        <v>46284</v>
      </c>
      <c r="F206" t="inlineStr">
        <is>
          <t>SÖDERMANLANDS LÄN</t>
        </is>
      </c>
      <c r="G206" t="inlineStr">
        <is>
          <t>ESKILSTUNA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45695</v>
      </c>
      <c r="E207" s="1" t="n">
        <v>46284</v>
      </c>
      <c r="F207" t="inlineStr">
        <is>
          <t>SÖDERMANLANDS LÄN</t>
        </is>
      </c>
      <c r="G207" t="inlineStr">
        <is>
          <t>ESKILSTUNA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46284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46284</v>
      </c>
      <c r="F209" t="inlineStr">
        <is>
          <t>SÖDERMANLANDS LÄN</t>
        </is>
      </c>
      <c r="G209" t="inlineStr">
        <is>
          <t>ESKILSTUNA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44983</v>
      </c>
      <c r="E210" s="1" t="n">
        <v>46284</v>
      </c>
      <c r="F210" t="inlineStr">
        <is>
          <t>SÖDERMANLANDS LÄN</t>
        </is>
      </c>
      <c r="G210" t="inlineStr">
        <is>
          <t>ESKILSTUNA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46284</v>
      </c>
      <c r="F211" t="inlineStr">
        <is>
          <t>SÖDERMANLANDS LÄN</t>
        </is>
      </c>
      <c r="G211" t="inlineStr">
        <is>
          <t>ESKILSTUNA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46284</v>
      </c>
      <c r="F212" t="inlineStr">
        <is>
          <t>SÖDERMANLANDS LÄN</t>
        </is>
      </c>
      <c r="G212" t="inlineStr">
        <is>
          <t>ESKILSTUNA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57304-2023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45245</v>
      </c>
      <c r="E213" s="1" t="n">
        <v>46284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46284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46284</v>
      </c>
      <c r="F215" t="inlineStr">
        <is>
          <t>SÖDERMANLANDS LÄN</t>
        </is>
      </c>
      <c r="G215" t="inlineStr">
        <is>
          <t>ESKILSTUNA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46284</v>
      </c>
      <c r="F216" t="inlineStr">
        <is>
          <t>SÖDERMANLANDS LÄN</t>
        </is>
      </c>
      <c r="G216" t="inlineStr">
        <is>
          <t>ESKILSTUNA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46284</v>
      </c>
      <c r="F217" t="inlineStr">
        <is>
          <t>SÖDERMANLANDS LÄN</t>
        </is>
      </c>
      <c r="G217" t="inlineStr">
        <is>
          <t>ESKILSTUNA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46284</v>
      </c>
      <c r="F218" t="inlineStr">
        <is>
          <t>SÖDERMANLANDS LÄN</t>
        </is>
      </c>
      <c r="G218" t="inlineStr">
        <is>
          <t>ESKILSTUNA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44930</v>
      </c>
      <c r="E219" s="1" t="n">
        <v>46284</v>
      </c>
      <c r="F219" t="inlineStr">
        <is>
          <t>SÖDERMANLANDS LÄN</t>
        </is>
      </c>
      <c r="G219" t="inlineStr">
        <is>
          <t>ESKILSTUNA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46284</v>
      </c>
      <c r="F220" t="inlineStr">
        <is>
          <t>SÖDERMANLANDS LÄN</t>
        </is>
      </c>
      <c r="G220" t="inlineStr">
        <is>
          <t>ESKILSTUNA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46284</v>
      </c>
      <c r="F221" t="inlineStr">
        <is>
          <t>SÖDERMANLANDS LÄN</t>
        </is>
      </c>
      <c r="G221" t="inlineStr">
        <is>
          <t>ESKILSTUNA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45464</v>
      </c>
      <c r="E222" s="1" t="n">
        <v>46284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45036</v>
      </c>
      <c r="E223" s="1" t="n">
        <v>46284</v>
      </c>
      <c r="F223" t="inlineStr">
        <is>
          <t>SÖDERMANLANDS LÄN</t>
        </is>
      </c>
      <c r="G223" t="inlineStr">
        <is>
          <t>ESKILSTUNA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46284</v>
      </c>
      <c r="F224" t="inlineStr">
        <is>
          <t>SÖDERMANLANDS LÄN</t>
        </is>
      </c>
      <c r="G224" t="inlineStr">
        <is>
          <t>ESKILSTUNA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45670</v>
      </c>
      <c r="E225" s="1" t="n">
        <v>46284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46284</v>
      </c>
      <c r="F226" t="inlineStr">
        <is>
          <t>SÖDERMANLANDS LÄN</t>
        </is>
      </c>
      <c r="G226" t="inlineStr">
        <is>
          <t>ESKILSTUNA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46284</v>
      </c>
      <c r="F227" t="inlineStr">
        <is>
          <t>SÖDERMANLANDS LÄN</t>
        </is>
      </c>
      <c r="G227" t="inlineStr">
        <is>
          <t>ESKILSTUNA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46284</v>
      </c>
      <c r="F228" t="inlineStr">
        <is>
          <t>SÖDERMANLANDS LÄN</t>
        </is>
      </c>
      <c r="G228" t="inlineStr">
        <is>
          <t>ESKILSTUNA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44799</v>
      </c>
      <c r="E229" s="1" t="n">
        <v>46284</v>
      </c>
      <c r="F229" t="inlineStr">
        <is>
          <t>SÖDERMANLANDS LÄN</t>
        </is>
      </c>
      <c r="G229" t="inlineStr">
        <is>
          <t>ESKILSTUNA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46284</v>
      </c>
      <c r="F230" t="inlineStr">
        <is>
          <t>SÖDERMANLANDS LÄN</t>
        </is>
      </c>
      <c r="G230" t="inlineStr">
        <is>
          <t>ESKILSTUNA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46608-2024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45582</v>
      </c>
      <c r="E231" s="1" t="n">
        <v>46284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46284</v>
      </c>
      <c r="F232" t="inlineStr">
        <is>
          <t>SÖDERMANLANDS LÄN</t>
        </is>
      </c>
      <c r="G232" t="inlineStr">
        <is>
          <t>ESKILSTUNA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44626</v>
      </c>
      <c r="E233" s="1" t="n">
        <v>46284</v>
      </c>
      <c r="F233" t="inlineStr">
        <is>
          <t>SÖDERMANLANDS LÄN</t>
        </is>
      </c>
      <c r="G233" t="inlineStr">
        <is>
          <t>ESKILSTUNA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46284</v>
      </c>
      <c r="F234" t="inlineStr">
        <is>
          <t>SÖDERMANLANDS LÄN</t>
        </is>
      </c>
      <c r="G234" t="inlineStr">
        <is>
          <t>ESKILSTUNA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46284</v>
      </c>
      <c r="F235" t="inlineStr">
        <is>
          <t>SÖDERMANLANDS LÄN</t>
        </is>
      </c>
      <c r="G235" t="inlineStr">
        <is>
          <t>ESKILSTUNA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46284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59276-2021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44490</v>
      </c>
      <c r="E237" s="1" t="n">
        <v>46284</v>
      </c>
      <c r="F237" t="inlineStr">
        <is>
          <t>SÖDERMANLANDS LÄN</t>
        </is>
      </c>
      <c r="G237" t="inlineStr">
        <is>
          <t>ESKILSTUNA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61367-2021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44499</v>
      </c>
      <c r="E238" s="1" t="n">
        <v>46284</v>
      </c>
      <c r="F238" t="inlineStr">
        <is>
          <t>SÖDERMANLANDS LÄN</t>
        </is>
      </c>
      <c r="G238" t="inlineStr">
        <is>
          <t>ESKILSTUNA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46284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46284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59276-2021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44490</v>
      </c>
      <c r="E241" s="1" t="n">
        <v>46284</v>
      </c>
      <c r="F241" t="inlineStr">
        <is>
          <t>SÖDERMANLANDS LÄN</t>
        </is>
      </c>
      <c r="G241" t="inlineStr">
        <is>
          <t>ESKILSTUNA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46284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Kyrkan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50484-2025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45945</v>
      </c>
      <c r="E243" s="1" t="n">
        <v>46284</v>
      </c>
      <c r="F243" t="inlineStr">
        <is>
          <t>SÖDERMANLANDS LÄN</t>
        </is>
      </c>
      <c r="G243" t="inlineStr">
        <is>
          <t>ESKILSTUNA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46284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46284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46284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46284</v>
      </c>
      <c r="F247" t="inlineStr">
        <is>
          <t>SÖDERMANLANDS LÄN</t>
        </is>
      </c>
      <c r="G247" t="inlineStr">
        <is>
          <t>ESKILSTUNA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44634</v>
      </c>
      <c r="E248" s="1" t="n">
        <v>46284</v>
      </c>
      <c r="F248" t="inlineStr">
        <is>
          <t>SÖDERMANLANDS LÄN</t>
        </is>
      </c>
      <c r="G248" t="inlineStr">
        <is>
          <t>ESKILSTUNA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46284</v>
      </c>
      <c r="F249" t="inlineStr">
        <is>
          <t>SÖDERMANLANDS LÄN</t>
        </is>
      </c>
      <c r="G249" t="inlineStr">
        <is>
          <t>ESKILSTUNA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46284</v>
      </c>
      <c r="F250" t="inlineStr">
        <is>
          <t>SÖDERMANLANDS LÄN</t>
        </is>
      </c>
      <c r="G250" t="inlineStr">
        <is>
          <t>ESKILSTUNA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36565-2022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46284</v>
      </c>
      <c r="F251" t="inlineStr">
        <is>
          <t>SÖDERMANLANDS LÄN</t>
        </is>
      </c>
      <c r="G251" t="inlineStr">
        <is>
          <t>ESKILSTUNA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46284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44701</v>
      </c>
      <c r="E253" s="1" t="n">
        <v>46284</v>
      </c>
      <c r="F253" t="inlineStr">
        <is>
          <t>SÖDERMANLANDS LÄN</t>
        </is>
      </c>
      <c r="G253" t="inlineStr">
        <is>
          <t>ESKILSTUNA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46284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46284</v>
      </c>
      <c r="F255" t="inlineStr">
        <is>
          <t>SÖDERMANLANDS LÄN</t>
        </is>
      </c>
      <c r="G255" t="inlineStr">
        <is>
          <t>ESKILSTUNA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46284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46284</v>
      </c>
      <c r="F257" t="inlineStr">
        <is>
          <t>SÖDERMANLANDS LÄN</t>
        </is>
      </c>
      <c r="G257" t="inlineStr">
        <is>
          <t>ESKILSTUNA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46284</v>
      </c>
      <c r="F258" t="inlineStr">
        <is>
          <t>SÖDERMANLANDS LÄN</t>
        </is>
      </c>
      <c r="G258" t="inlineStr">
        <is>
          <t>ESKILSTUNA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45341</v>
      </c>
      <c r="E259" s="1" t="n">
        <v>46284</v>
      </c>
      <c r="F259" t="inlineStr">
        <is>
          <t>SÖDERMANLANDS LÄN</t>
        </is>
      </c>
      <c r="G259" t="inlineStr">
        <is>
          <t>ESKILSTUNA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46284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46284</v>
      </c>
      <c r="F261" t="inlineStr">
        <is>
          <t>SÖDERMANLANDS LÄN</t>
        </is>
      </c>
      <c r="G261" t="inlineStr">
        <is>
          <t>ESKILSTUNA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46284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Allmännings- och besparingsskogar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46284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46284</v>
      </c>
      <c r="F264" t="inlineStr">
        <is>
          <t>SÖDERMANLANDS LÄN</t>
        </is>
      </c>
      <c r="G264" t="inlineStr">
        <is>
          <t>ESKILSTUNA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46284</v>
      </c>
      <c r="F265" t="inlineStr">
        <is>
          <t>SÖDERMANLANDS LÄN</t>
        </is>
      </c>
      <c r="G265" t="inlineStr">
        <is>
          <t>ESKILSTUNA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46284</v>
      </c>
      <c r="F266" t="inlineStr">
        <is>
          <t>SÖDERMANLANDS LÄN</t>
        </is>
      </c>
      <c r="G266" t="inlineStr">
        <is>
          <t>ESKILSTUNA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46284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46284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46284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Kommuner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46284</v>
      </c>
      <c r="F270" t="inlineStr">
        <is>
          <t>SÖDERMANLANDS LÄN</t>
        </is>
      </c>
      <c r="G270" t="inlineStr">
        <is>
          <t>ESKILSTUNA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46284</v>
      </c>
      <c r="F271" t="inlineStr">
        <is>
          <t>SÖDERMANLANDS LÄN</t>
        </is>
      </c>
      <c r="G271" t="inlineStr">
        <is>
          <t>ESKILSTUNA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46284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Allmännings- och besparingsskogar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46284</v>
      </c>
      <c r="F273" t="inlineStr">
        <is>
          <t>SÖDERMANLANDS LÄN</t>
        </is>
      </c>
      <c r="G273" t="inlineStr">
        <is>
          <t>ESKILSTUNA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46284</v>
      </c>
      <c r="F274" t="inlineStr">
        <is>
          <t>SÖDERMANLANDS LÄN</t>
        </is>
      </c>
      <c r="G274" t="inlineStr">
        <is>
          <t>ESKILSTUNA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46284</v>
      </c>
      <c r="F275" t="inlineStr">
        <is>
          <t>SÖDERMANLANDS LÄN</t>
        </is>
      </c>
      <c r="G275" t="inlineStr">
        <is>
          <t>ESKILSTUNA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46284</v>
      </c>
      <c r="F276" t="inlineStr">
        <is>
          <t>SÖDERMANLANDS LÄN</t>
        </is>
      </c>
      <c r="G276" t="inlineStr">
        <is>
          <t>ESKILSTUNA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44626</v>
      </c>
      <c r="E277" s="1" t="n">
        <v>46284</v>
      </c>
      <c r="F277" t="inlineStr">
        <is>
          <t>SÖDERMANLANDS LÄN</t>
        </is>
      </c>
      <c r="G277" t="inlineStr">
        <is>
          <t>ESKILSTUNA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46284</v>
      </c>
      <c r="F278" t="inlineStr">
        <is>
          <t>SÖDERMANLANDS LÄN</t>
        </is>
      </c>
      <c r="G278" t="inlineStr">
        <is>
          <t>ESKILSTUNA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46284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36142-2022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44803</v>
      </c>
      <c r="E280" s="1" t="n">
        <v>46284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44803</v>
      </c>
      <c r="E281" s="1" t="n">
        <v>46284</v>
      </c>
      <c r="F281" t="inlineStr">
        <is>
          <t>SÖDERMANLANDS LÄN</t>
        </is>
      </c>
      <c r="G281" t="inlineStr">
        <is>
          <t>ESKILSTUNA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1340-2024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45303</v>
      </c>
      <c r="E282" s="1" t="n">
        <v>46284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45303</v>
      </c>
      <c r="E283" s="1" t="n">
        <v>46284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46284</v>
      </c>
      <c r="F284" t="inlineStr">
        <is>
          <t>SÖDERMANLANDS LÄN</t>
        </is>
      </c>
      <c r="G284" t="inlineStr">
        <is>
          <t>ESKILSTUNA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46284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45004</v>
      </c>
      <c r="E286" s="1" t="n">
        <v>46284</v>
      </c>
      <c r="F286" t="inlineStr">
        <is>
          <t>SÖDERMANLANDS LÄN</t>
        </is>
      </c>
      <c r="G286" t="inlineStr">
        <is>
          <t>ESKILSTUNA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46284</v>
      </c>
      <c r="F287" t="inlineStr">
        <is>
          <t>SÖDERMANLANDS LÄN</t>
        </is>
      </c>
      <c r="G287" t="inlineStr">
        <is>
          <t>ESKILSTUNA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46284</v>
      </c>
      <c r="F288" t="inlineStr">
        <is>
          <t>SÖDERMANLANDS LÄN</t>
        </is>
      </c>
      <c r="G288" t="inlineStr">
        <is>
          <t>ESKILSTUNA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46284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Kyrkan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46284</v>
      </c>
      <c r="F290" t="inlineStr">
        <is>
          <t>SÖDERMANLANDS LÄN</t>
        </is>
      </c>
      <c r="G290" t="inlineStr">
        <is>
          <t>ESKILSTUNA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46284</v>
      </c>
      <c r="F291" t="inlineStr">
        <is>
          <t>SÖDERMANLANDS LÄN</t>
        </is>
      </c>
      <c r="G291" t="inlineStr">
        <is>
          <t>ESKILSTUNA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46284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46284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46284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46284</v>
      </c>
      <c r="F295" t="inlineStr">
        <is>
          <t>SÖDERMANLANDS LÄN</t>
        </is>
      </c>
      <c r="G295" t="inlineStr">
        <is>
          <t>ESKILSTUNA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46284</v>
      </c>
      <c r="F296" t="inlineStr">
        <is>
          <t>SÖDERMANLANDS LÄN</t>
        </is>
      </c>
      <c r="G296" t="inlineStr">
        <is>
          <t>ESKILSTUNA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45303</v>
      </c>
      <c r="E297" s="1" t="n">
        <v>46284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46157</v>
      </c>
      <c r="E298" s="1" t="n">
        <v>46284</v>
      </c>
      <c r="F298" t="inlineStr">
        <is>
          <t>SÖDERMANLANDS LÄN</t>
        </is>
      </c>
      <c r="G298" t="inlineStr">
        <is>
          <t>ESKILSTUNA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46284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45715</v>
      </c>
      <c r="E300" s="1" t="n">
        <v>46284</v>
      </c>
      <c r="F300" t="inlineStr">
        <is>
          <t>SÖDERMANLANDS LÄN</t>
        </is>
      </c>
      <c r="G300" t="inlineStr">
        <is>
          <t>ESKILSTUNA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46284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46284</v>
      </c>
      <c r="F302" t="inlineStr">
        <is>
          <t>SÖDERMANLANDS LÄN</t>
        </is>
      </c>
      <c r="G302" t="inlineStr">
        <is>
          <t>ESKILSTUNA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45756</v>
      </c>
      <c r="E303" s="1" t="n">
        <v>46284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44732</v>
      </c>
      <c r="E304" s="1" t="n">
        <v>46284</v>
      </c>
      <c r="F304" t="inlineStr">
        <is>
          <t>SÖDERMANLANDS LÄN</t>
        </is>
      </c>
      <c r="G304" t="inlineStr">
        <is>
          <t>ESKILSTUNA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46284</v>
      </c>
      <c r="F305" t="inlineStr">
        <is>
          <t>SÖDERMANLANDS LÄN</t>
        </is>
      </c>
      <c r="G305" t="inlineStr">
        <is>
          <t>ESKILSTUNA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46284</v>
      </c>
      <c r="F306" t="inlineStr">
        <is>
          <t>SÖDERMANLANDS LÄN</t>
        </is>
      </c>
      <c r="G306" t="inlineStr">
        <is>
          <t>ESKILSTUNA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46284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46284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Övriga Aktiebolag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46284</v>
      </c>
      <c r="F309" t="inlineStr">
        <is>
          <t>SÖDERMANLANDS LÄN</t>
        </is>
      </c>
      <c r="G309" t="inlineStr">
        <is>
          <t>ESKILSTUNA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46284</v>
      </c>
      <c r="F310" t="inlineStr">
        <is>
          <t>SÖDERMANLANDS LÄN</t>
        </is>
      </c>
      <c r="G310" t="inlineStr">
        <is>
          <t>ESKILSTUNA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52203-2025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45953</v>
      </c>
      <c r="E311" s="1" t="n">
        <v>46284</v>
      </c>
      <c r="F311" t="inlineStr">
        <is>
          <t>SÖDERMANLANDS LÄN</t>
        </is>
      </c>
      <c r="G311" t="inlineStr">
        <is>
          <t>ESKILSTUNA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46284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44671</v>
      </c>
      <c r="E313" s="1" t="n">
        <v>46284</v>
      </c>
      <c r="F313" t="inlineStr">
        <is>
          <t>SÖDERMANLANDS LÄN</t>
        </is>
      </c>
      <c r="G313" t="inlineStr">
        <is>
          <t>ESKILSTUNA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46284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45435</v>
      </c>
      <c r="E315" s="1" t="n">
        <v>46284</v>
      </c>
      <c r="F315" t="inlineStr">
        <is>
          <t>SÖDERMANLANDS LÄN</t>
        </is>
      </c>
      <c r="G315" t="inlineStr">
        <is>
          <t>ESKILSTUNA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46284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45953</v>
      </c>
      <c r="E317" s="1" t="n">
        <v>46284</v>
      </c>
      <c r="F317" t="inlineStr">
        <is>
          <t>SÖDERMANLANDS LÄN</t>
        </is>
      </c>
      <c r="G317" t="inlineStr">
        <is>
          <t>ESKILSTUNA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46284</v>
      </c>
      <c r="F318" t="inlineStr">
        <is>
          <t>SÖDERMANLANDS LÄN</t>
        </is>
      </c>
      <c r="G318" t="inlineStr">
        <is>
          <t>ESKILSTUNA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44468</v>
      </c>
      <c r="E319" s="1" t="n">
        <v>46284</v>
      </c>
      <c r="F319" t="inlineStr">
        <is>
          <t>SÖDERMANLANDS LÄN</t>
        </is>
      </c>
      <c r="G319" t="inlineStr">
        <is>
          <t>ESKILSTUNA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46284</v>
      </c>
      <c r="F320" t="inlineStr">
        <is>
          <t>SÖDERMANLANDS LÄN</t>
        </is>
      </c>
      <c r="G320" t="inlineStr">
        <is>
          <t>ESKILSTUNA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46284</v>
      </c>
      <c r="F321" t="inlineStr">
        <is>
          <t>SÖDERMANLANDS LÄN</t>
        </is>
      </c>
      <c r="G321" t="inlineStr">
        <is>
          <t>ESKILSTUNA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35076-2022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44797</v>
      </c>
      <c r="E322" s="1" t="n">
        <v>46284</v>
      </c>
      <c r="F322" t="inlineStr">
        <is>
          <t>SÖDERMANLANDS LÄN</t>
        </is>
      </c>
      <c r="G322" t="inlineStr">
        <is>
          <t>ESKILSTUNA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46154</v>
      </c>
      <c r="E323" s="1" t="n">
        <v>46284</v>
      </c>
      <c r="F323" t="inlineStr">
        <is>
          <t>SÖDERMANLANDS LÄN</t>
        </is>
      </c>
      <c r="G323" t="inlineStr">
        <is>
          <t>ESKILSTUNA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46284</v>
      </c>
      <c r="F324" t="inlineStr">
        <is>
          <t>SÖDERMANLANDS LÄN</t>
        </is>
      </c>
      <c r="G324" t="inlineStr">
        <is>
          <t>ESKILSTUNA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44916</v>
      </c>
      <c r="E325" s="1" t="n">
        <v>46284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44832</v>
      </c>
      <c r="E326" s="1" t="n">
        <v>46284</v>
      </c>
      <c r="F326" t="inlineStr">
        <is>
          <t>SÖDERMANLANDS LÄN</t>
        </is>
      </c>
      <c r="G326" t="inlineStr">
        <is>
          <t>ESKILSTUNA</t>
        </is>
      </c>
      <c r="I326" t="n">
        <v>19.9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44588</v>
      </c>
      <c r="E327" s="1" t="n">
        <v>46284</v>
      </c>
      <c r="F327" t="inlineStr">
        <is>
          <t>SÖDERMANLANDS LÄN</t>
        </is>
      </c>
      <c r="G327" t="inlineStr">
        <is>
          <t>ESKILSTUNA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45387</v>
      </c>
      <c r="E328" s="1" t="n">
        <v>46284</v>
      </c>
      <c r="F328" t="inlineStr">
        <is>
          <t>SÖDERMANLANDS LÄN</t>
        </is>
      </c>
      <c r="G328" t="inlineStr">
        <is>
          <t>ESKILSTUNA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44804</v>
      </c>
      <c r="E329" s="1" t="n">
        <v>46284</v>
      </c>
      <c r="F329" t="inlineStr">
        <is>
          <t>SÖDERMANLANDS LÄN</t>
        </is>
      </c>
      <c r="G329" t="inlineStr">
        <is>
          <t>ESKILSTUNA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46284</v>
      </c>
      <c r="F330" t="inlineStr">
        <is>
          <t>SÖDERMANLANDS LÄN</t>
        </is>
      </c>
      <c r="G330" t="inlineStr">
        <is>
          <t>ESKILSTUNA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46284</v>
      </c>
      <c r="F331" t="inlineStr">
        <is>
          <t>SÖDERMANLANDS LÄN</t>
        </is>
      </c>
      <c r="G331" t="inlineStr">
        <is>
          <t>ESKILSTUNA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46284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25229-2022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44729</v>
      </c>
      <c r="E333" s="1" t="n">
        <v>46284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46284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46284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46284</v>
      </c>
      <c r="F336" t="inlineStr">
        <is>
          <t>SÖDERMANLANDS LÄN</t>
        </is>
      </c>
      <c r="G336" t="inlineStr">
        <is>
          <t>ESKILSTUNA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46284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45587</v>
      </c>
      <c r="E338" s="1" t="n">
        <v>46284</v>
      </c>
      <c r="F338" t="inlineStr">
        <is>
          <t>SÖDERMANLANDS LÄN</t>
        </is>
      </c>
      <c r="G338" t="inlineStr">
        <is>
          <t>ESKILSTUNA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46284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45950</v>
      </c>
      <c r="E340" s="1" t="n">
        <v>46284</v>
      </c>
      <c r="F340" t="inlineStr">
        <is>
          <t>SÖDERMANLANDS LÄN</t>
        </is>
      </c>
      <c r="G340" t="inlineStr">
        <is>
          <t>ESKILSTUNA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46284</v>
      </c>
      <c r="F341" t="inlineStr">
        <is>
          <t>SÖDERMANLANDS LÄN</t>
        </is>
      </c>
      <c r="G341" t="inlineStr">
        <is>
          <t>ESKILSTUNA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46284</v>
      </c>
      <c r="F342" t="inlineStr">
        <is>
          <t>SÖDERMANLANDS LÄN</t>
        </is>
      </c>
      <c r="G342" t="inlineStr">
        <is>
          <t>ESKILSTUNA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46284</v>
      </c>
      <c r="F343" t="inlineStr">
        <is>
          <t>SÖDERMANLANDS LÄN</t>
        </is>
      </c>
      <c r="G343" t="inlineStr">
        <is>
          <t>ESKILSTUNA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46177</v>
      </c>
      <c r="E344" s="1" t="n">
        <v>46284</v>
      </c>
      <c r="F344" t="inlineStr">
        <is>
          <t>SÖDERMANLANDS LÄN</t>
        </is>
      </c>
      <c r="G344" t="inlineStr">
        <is>
          <t>ESKILSTUNA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45429</v>
      </c>
      <c r="E345" s="1" t="n">
        <v>46284</v>
      </c>
      <c r="F345" t="inlineStr">
        <is>
          <t>SÖDERMANLANDS LÄN</t>
        </is>
      </c>
      <c r="G345" t="inlineStr">
        <is>
          <t>ESKILSTUNA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46284</v>
      </c>
      <c r="F346" t="inlineStr">
        <is>
          <t>SÖDERMANLANDS LÄN</t>
        </is>
      </c>
      <c r="G346" t="inlineStr">
        <is>
          <t>ESKILSTUNA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46872-2022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46284</v>
      </c>
      <c r="F347" t="inlineStr">
        <is>
          <t>SÖDERMANLANDS LÄN</t>
        </is>
      </c>
      <c r="G347" t="inlineStr">
        <is>
          <t>ESKILSTUNA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46284</v>
      </c>
      <c r="F348" t="inlineStr">
        <is>
          <t>SÖDERMANLANDS LÄN</t>
        </is>
      </c>
      <c r="G348" t="inlineStr">
        <is>
          <t>ESKILSTUNA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46284</v>
      </c>
      <c r="F349" t="inlineStr">
        <is>
          <t>SÖDERMANLANDS LÄN</t>
        </is>
      </c>
      <c r="G349" t="inlineStr">
        <is>
          <t>ESKILSTUNA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7406-2022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46284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Kyrkan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46284</v>
      </c>
      <c r="F351" t="inlineStr">
        <is>
          <t>SÖDERMANLANDS LÄN</t>
        </is>
      </c>
      <c r="G351" t="inlineStr">
        <is>
          <t>ESKILSTUNA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46284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46284</v>
      </c>
      <c r="F353" t="inlineStr">
        <is>
          <t>SÖDERMANLANDS LÄN</t>
        </is>
      </c>
      <c r="G353" t="inlineStr">
        <is>
          <t>ESKILSTUNA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46284</v>
      </c>
      <c r="F354" t="inlineStr">
        <is>
          <t>SÖDERMANLANDS LÄN</t>
        </is>
      </c>
      <c r="G354" t="inlineStr">
        <is>
          <t>ESKILSTUNA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44915</v>
      </c>
      <c r="E355" s="1" t="n">
        <v>46284</v>
      </c>
      <c r="F355" t="inlineStr">
        <is>
          <t>SÖDERMANLANDS LÄN</t>
        </is>
      </c>
      <c r="G355" t="inlineStr">
        <is>
          <t>ESKILSTUNA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44966</v>
      </c>
      <c r="E356" s="1" t="n">
        <v>46284</v>
      </c>
      <c r="F356" t="inlineStr">
        <is>
          <t>SÖDERMANLANDS LÄN</t>
        </is>
      </c>
      <c r="G356" t="inlineStr">
        <is>
          <t>ESKILSTUNA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46284</v>
      </c>
      <c r="F357" t="inlineStr">
        <is>
          <t>SÖDERMANLANDS LÄN</t>
        </is>
      </c>
      <c r="G357" t="inlineStr">
        <is>
          <t>ESKILSTUNA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50310-2022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46284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44592</v>
      </c>
      <c r="E359" s="1" t="n">
        <v>46284</v>
      </c>
      <c r="F359" t="inlineStr">
        <is>
          <t>SÖDERMANLANDS LÄN</t>
        </is>
      </c>
      <c r="G359" t="inlineStr">
        <is>
          <t>ESKILSTUNA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45464</v>
      </c>
      <c r="E360" s="1" t="n">
        <v>46284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46284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46284</v>
      </c>
      <c r="F362" t="inlineStr">
        <is>
          <t>SÖDERMANLANDS LÄN</t>
        </is>
      </c>
      <c r="G362" t="inlineStr">
        <is>
          <t>ESKILSTUNA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46284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46191</v>
      </c>
      <c r="E364" s="1" t="n">
        <v>46284</v>
      </c>
      <c r="F364" t="inlineStr">
        <is>
          <t>SÖDERMANLANDS LÄN</t>
        </is>
      </c>
      <c r="G364" t="inlineStr">
        <is>
          <t>ESKILSTUNA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46284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61829-2023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45266</v>
      </c>
      <c r="E366" s="1" t="n">
        <v>46284</v>
      </c>
      <c r="F366" t="inlineStr">
        <is>
          <t>SÖDERMANLANDS LÄN</t>
        </is>
      </c>
      <c r="G366" t="inlineStr">
        <is>
          <t>ESKILSTUNA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61831-2023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45266</v>
      </c>
      <c r="E367" s="1" t="n">
        <v>46284</v>
      </c>
      <c r="F367" t="inlineStr">
        <is>
          <t>SÖDERMANLANDS LÄN</t>
        </is>
      </c>
      <c r="G367" t="inlineStr">
        <is>
          <t>ESKILSTUNA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46284</v>
      </c>
      <c r="F368" t="inlineStr">
        <is>
          <t>SÖDERMANLANDS LÄN</t>
        </is>
      </c>
      <c r="G368" t="inlineStr">
        <is>
          <t>ESKILSTUNA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61367-2021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44499</v>
      </c>
      <c r="E369" s="1" t="n">
        <v>46284</v>
      </c>
      <c r="F369" t="inlineStr">
        <is>
          <t>SÖDERMANLANDS LÄN</t>
        </is>
      </c>
      <c r="G369" t="inlineStr">
        <is>
          <t>ESKILSTUNA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70560-2021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44536</v>
      </c>
      <c r="E370" s="1" t="n">
        <v>46284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46284</v>
      </c>
      <c r="F371" t="inlineStr">
        <is>
          <t>SÖDERMANLANDS LÄN</t>
        </is>
      </c>
      <c r="G371" t="inlineStr">
        <is>
          <t>ESKILSTUNA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46284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46284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9646-2022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44617</v>
      </c>
      <c r="E374" s="1" t="n">
        <v>46284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46284</v>
      </c>
      <c r="F375" t="inlineStr">
        <is>
          <t>SÖDERMANLANDS LÄN</t>
        </is>
      </c>
      <c r="G375" t="inlineStr">
        <is>
          <t>ESKILSTUNA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57061-2021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44482</v>
      </c>
      <c r="E376" s="1" t="n">
        <v>46284</v>
      </c>
      <c r="F376" t="inlineStr">
        <is>
          <t>SÖDERMANLANDS LÄN</t>
        </is>
      </c>
      <c r="G376" t="inlineStr">
        <is>
          <t>ESKILSTUNA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46284</v>
      </c>
      <c r="F377" t="inlineStr">
        <is>
          <t>SÖDERMANLANDS LÄN</t>
        </is>
      </c>
      <c r="G377" t="inlineStr">
        <is>
          <t>ESKILSTUNA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46284</v>
      </c>
      <c r="F378" t="inlineStr">
        <is>
          <t>SÖDERMANLANDS LÄN</t>
        </is>
      </c>
      <c r="G378" t="inlineStr">
        <is>
          <t>ESKILSTUNA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46284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46284</v>
      </c>
      <c r="F380" t="inlineStr">
        <is>
          <t>SÖDERMANLANDS LÄN</t>
        </is>
      </c>
      <c r="G380" t="inlineStr">
        <is>
          <t>ESKILSTUNA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46284</v>
      </c>
      <c r="F381" t="inlineStr">
        <is>
          <t>SÖDERMANLANDS LÄN</t>
        </is>
      </c>
      <c r="G381" t="inlineStr">
        <is>
          <t>ESKILSTUNA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46284</v>
      </c>
      <c r="F382" t="inlineStr">
        <is>
          <t>SÖDERMANLANDS LÄN</t>
        </is>
      </c>
      <c r="G382" t="inlineStr">
        <is>
          <t>ESKILSTUNA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46284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46284</v>
      </c>
      <c r="F384" t="inlineStr">
        <is>
          <t>SÖDERMANLANDS LÄN</t>
        </is>
      </c>
      <c r="G384" t="inlineStr">
        <is>
          <t>ESKILSTUNA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29053-2026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46199</v>
      </c>
      <c r="E385" s="1" t="n">
        <v>46284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46284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46083</v>
      </c>
      <c r="E387" s="1" t="n">
        <v>46284</v>
      </c>
      <c r="F387" t="inlineStr">
        <is>
          <t>SÖDERMANLANDS LÄN</t>
        </is>
      </c>
      <c r="G387" t="inlineStr">
        <is>
          <t>ESKILSTUNA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46284</v>
      </c>
      <c r="F388" t="inlineStr">
        <is>
          <t>SÖDERMANLANDS LÄN</t>
        </is>
      </c>
      <c r="G388" t="inlineStr">
        <is>
          <t>ESKILSTUNA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45608</v>
      </c>
      <c r="E389" s="1" t="n">
        <v>46284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Övriga Aktiebolag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46284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29051-2026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46199</v>
      </c>
      <c r="E391" s="1" t="n">
        <v>46284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46245</v>
      </c>
      <c r="E392" s="1" t="n">
        <v>46284</v>
      </c>
      <c r="F392" t="inlineStr">
        <is>
          <t>SÖDERMANLANDS LÄN</t>
        </is>
      </c>
      <c r="G392" t="inlineStr">
        <is>
          <t>ESKILSTUNA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46245</v>
      </c>
      <c r="E393" s="1" t="n">
        <v>46284</v>
      </c>
      <c r="F393" t="inlineStr">
        <is>
          <t>SÖDERMANLANDS LÄN</t>
        </is>
      </c>
      <c r="G393" t="inlineStr">
        <is>
          <t>ESKILSTUNA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18105-2026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46125</v>
      </c>
      <c r="E394" s="1" t="n">
        <v>46284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46244</v>
      </c>
      <c r="E395" s="1" t="n">
        <v>46284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Kommuner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45387</v>
      </c>
      <c r="E396" s="1" t="n">
        <v>46284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44852</v>
      </c>
      <c r="E397" s="1" t="n">
        <v>46284</v>
      </c>
      <c r="F397" t="inlineStr">
        <is>
          <t>SÖDERMANLANDS LÄN</t>
        </is>
      </c>
      <c r="G397" t="inlineStr">
        <is>
          <t>ESKILSTUNA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44729</v>
      </c>
      <c r="E398" s="1" t="n">
        <v>46284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46246</v>
      </c>
      <c r="E399" s="1" t="n">
        <v>46284</v>
      </c>
      <c r="F399" t="inlineStr">
        <is>
          <t>SÖDERMANLANDS LÄN</t>
        </is>
      </c>
      <c r="G399" t="inlineStr">
        <is>
          <t>ESKILSTUNA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44862-2025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45918</v>
      </c>
      <c r="E400" s="1" t="n">
        <v>46284</v>
      </c>
      <c r="F400" t="inlineStr">
        <is>
          <t>SÖDERMANLANDS LÄN</t>
        </is>
      </c>
      <c r="G400" t="inlineStr">
        <is>
          <t>ESKILSTUNA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44741</v>
      </c>
      <c r="E401" s="1" t="n">
        <v>46284</v>
      </c>
      <c r="F401" t="inlineStr">
        <is>
          <t>SÖDERMANLANDS LÄN</t>
        </is>
      </c>
      <c r="G401" t="inlineStr">
        <is>
          <t>ESKILSTUNA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46284</v>
      </c>
      <c r="F402" t="inlineStr">
        <is>
          <t>SÖDERMANLANDS LÄN</t>
        </is>
      </c>
      <c r="G402" t="inlineStr">
        <is>
          <t>ESKILSTUNA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46284</v>
      </c>
      <c r="F403" t="inlineStr">
        <is>
          <t>SÖDERMANLANDS LÄN</t>
        </is>
      </c>
      <c r="G403" t="inlineStr">
        <is>
          <t>ESKILSTUNA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46284</v>
      </c>
      <c r="F404" t="inlineStr">
        <is>
          <t>SÖDERMANLANDS LÄN</t>
        </is>
      </c>
      <c r="G404" t="inlineStr">
        <is>
          <t>ESKILSTUNA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46284</v>
      </c>
      <c r="F405" t="inlineStr">
        <is>
          <t>SÖDERMANLANDS LÄN</t>
        </is>
      </c>
      <c r="G405" t="inlineStr">
        <is>
          <t>ESKILSTUNA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45329</v>
      </c>
      <c r="E406" s="1" t="n">
        <v>46284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44927-2023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45190</v>
      </c>
      <c r="E407" s="1" t="n">
        <v>46284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46284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15.8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46284</v>
      </c>
      <c r="F409" t="inlineStr">
        <is>
          <t>SÖDERMANLANDS LÄN</t>
        </is>
      </c>
      <c r="G409" t="inlineStr">
        <is>
          <t>ESKILSTUNA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46284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45363</v>
      </c>
      <c r="E411" s="1" t="n">
        <v>46284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46284</v>
      </c>
      <c r="F412" t="inlineStr">
        <is>
          <t>SÖDERMANLANDS LÄN</t>
        </is>
      </c>
      <c r="G412" t="inlineStr">
        <is>
          <t>ESKILSTUNA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65349-2021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46284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46284</v>
      </c>
      <c r="F414" t="inlineStr">
        <is>
          <t>SÖDERMANLANDS LÄN</t>
        </is>
      </c>
      <c r="G414" t="inlineStr">
        <is>
          <t>ESKILSTUNA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46157</v>
      </c>
      <c r="E415" s="1" t="n">
        <v>46284</v>
      </c>
      <c r="F415" t="inlineStr">
        <is>
          <t>SÖDERMANLANDS LÄN</t>
        </is>
      </c>
      <c r="G415" t="inlineStr">
        <is>
          <t>ESKILSTUNA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44664</v>
      </c>
      <c r="E416" s="1" t="n">
        <v>46284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44789</v>
      </c>
      <c r="E417" s="1" t="n">
        <v>46284</v>
      </c>
      <c r="F417" t="inlineStr">
        <is>
          <t>SÖDERMANLANDS LÄN</t>
        </is>
      </c>
      <c r="G417" t="inlineStr">
        <is>
          <t>ESKILSTUNA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46284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45303</v>
      </c>
      <c r="E419" s="1" t="n">
        <v>46284</v>
      </c>
      <c r="F419" t="inlineStr">
        <is>
          <t>SÖDERMANLANDS LÄN</t>
        </is>
      </c>
      <c r="G419" t="inlineStr">
        <is>
          <t>ESKILSTUNA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61866-2022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46284</v>
      </c>
      <c r="F420" t="inlineStr">
        <is>
          <t>SÖDERMANLANDS LÄN</t>
        </is>
      </c>
      <c r="G420" t="inlineStr">
        <is>
          <t>ESKILSTUNA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58991-2022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44903</v>
      </c>
      <c r="E421" s="1" t="n">
        <v>46284</v>
      </c>
      <c r="F421" t="inlineStr">
        <is>
          <t>SÖDERMANLANDS LÄN</t>
        </is>
      </c>
      <c r="G421" t="inlineStr">
        <is>
          <t>ESKILSTUNA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54598-2021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46284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44886</v>
      </c>
      <c r="E423" s="1" t="n">
        <v>46284</v>
      </c>
      <c r="F423" t="inlineStr">
        <is>
          <t>SÖDERMANLANDS LÄN</t>
        </is>
      </c>
      <c r="G423" t="inlineStr">
        <is>
          <t>ESKILSTUNA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44571</v>
      </c>
      <c r="E424" s="1" t="n">
        <v>46284</v>
      </c>
      <c r="F424" t="inlineStr">
        <is>
          <t>SÖDERMANLANDS LÄN</t>
        </is>
      </c>
      <c r="G424" t="inlineStr">
        <is>
          <t>ESKILSTUNA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1330-2024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45303</v>
      </c>
      <c r="E425" s="1" t="n">
        <v>46284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1334-2024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45303</v>
      </c>
      <c r="E426" s="1" t="n">
        <v>46284</v>
      </c>
      <c r="F426" t="inlineStr">
        <is>
          <t>SÖDERMANLANDS LÄN</t>
        </is>
      </c>
      <c r="G426" t="inlineStr">
        <is>
          <t>ESKILSTUNA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45303</v>
      </c>
      <c r="E427" s="1" t="n">
        <v>46284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46284</v>
      </c>
      <c r="F428" t="inlineStr">
        <is>
          <t>SÖDERMANLANDS LÄN</t>
        </is>
      </c>
      <c r="G428" t="inlineStr">
        <is>
          <t>ESKILSTUNA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45763</v>
      </c>
      <c r="E429" s="1" t="n">
        <v>46284</v>
      </c>
      <c r="F429" t="inlineStr">
        <is>
          <t>SÖDERMANLANDS LÄN</t>
        </is>
      </c>
      <c r="G429" t="inlineStr">
        <is>
          <t>ESKILSTUNA</t>
        </is>
      </c>
      <c r="I429" t="n">
        <v>15.6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26535-2022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44739</v>
      </c>
      <c r="E430" s="1" t="n">
        <v>46284</v>
      </c>
      <c r="F430" t="inlineStr">
        <is>
          <t>SÖDERMANLANDS LÄN</t>
        </is>
      </c>
      <c r="G430" t="inlineStr">
        <is>
          <t>ESKILSTUNA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46284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31131-2026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46216</v>
      </c>
      <c r="E432" s="1" t="n">
        <v>46284</v>
      </c>
      <c r="F432" t="inlineStr">
        <is>
          <t>SÖDERMANLANDS LÄN</t>
        </is>
      </c>
      <c r="G432" t="inlineStr">
        <is>
          <t>ESKILSTUNA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39543-2023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46284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46284</v>
      </c>
      <c r="F434" t="inlineStr">
        <is>
          <t>SÖDERMANLANDS LÄN</t>
        </is>
      </c>
      <c r="G434" t="inlineStr">
        <is>
          <t>ESKILSTUNA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12547-2022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44638</v>
      </c>
      <c r="E435" s="1" t="n">
        <v>46284</v>
      </c>
      <c r="F435" t="inlineStr">
        <is>
          <t>SÖDERMANLANDS LÄN</t>
        </is>
      </c>
      <c r="G435" t="inlineStr">
        <is>
          <t>ESKILSTUNA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46284</v>
      </c>
      <c r="F436" t="inlineStr">
        <is>
          <t>SÖDERMANLANDS LÄN</t>
        </is>
      </c>
      <c r="G436" t="inlineStr">
        <is>
          <t>ESKILSTUNA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46213</v>
      </c>
      <c r="E437" s="1" t="n">
        <v>46284</v>
      </c>
      <c r="F437" t="inlineStr">
        <is>
          <t>SÖDERMANLANDS LÄN</t>
        </is>
      </c>
      <c r="G437" t="inlineStr">
        <is>
          <t>ESKILSTUNA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46284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46284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68022-2021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46284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61170-2021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44497</v>
      </c>
      <c r="E441" s="1" t="n">
        <v>46284</v>
      </c>
      <c r="F441" t="inlineStr">
        <is>
          <t>SÖDERMANLANDS LÄN</t>
        </is>
      </c>
      <c r="G441" t="inlineStr">
        <is>
          <t>ESKILSTUNA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46219</v>
      </c>
      <c r="E442" s="1" t="n">
        <v>46284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46284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29068-2022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44749</v>
      </c>
      <c r="E444" s="1" t="n">
        <v>46284</v>
      </c>
      <c r="F444" t="inlineStr">
        <is>
          <t>SÖDERMANLANDS LÄN</t>
        </is>
      </c>
      <c r="G444" t="inlineStr">
        <is>
          <t>ESKILSTUNA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44946</v>
      </c>
      <c r="E445" s="1" t="n">
        <v>46284</v>
      </c>
      <c r="F445" t="inlineStr">
        <is>
          <t>SÖDERMANLANDS LÄN</t>
        </is>
      </c>
      <c r="G445" t="inlineStr">
        <is>
          <t>ESKILSTUNA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46284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Kommuner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46284</v>
      </c>
      <c r="F447" t="inlineStr">
        <is>
          <t>SÖDERMANLANDS LÄN</t>
        </is>
      </c>
      <c r="G447" t="inlineStr">
        <is>
          <t>ESKILSTUNA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45056</v>
      </c>
      <c r="E448" s="1" t="n">
        <v>46284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22605-2023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45071</v>
      </c>
      <c r="E449" s="1" t="n">
        <v>46284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Kyrkan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45183</v>
      </c>
      <c r="E450" s="1" t="n">
        <v>46284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46284</v>
      </c>
      <c r="F451" t="inlineStr">
        <is>
          <t>SÖDERMANLANDS LÄN</t>
        </is>
      </c>
      <c r="G451" t="inlineStr">
        <is>
          <t>ESKILSTUNA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13153-2026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46092</v>
      </c>
      <c r="E452" s="1" t="n">
        <v>46284</v>
      </c>
      <c r="F452" t="inlineStr">
        <is>
          <t>SÖDERMANLANDS LÄN</t>
        </is>
      </c>
      <c r="G452" t="inlineStr">
        <is>
          <t>ESKILSTUNA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46284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46284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Allmännings- och besparingsskogar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46284</v>
      </c>
      <c r="F455" t="inlineStr">
        <is>
          <t>SÖDERMANLANDS LÄN</t>
        </is>
      </c>
      <c r="G455" t="inlineStr">
        <is>
          <t>ESKILSTUNA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45365</v>
      </c>
      <c r="E456" s="1" t="n">
        <v>46284</v>
      </c>
      <c r="F456" t="inlineStr">
        <is>
          <t>SÖDERMANLANDS LÄN</t>
        </is>
      </c>
      <c r="G456" t="inlineStr">
        <is>
          <t>ESKILSTUNA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44953</v>
      </c>
      <c r="E457" s="1" t="n">
        <v>46284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Allmännings- och besparingsskogar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46284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44593</v>
      </c>
      <c r="E459" s="1" t="n">
        <v>46284</v>
      </c>
      <c r="F459" t="inlineStr">
        <is>
          <t>SÖDERMANLANDS LÄN</t>
        </is>
      </c>
      <c r="G459" t="inlineStr">
        <is>
          <t>ESKILSTUNA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46284</v>
      </c>
      <c r="F460" t="inlineStr">
        <is>
          <t>SÖDERMANLANDS LÄN</t>
        </is>
      </c>
      <c r="G460" t="inlineStr">
        <is>
          <t>ESKILSTUNA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46237</v>
      </c>
      <c r="E461" s="1" t="n">
        <v>46284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46284</v>
      </c>
      <c r="F462" t="inlineStr">
        <is>
          <t>SÖDERMANLANDS LÄN</t>
        </is>
      </c>
      <c r="G462" t="inlineStr">
        <is>
          <t>ESKILSTUNA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46284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46284</v>
      </c>
      <c r="F464" t="inlineStr">
        <is>
          <t>SÖDERMANLANDS LÄN</t>
        </is>
      </c>
      <c r="G464" t="inlineStr">
        <is>
          <t>ESKILSTUNA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46241</v>
      </c>
      <c r="E465" s="1" t="n">
        <v>46284</v>
      </c>
      <c r="F465" t="inlineStr">
        <is>
          <t>SÖDERMANLANDS LÄN</t>
        </is>
      </c>
      <c r="G465" t="inlineStr">
        <is>
          <t>ESKILSTUNA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45798</v>
      </c>
      <c r="E466" s="1" t="n">
        <v>46284</v>
      </c>
      <c r="F466" t="inlineStr">
        <is>
          <t>SÖDERMANLANDS LÄN</t>
        </is>
      </c>
      <c r="G466" t="inlineStr">
        <is>
          <t>ESKILSTUNA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24662-2025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45798</v>
      </c>
      <c r="E467" s="1" t="n">
        <v>46284</v>
      </c>
      <c r="F467" t="inlineStr">
        <is>
          <t>SÖDERMANLANDS LÄN</t>
        </is>
      </c>
      <c r="G467" t="inlineStr">
        <is>
          <t>ESKILSTUNA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46284</v>
      </c>
      <c r="F468" t="inlineStr">
        <is>
          <t>SÖDERMANLANDS LÄN</t>
        </is>
      </c>
      <c r="G468" t="inlineStr">
        <is>
          <t>ESKILSTUNA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24534-2025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45798</v>
      </c>
      <c r="E469" s="1" t="n">
        <v>46284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45798</v>
      </c>
      <c r="E470" s="1" t="n">
        <v>46284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24536-2025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45798</v>
      </c>
      <c r="E471" s="1" t="n">
        <v>46284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46284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43489-2024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45568</v>
      </c>
      <c r="E473" s="1" t="n">
        <v>46284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24537-2025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45798</v>
      </c>
      <c r="E474" s="1" t="n">
        <v>46284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30096-2025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45826</v>
      </c>
      <c r="E475" s="1" t="n">
        <v>46284</v>
      </c>
      <c r="F475" t="inlineStr">
        <is>
          <t>SÖDERMANLANDS LÄN</t>
        </is>
      </c>
      <c r="G475" t="inlineStr">
        <is>
          <t>ESKILSTUNA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45826</v>
      </c>
      <c r="E476" s="1" t="n">
        <v>46284</v>
      </c>
      <c r="F476" t="inlineStr">
        <is>
          <t>SÖDERMANLANDS LÄN</t>
        </is>
      </c>
      <c r="G476" t="inlineStr">
        <is>
          <t>ESKILSTUNA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30117-2025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45826</v>
      </c>
      <c r="E477" s="1" t="n">
        <v>46284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46284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45694</v>
      </c>
      <c r="E479" s="1" t="n">
        <v>46284</v>
      </c>
      <c r="F479" t="inlineStr">
        <is>
          <t>SÖDERMANLANDS LÄN</t>
        </is>
      </c>
      <c r="G479" t="inlineStr">
        <is>
          <t>ESKILSTUNA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51547-2024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46284</v>
      </c>
      <c r="F480" t="inlineStr">
        <is>
          <t>SÖDERMANLANDS LÄN</t>
        </is>
      </c>
      <c r="G480" t="inlineStr">
        <is>
          <t>ESKILSTUNA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46284</v>
      </c>
      <c r="F481" t="inlineStr">
        <is>
          <t>SÖDERMANLANDS LÄN</t>
        </is>
      </c>
      <c r="G481" t="inlineStr">
        <is>
          <t>ESKILSTUNA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46284</v>
      </c>
      <c r="F482" t="inlineStr">
        <is>
          <t>SÖDERMANLANDS LÄN</t>
        </is>
      </c>
      <c r="G482" t="inlineStr">
        <is>
          <t>ESKILSTUNA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46284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46284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46284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46284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46284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46284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46284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46284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46284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46284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46284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46284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2026-09-19T02:05:23Z</dcterms:created>
  <dcterms:modified xmlns:dcterms="http://purl.org/dc/terms/" xmlns:xsi="http://www.w3.org/2001/XMLSchema-instance" xsi:type="dcterms:W3CDTF">2026-09-19T02:05:23Z</dcterms:modified>
</cp:coreProperties>
</file>