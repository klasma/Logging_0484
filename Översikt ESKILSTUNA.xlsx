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46230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46230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46230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46230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46230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46230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46230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46230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46230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46230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46230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46230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46230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46230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46230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46230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46230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46230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46230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46230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46230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46230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46230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46230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46230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46230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61105-2025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46230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Krusfrö
Tibast</t>
        </is>
      </c>
      <c r="W41">
        <f>HYPERLINK("https://klasma.github.io/Logging_0484/artfynd/A 61105-2025 artfynd.xlsx", "A 61105-2025")</f>
        <v/>
      </c>
      <c r="X41">
        <f>HYPERLINK("https://klasma.github.io/Logging_0484/kartor/A 61105-2025 karta.png", "A 61105-2025")</f>
        <v/>
      </c>
      <c r="Y41">
        <f>HYPERLINK("https://klasma.github.io/Logging_0484/kartor_geotiff/A 61105-2025 georefererad karta.tif", "A 61105-2025")</f>
        <v/>
      </c>
      <c r="AA41">
        <f>HYPERLINK("https://klasma.github.io/Logging_0484/klagomål/A 61105-2025 FSC-klagomål.docx", "A 61105-2025")</f>
        <v/>
      </c>
      <c r="AB41">
        <f>HYPERLINK("https://klasma.github.io/Logging_0484/klagomålsmail/A 61105-2025 FSC-klagomål mail.docx", "A 61105-2025")</f>
        <v/>
      </c>
      <c r="AC41">
        <f>HYPERLINK("https://klasma.github.io/Logging_0484/tillsyn/A 61105-2025 tillsynsbegäran.docx", "A 61105-2025")</f>
        <v/>
      </c>
      <c r="AD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46230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46230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46230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46230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46230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46230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46230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46230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46230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46230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46230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46230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46230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46230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46230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46230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46230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46230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46230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46230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Revlummer</t>
        </is>
      </c>
      <c r="W62">
        <f>HYPERLINK("https://klasma.github.io/Logging_0484/artfynd/A 51345-2024 artfynd.xlsx", "A 51345-2024")</f>
        <v/>
      </c>
      <c r="X62">
        <f>HYPERLINK("https://klasma.github.io/Logging_0484/kartor/A 51345-2024 karta.png", "A 51345-2024")</f>
        <v/>
      </c>
      <c r="Y62">
        <f>HYPERLINK("https://klasma.github.io/Logging_0484/kartor_geotiff/A 51345-2024 georefererad karta.tif", "A 51345-2024")</f>
        <v/>
      </c>
      <c r="AA62">
        <f>HYPERLINK("https://klasma.github.io/Logging_0484/klagomål/A 51345-2024 FSC-klagomål.docx", "A 51345-2024")</f>
        <v/>
      </c>
      <c r="AB62">
        <f>HYPERLINK("https://klasma.github.io/Logging_0484/klagomålsmail/A 51345-2024 FSC-klagomål mail.docx", "A 51345-2024")</f>
        <v/>
      </c>
      <c r="AC62">
        <f>HYPERLINK("https://klasma.github.io/Logging_0484/tillsyn/A 51345-2024 tillsynsbegäran.docx", "A 51345-2024")</f>
        <v/>
      </c>
      <c r="AD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46230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Gullviva</t>
        </is>
      </c>
      <c r="W63">
        <f>HYPERLINK("https://klasma.github.io/Logging_0484/artfynd/A 57349-2021 artfynd.xlsx", "A 57349-2021")</f>
        <v/>
      </c>
      <c r="X63">
        <f>HYPERLINK("https://klasma.github.io/Logging_0484/kartor/A 57349-2021 karta.png", "A 57349-2021")</f>
        <v/>
      </c>
      <c r="Y63">
        <f>HYPERLINK("https://klasma.github.io/Logging_0484/kartor_geotiff/A 57349-2021 georefererad karta.tif", "A 57349-2021")</f>
        <v/>
      </c>
      <c r="AA63">
        <f>HYPERLINK("https://klasma.github.io/Logging_0484/klagomål/A 57349-2021 FSC-klagomål.docx", "A 57349-2021")</f>
        <v/>
      </c>
      <c r="AB63">
        <f>HYPERLINK("https://klasma.github.io/Logging_0484/klagomålsmail/A 57349-2021 FSC-klagomål mail.docx", "A 57349-2021")</f>
        <v/>
      </c>
      <c r="AC63">
        <f>HYPERLINK("https://klasma.github.io/Logging_0484/tillsyn/A 57349-2021 tillsynsbegäran.docx", "A 57349-2021")</f>
        <v/>
      </c>
      <c r="AD63">
        <f>HYPERLINK("https://klasma.github.io/Logging_0484/tillsynsmail/A 57349-2021 tillsynsbegäran mail.docx", "A 57349-2021")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46230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46230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46230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46230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46230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46230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46230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46230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42012-2021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44426</v>
      </c>
      <c r="E72" s="1" t="n">
        <v>46230</v>
      </c>
      <c r="F72" t="inlineStr">
        <is>
          <t>SÖDERMANLANDS LÄN</t>
        </is>
      </c>
      <c r="G72" t="inlineStr">
        <is>
          <t>ESKILSTUNA</t>
        </is>
      </c>
      <c r="I72" t="n">
        <v>7.9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 sköldmossa</t>
        </is>
      </c>
      <c r="W72">
        <f>HYPERLINK("https://klasma.github.io/Logging_0484/artfynd/A 42012-2021 artfynd.xlsx", "A 42012-2021")</f>
        <v/>
      </c>
      <c r="X72">
        <f>HYPERLINK("https://klasma.github.io/Logging_0484/kartor/A 42012-2021 karta.png", "A 42012-2021")</f>
        <v/>
      </c>
      <c r="Y72">
        <f>HYPERLINK("https://klasma.github.io/Logging_0484/kartor_geotiff/A 42012-2021 georefererad karta.tif", "A 42012-2021")</f>
        <v/>
      </c>
      <c r="AA72">
        <f>HYPERLINK("https://klasma.github.io/Logging_0484/klagomål/A 42012-2021 FSC-klagomål.docx", "A 42012-2021")</f>
        <v/>
      </c>
      <c r="AB72">
        <f>HYPERLINK("https://klasma.github.io/Logging_0484/klagomålsmail/A 42012-2021 FSC-klagomål mail.docx", "A 42012-2021")</f>
        <v/>
      </c>
      <c r="AC72">
        <f>HYPERLINK("https://klasma.github.io/Logging_0484/tillsyn/A 42012-2021 tillsynsbegäran.docx", "A 42012-2021")</f>
        <v/>
      </c>
      <c r="AD72">
        <f>HYPERLINK("https://klasma.github.io/Logging_0484/tillsynsmail/A 42012-2021 tillsynsbegäran mail.docx", "A 42012-2021")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46230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29047-2026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46199</v>
      </c>
      <c r="E74" s="1" t="n">
        <v>46230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HYPERLINK("https://klasma.github.io/Logging_0484/artfynd/A 29047-2026 artfynd.xlsx", "A 29047-2026")</f>
        <v/>
      </c>
      <c r="X74">
        <f>HYPERLINK("https://klasma.github.io/Logging_0484/kartor/A 29047-2026 karta.png", "A 29047-2026")</f>
        <v/>
      </c>
      <c r="Y74">
        <f>HYPERLINK("https://klasma.github.io/Logging_0484/kartor_geotiff/A 29047-2026 georefererad karta.tif", "A 29047-2026")</f>
        <v/>
      </c>
      <c r="AA74">
        <f>HYPERLINK("https://klasma.github.io/Logging_0484/klagomål/A 29047-2026 FSC-klagomål.docx", "A 29047-2026")</f>
        <v/>
      </c>
      <c r="AB74">
        <f>HYPERLINK("https://klasma.github.io/Logging_0484/klagomålsmail/A 29047-2026 FSC-klagomål mail.docx", "A 29047-2026")</f>
        <v/>
      </c>
      <c r="AC74">
        <f>HYPERLINK("https://klasma.github.io/Logging_0484/tillsyn/A 29047-2026 tillsynsbegäran.docx", "A 29047-2026")</f>
        <v/>
      </c>
      <c r="AD74">
        <f>HYPERLINK("https://klasma.github.io/Logging_0484/tillsynsmail/A 29047-2026 tillsynsbegäran mail.docx", "A 29047-2026")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46230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46230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46230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46230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46230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46230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46230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26097-2026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46230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HYPERLINK("https://klasma.github.io/Logging_0484/artfynd/A 26097-2026 artfynd.xlsx", "A 26097-2026")</f>
        <v/>
      </c>
      <c r="X82">
        <f>HYPERLINK("https://klasma.github.io/Logging_0484/kartor/A 26097-2026 karta.png", "A 26097-2026")</f>
        <v/>
      </c>
      <c r="Y82">
        <f>HYPERLINK("https://klasma.github.io/Logging_0484/kartor_geotiff/A 26097-2026 georefererad karta.tif", "A 26097-2026")</f>
        <v/>
      </c>
      <c r="AA82">
        <f>HYPERLINK("https://klasma.github.io/Logging_0484/klagomål/A 26097-2026 FSC-klagomål.docx", "A 26097-2026")</f>
        <v/>
      </c>
      <c r="AB82">
        <f>HYPERLINK("https://klasma.github.io/Logging_0484/klagomålsmail/A 26097-2026 FSC-klagomål mail.docx", "A 26097-2026")</f>
        <v/>
      </c>
      <c r="AC82">
        <f>HYPERLINK("https://klasma.github.io/Logging_0484/tillsyn/A 26097-2026 tillsynsbegäran.docx", "A 26097-2026")</f>
        <v/>
      </c>
      <c r="AD82">
        <f>HYPERLINK("https://klasma.github.io/Logging_0484/tillsynsmail/A 26097-2026 tillsynsbegäran mail.docx", "A 26097-2026")</f>
        <v/>
      </c>
    </row>
    <row r="83" ht="15" customHeight="1">
      <c r="A83" t="inlineStr">
        <is>
          <t>A 26008-2026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46230</v>
      </c>
      <c r="F83" t="inlineStr">
        <is>
          <t>SÖDERMANLANDS LÄN</t>
        </is>
      </c>
      <c r="G83" t="inlineStr">
        <is>
          <t>ESKILSTUNA</t>
        </is>
      </c>
      <c r="I83" t="n">
        <v>2.8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8</v>
      </c>
      <c r="U83" t="n">
        <v>0</v>
      </c>
      <c r="V83" s="2" t="inlineStr">
        <is>
          <t>Svart trolldruva</t>
        </is>
      </c>
      <c r="W83">
        <f>HYPERLINK("https://klasma.github.io/Logging_0484/artfynd/A 26008-2026 artfynd.xlsx", "A 26008-2026")</f>
        <v/>
      </c>
      <c r="X83">
        <f>HYPERLINK("https://klasma.github.io/Logging_0484/kartor/A 26008-2026 karta.png", "A 26008-2026")</f>
        <v/>
      </c>
      <c r="Y83">
        <f>HYPERLINK("https://klasma.github.io/Logging_0484/kartor_geotiff/A 26008-2026 georefererad karta.tif", "A 26008-2026")</f>
        <v/>
      </c>
      <c r="AA83">
        <f>HYPERLINK("https://klasma.github.io/Logging_0484/klagomål/A 26008-2026 FSC-klagomål.docx", "A 26008-2026")</f>
        <v/>
      </c>
      <c r="AB83">
        <f>HYPERLINK("https://klasma.github.io/Logging_0484/klagomålsmail/A 26008-2026 FSC-klagomål mail.docx", "A 26008-2026")</f>
        <v/>
      </c>
      <c r="AC83">
        <f>HYPERLINK("https://klasma.github.io/Logging_0484/tillsyn/A 26008-2026 tillsynsbegäran.docx", "A 26008-2026")</f>
        <v/>
      </c>
      <c r="AD83">
        <f>HYPERLINK("https://klasma.github.io/Logging_0484/tillsynsmail/A 26008-2026 tillsynsbegäran mail.docx", "A 26008-2026")</f>
        <v/>
      </c>
    </row>
    <row r="84" ht="15" customHeight="1">
      <c r="A84" t="inlineStr">
        <is>
          <t>A 26094-2026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46230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HYPERLINK("https://klasma.github.io/Logging_0484/artfynd/A 26094-2026 artfynd.xlsx", "A 26094-2026")</f>
        <v/>
      </c>
      <c r="X84">
        <f>HYPERLINK("https://klasma.github.io/Logging_0484/kartor/A 26094-2026 karta.png", "A 26094-2026")</f>
        <v/>
      </c>
      <c r="Y84">
        <f>HYPERLINK("https://klasma.github.io/Logging_0484/kartor_geotiff/A 26094-2026 georefererad karta.tif", "A 26094-2026")</f>
        <v/>
      </c>
      <c r="AA84">
        <f>HYPERLINK("https://klasma.github.io/Logging_0484/klagomål/A 26094-2026 FSC-klagomål.docx", "A 26094-2026")</f>
        <v/>
      </c>
      <c r="AB84">
        <f>HYPERLINK("https://klasma.github.io/Logging_0484/klagomålsmail/A 26094-2026 FSC-klagomål mail.docx", "A 26094-2026")</f>
        <v/>
      </c>
      <c r="AC84">
        <f>HYPERLINK("https://klasma.github.io/Logging_0484/tillsyn/A 26094-2026 tillsynsbegäran.docx", "A 26094-2026")</f>
        <v/>
      </c>
      <c r="AD84">
        <f>HYPERLINK("https://klasma.github.io/Logging_0484/tillsynsmail/A 26094-2026 tillsynsbegäran mail.docx", "A 26094-2026")</f>
        <v/>
      </c>
      <c r="AE84">
        <f>HYPERLINK("https://klasma.github.io/Logging_0484/fåglar/A 26094-2026 prioriterade fågelarter.docx", "A 26094-2026")</f>
        <v/>
      </c>
    </row>
    <row r="85" ht="15" customHeight="1">
      <c r="A85" t="inlineStr">
        <is>
          <t>A 47648-2022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46230</v>
      </c>
      <c r="F85" t="inlineStr">
        <is>
          <t>SÖDERMANLANDS LÄN</t>
        </is>
      </c>
      <c r="G85" t="inlineStr">
        <is>
          <t>ESKILSTUNA</t>
        </is>
      </c>
      <c r="I85" t="n">
        <v>1.8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Grönsångare</t>
        </is>
      </c>
      <c r="W85">
        <f>HYPERLINK("https://klasma.github.io/Logging_0484/artfynd/A 47648-2022 artfynd.xlsx", "A 47648-2022")</f>
        <v/>
      </c>
      <c r="X85">
        <f>HYPERLINK("https://klasma.github.io/Logging_0484/kartor/A 47648-2022 karta.png", "A 47648-2022")</f>
        <v/>
      </c>
      <c r="Y85">
        <f>HYPERLINK("https://klasma.github.io/Logging_0484/kartor_geotiff/A 47648-2022 georefererad karta.tif", "A 47648-2022")</f>
        <v/>
      </c>
      <c r="AA85">
        <f>HYPERLINK("https://klasma.github.io/Logging_0484/klagomål/A 47648-2022 FSC-klagomål.docx", "A 47648-2022")</f>
        <v/>
      </c>
      <c r="AB85">
        <f>HYPERLINK("https://klasma.github.io/Logging_0484/klagomålsmail/A 47648-2022 FSC-klagomål mail.docx", "A 47648-2022")</f>
        <v/>
      </c>
      <c r="AC85">
        <f>HYPERLINK("https://klasma.github.io/Logging_0484/tillsyn/A 47648-2022 tillsynsbegäran.docx", "A 47648-2022")</f>
        <v/>
      </c>
      <c r="AD85">
        <f>HYPERLINK("https://klasma.github.io/Logging_0484/tillsynsmail/A 47648-2022 tillsynsbegäran mail.docx", "A 47648-2022")</f>
        <v/>
      </c>
      <c r="AE85">
        <f>HYPERLINK("https://klasma.github.io/Logging_0484/fåglar/A 47648-2022 prioriterade fågelarter.docx", "A 47648-2022")</f>
        <v/>
      </c>
    </row>
    <row r="86" ht="15" customHeight="1">
      <c r="A86" t="inlineStr">
        <is>
          <t>A 53399-2023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46230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Grönvit nattviol</t>
        </is>
      </c>
      <c r="W86">
        <f>HYPERLINK("https://klasma.github.io/Logging_0484/artfynd/A 53399-2023 artfynd.xlsx", "A 53399-2023")</f>
        <v/>
      </c>
      <c r="X86">
        <f>HYPERLINK("https://klasma.github.io/Logging_0484/kartor/A 53399-2023 karta.png", "A 53399-2023")</f>
        <v/>
      </c>
      <c r="Y86">
        <f>HYPERLINK("https://klasma.github.io/Logging_0484/kartor_geotiff/A 53399-2023 georefererad karta.tif", "A 53399-2023")</f>
        <v/>
      </c>
      <c r="AA86">
        <f>HYPERLINK("https://klasma.github.io/Logging_0484/klagomål/A 53399-2023 FSC-klagomål.docx", "A 53399-2023")</f>
        <v/>
      </c>
      <c r="AB86">
        <f>HYPERLINK("https://klasma.github.io/Logging_0484/klagomålsmail/A 53399-2023 FSC-klagomål mail.docx", "A 53399-2023")</f>
        <v/>
      </c>
      <c r="AC86">
        <f>HYPERLINK("https://klasma.github.io/Logging_0484/tillsyn/A 53399-2023 tillsynsbegäran.docx", "A 53399-2023")</f>
        <v/>
      </c>
      <c r="AD86">
        <f>HYPERLINK("https://klasma.github.io/Logging_0484/tillsynsmail/A 53399-2023 tillsynsbegäran mail.docx", "A 53399-2023")</f>
        <v/>
      </c>
    </row>
    <row r="87" ht="15" customHeight="1">
      <c r="A87" t="inlineStr">
        <is>
          <t>A 43547-2022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46230</v>
      </c>
      <c r="F87" t="inlineStr">
        <is>
          <t>SÖDERMANLANDS LÄN</t>
        </is>
      </c>
      <c r="G87" t="inlineStr">
        <is>
          <t>ESKILSTUNA</t>
        </is>
      </c>
      <c r="I87" t="n">
        <v>3.2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HYPERLINK("https://klasma.github.io/Logging_0484/artfynd/A 43547-2022 artfynd.xlsx", "A 43547-2022")</f>
        <v/>
      </c>
      <c r="X87">
        <f>HYPERLINK("https://klasma.github.io/Logging_0484/kartor/A 43547-2022 karta.png", "A 43547-2022")</f>
        <v/>
      </c>
      <c r="Y87">
        <f>HYPERLINK("https://klasma.github.io/Logging_0484/kartor_geotiff/A 43547-2022 georefererad karta.tif", "A 43547-2022")</f>
        <v/>
      </c>
      <c r="Z87">
        <f>HYPERLINK("https://klasma.github.io/Logging_0484/knärot/A 43547-2022 karta knärot.png", "A 43547-2022")</f>
        <v/>
      </c>
      <c r="AA87">
        <f>HYPERLINK("https://klasma.github.io/Logging_0484/klagomål/A 43547-2022 FSC-klagomål.docx", "A 43547-2022")</f>
        <v/>
      </c>
      <c r="AB87">
        <f>HYPERLINK("https://klasma.github.io/Logging_0484/klagomålsmail/A 43547-2022 FSC-klagomål mail.docx", "A 43547-2022")</f>
        <v/>
      </c>
      <c r="AC87">
        <f>HYPERLINK("https://klasma.github.io/Logging_0484/tillsyn/A 43547-2022 tillsynsbegäran.docx", "A 43547-2022")</f>
        <v/>
      </c>
      <c r="AD87">
        <f>HYPERLINK("https://klasma.github.io/Logging_0484/tillsynsmail/A 43547-2022 tillsynsbegäran mail.docx", "A 43547-2022")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46230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46230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46230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46230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46230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46230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46230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46230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46230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46230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46230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46230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46230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46230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46230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46230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46230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46230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46230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46230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46230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46230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46230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46230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46230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46230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46230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46230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46230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46230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46230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46230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46230</v>
      </c>
      <c r="F120" t="inlineStr">
        <is>
          <t>SÖDERMANLANDS LÄN</t>
        </is>
      </c>
      <c r="G120" t="inlineStr">
        <is>
          <t>ESKILSTUNA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46230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46230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46230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46230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46230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46230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46230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46230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46230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46230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46230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46230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46230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46230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46230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46230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46230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46230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46230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46230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46230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46230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46230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46230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46230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46230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46230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46230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46230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46230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46230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46230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46230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46230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46230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46230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46230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46230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46230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46230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46230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46230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46230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46230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46230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46230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46230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46230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46230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46230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46230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46230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46230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46230</v>
      </c>
      <c r="F174" t="inlineStr">
        <is>
          <t>SÖDERMANLANDS LÄN</t>
        </is>
      </c>
      <c r="G174" t="inlineStr">
        <is>
          <t>ESKILSTUNA</t>
        </is>
      </c>
      <c r="I174" t="n">
        <v>20.1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46230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46230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46230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46230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46230</v>
      </c>
      <c r="F179" t="inlineStr">
        <is>
          <t>SÖDERMANLANDS LÄN</t>
        </is>
      </c>
      <c r="G179" t="inlineStr">
        <is>
          <t>ESKILSTUNA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46230</v>
      </c>
      <c r="F180" t="inlineStr">
        <is>
          <t>SÖDERMANLANDS LÄN</t>
        </is>
      </c>
      <c r="G180" t="inlineStr">
        <is>
          <t>ESKILSTUNA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46230</v>
      </c>
      <c r="F181" t="inlineStr">
        <is>
          <t>SÖDERMANLANDS LÄN</t>
        </is>
      </c>
      <c r="G181" t="inlineStr">
        <is>
          <t>ESKILSTUNA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46230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Kommuner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46230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45020</v>
      </c>
      <c r="E184" s="1" t="n">
        <v>46230</v>
      </c>
      <c r="F184" t="inlineStr">
        <is>
          <t>SÖDERMANLANDS LÄN</t>
        </is>
      </c>
      <c r="G184" t="inlineStr">
        <is>
          <t>ESKILSTUNA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46230</v>
      </c>
      <c r="F185" t="inlineStr">
        <is>
          <t>SÖDERMANLANDS LÄN</t>
        </is>
      </c>
      <c r="G185" t="inlineStr">
        <is>
          <t>ESKILSTUNA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65595-2021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44516</v>
      </c>
      <c r="E186" s="1" t="n">
        <v>46230</v>
      </c>
      <c r="F186" t="inlineStr">
        <is>
          <t>SÖDERMANLANDS LÄN</t>
        </is>
      </c>
      <c r="G186" t="inlineStr">
        <is>
          <t>ESKILSTUNA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46230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46230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46230</v>
      </c>
      <c r="F189" t="inlineStr">
        <is>
          <t>SÖDERMANLANDS LÄN</t>
        </is>
      </c>
      <c r="G189" t="inlineStr">
        <is>
          <t>ESKILSTUNA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46230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46230</v>
      </c>
      <c r="F191" t="inlineStr">
        <is>
          <t>SÖDERMANLANDS LÄN</t>
        </is>
      </c>
      <c r="G191" t="inlineStr">
        <is>
          <t>ESKILSTUNA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44768</v>
      </c>
      <c r="E192" s="1" t="n">
        <v>46230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46230</v>
      </c>
      <c r="F193" t="inlineStr">
        <is>
          <t>SÖDERMANLANDS LÄN</t>
        </is>
      </c>
      <c r="G193" t="inlineStr">
        <is>
          <t>ESKILSTUNA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46230</v>
      </c>
      <c r="F194" t="inlineStr">
        <is>
          <t>SÖDERMANLANDS LÄN</t>
        </is>
      </c>
      <c r="G194" t="inlineStr">
        <is>
          <t>ESKILSTUNA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46230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68020-2021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46230</v>
      </c>
      <c r="F196" t="inlineStr">
        <is>
          <t>SÖDERMANLANDS LÄN</t>
        </is>
      </c>
      <c r="G196" t="inlineStr">
        <is>
          <t>ESKILSTUNA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46230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46230</v>
      </c>
      <c r="F198" t="inlineStr">
        <is>
          <t>SÖDERMANLANDS LÄN</t>
        </is>
      </c>
      <c r="G198" t="inlineStr">
        <is>
          <t>ESKILSTUNA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46230</v>
      </c>
      <c r="F199" t="inlineStr">
        <is>
          <t>SÖDERMANLANDS LÄN</t>
        </is>
      </c>
      <c r="G199" t="inlineStr">
        <is>
          <t>ESKILSTUNA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46230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46230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46230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46230</v>
      </c>
      <c r="F203" t="inlineStr">
        <is>
          <t>SÖDERMANLANDS LÄN</t>
        </is>
      </c>
      <c r="G203" t="inlineStr">
        <is>
          <t>ESKILSTUNA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46230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46230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46230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46230</v>
      </c>
      <c r="F207" t="inlineStr">
        <is>
          <t>SÖDERMANLANDS LÄN</t>
        </is>
      </c>
      <c r="G207" t="inlineStr">
        <is>
          <t>ESKILSTUNA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46230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45514</v>
      </c>
      <c r="E209" s="1" t="n">
        <v>46230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45266</v>
      </c>
      <c r="E210" s="1" t="n">
        <v>46230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45544</v>
      </c>
      <c r="E211" s="1" t="n">
        <v>46230</v>
      </c>
      <c r="F211" t="inlineStr">
        <is>
          <t>SÖDERMANLANDS LÄN</t>
        </is>
      </c>
      <c r="G211" t="inlineStr">
        <is>
          <t>ESKILSTUNA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46230</v>
      </c>
      <c r="F212" t="inlineStr">
        <is>
          <t>SÖDERMANLANDS LÄN</t>
        </is>
      </c>
      <c r="G212" t="inlineStr">
        <is>
          <t>ESKILSTUNA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46230</v>
      </c>
      <c r="F213" t="inlineStr">
        <is>
          <t>SÖDERMANLANDS LÄN</t>
        </is>
      </c>
      <c r="G213" t="inlineStr">
        <is>
          <t>ESKILSTUNA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46230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46230</v>
      </c>
      <c r="F215" t="inlineStr">
        <is>
          <t>SÖDERMANLANDS LÄN</t>
        </is>
      </c>
      <c r="G215" t="inlineStr">
        <is>
          <t>ESKILSTUNA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46230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46230</v>
      </c>
      <c r="F217" t="inlineStr">
        <is>
          <t>SÖDERMANLANDS LÄN</t>
        </is>
      </c>
      <c r="G217" t="inlineStr">
        <is>
          <t>ESKILSTUNA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44536</v>
      </c>
      <c r="E218" s="1" t="n">
        <v>46230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46230</v>
      </c>
      <c r="F219" t="inlineStr">
        <is>
          <t>SÖDERMANLANDS LÄN</t>
        </is>
      </c>
      <c r="G219" t="inlineStr">
        <is>
          <t>ESKILSTUNA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45685</v>
      </c>
      <c r="E220" s="1" t="n">
        <v>46230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46230</v>
      </c>
      <c r="F221" t="inlineStr">
        <is>
          <t>SÖDERMANLANDS LÄN</t>
        </is>
      </c>
      <c r="G221" t="inlineStr">
        <is>
          <t>ESKILSTUNA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65614-2021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46230</v>
      </c>
      <c r="F222" t="inlineStr">
        <is>
          <t>SÖDERMANLANDS LÄN</t>
        </is>
      </c>
      <c r="G222" t="inlineStr">
        <is>
          <t>ESKILSTUNA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46230</v>
      </c>
      <c r="F223" t="inlineStr">
        <is>
          <t>SÖDERMANLANDS LÄN</t>
        </is>
      </c>
      <c r="G223" t="inlineStr">
        <is>
          <t>ESKILSTUNA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46230</v>
      </c>
      <c r="F224" t="inlineStr">
        <is>
          <t>SÖDERMANLANDS LÄN</t>
        </is>
      </c>
      <c r="G224" t="inlineStr">
        <is>
          <t>ESKILSTUNA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46230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44983</v>
      </c>
      <c r="E226" s="1" t="n">
        <v>46230</v>
      </c>
      <c r="F226" t="inlineStr">
        <is>
          <t>SÖDERMANLANDS LÄN</t>
        </is>
      </c>
      <c r="G226" t="inlineStr">
        <is>
          <t>ESKILSTUNA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46230</v>
      </c>
      <c r="F227" t="inlineStr">
        <is>
          <t>SÖDERMANLANDS LÄN</t>
        </is>
      </c>
      <c r="G227" t="inlineStr">
        <is>
          <t>ESKILSTUNA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46230</v>
      </c>
      <c r="F228" t="inlineStr">
        <is>
          <t>SÖDERMANLANDS LÄN</t>
        </is>
      </c>
      <c r="G228" t="inlineStr">
        <is>
          <t>ESKILSTUNA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46230</v>
      </c>
      <c r="F229" t="inlineStr">
        <is>
          <t>SÖDERMANLANDS LÄN</t>
        </is>
      </c>
      <c r="G229" t="inlineStr">
        <is>
          <t>ESKILSTUNA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57304-2023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45245</v>
      </c>
      <c r="E230" s="1" t="n">
        <v>46230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46230</v>
      </c>
      <c r="F231" t="inlineStr">
        <is>
          <t>SÖDERMANLANDS LÄN</t>
        </is>
      </c>
      <c r="G231" t="inlineStr">
        <is>
          <t>ESKILSTUNA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46230</v>
      </c>
      <c r="F232" t="inlineStr">
        <is>
          <t>SÖDERMANLANDS LÄN</t>
        </is>
      </c>
      <c r="G232" t="inlineStr">
        <is>
          <t>ESKILSTUNA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46230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46230</v>
      </c>
      <c r="F234" t="inlineStr">
        <is>
          <t>SÖDERMANLANDS LÄN</t>
        </is>
      </c>
      <c r="G234" t="inlineStr">
        <is>
          <t>ESKILSTUNA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46230</v>
      </c>
      <c r="F235" t="inlineStr">
        <is>
          <t>SÖDERMANLANDS LÄN</t>
        </is>
      </c>
      <c r="G235" t="inlineStr">
        <is>
          <t>ESKILSTUNA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46230</v>
      </c>
      <c r="F236" t="inlineStr">
        <is>
          <t>SÖDERMANLANDS LÄN</t>
        </is>
      </c>
      <c r="G236" t="inlineStr">
        <is>
          <t>ESKILSTUNA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46230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46230</v>
      </c>
      <c r="F238" t="inlineStr">
        <is>
          <t>SÖDERMANLANDS LÄN</t>
        </is>
      </c>
      <c r="G238" t="inlineStr">
        <is>
          <t>ESKILSTUNA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44432</v>
      </c>
      <c r="E239" s="1" t="n">
        <v>46230</v>
      </c>
      <c r="F239" t="inlineStr">
        <is>
          <t>SÖDERMANLANDS LÄN</t>
        </is>
      </c>
      <c r="G239" t="inlineStr">
        <is>
          <t>ESKILSTUNA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45464</v>
      </c>
      <c r="E240" s="1" t="n">
        <v>46230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46230</v>
      </c>
      <c r="F241" t="inlineStr">
        <is>
          <t>SÖDERMANLANDS LÄN</t>
        </is>
      </c>
      <c r="G241" t="inlineStr">
        <is>
          <t>ESKILSTUNA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46230</v>
      </c>
      <c r="F242" t="inlineStr">
        <is>
          <t>SÖDERMANLANDS LÄN</t>
        </is>
      </c>
      <c r="G242" t="inlineStr">
        <is>
          <t>ESKILSTUNA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46230</v>
      </c>
      <c r="F243" t="inlineStr">
        <is>
          <t>SÖDERMANLANDS LÄN</t>
        </is>
      </c>
      <c r="G243" t="inlineStr">
        <is>
          <t>ESKILSTUNA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46230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45670</v>
      </c>
      <c r="E245" s="1" t="n">
        <v>46230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44626</v>
      </c>
      <c r="E246" s="1" t="n">
        <v>46230</v>
      </c>
      <c r="F246" t="inlineStr">
        <is>
          <t>SÖDERMANLANDS LÄN</t>
        </is>
      </c>
      <c r="G246" t="inlineStr">
        <is>
          <t>ESKILSTUNA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46230</v>
      </c>
      <c r="F247" t="inlineStr">
        <is>
          <t>SÖDERMANLANDS LÄN</t>
        </is>
      </c>
      <c r="G247" t="inlineStr">
        <is>
          <t>ESKILSTUNA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46230</v>
      </c>
      <c r="F248" t="inlineStr">
        <is>
          <t>SÖDERMANLANDS LÄN</t>
        </is>
      </c>
      <c r="G248" t="inlineStr">
        <is>
          <t>ESKILSTUNA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46230</v>
      </c>
      <c r="F249" t="inlineStr">
        <is>
          <t>SÖDERMANLANDS LÄN</t>
        </is>
      </c>
      <c r="G249" t="inlineStr">
        <is>
          <t>ESKILSTUNA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46230</v>
      </c>
      <c r="F250" t="inlineStr">
        <is>
          <t>SÖDERMANLANDS LÄN</t>
        </is>
      </c>
      <c r="G250" t="inlineStr">
        <is>
          <t>ESKILSTUNA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46230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46230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46230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46230</v>
      </c>
      <c r="F254" t="inlineStr">
        <is>
          <t>SÖDERMANLANDS LÄN</t>
        </is>
      </c>
      <c r="G254" t="inlineStr">
        <is>
          <t>ESKILSTUNA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44499</v>
      </c>
      <c r="E255" s="1" t="n">
        <v>46230</v>
      </c>
      <c r="F255" t="inlineStr">
        <is>
          <t>SÖDERMANLANDS LÄN</t>
        </is>
      </c>
      <c r="G255" t="inlineStr">
        <is>
          <t>ESKILSTUNA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46230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46230</v>
      </c>
      <c r="F257" t="inlineStr">
        <is>
          <t>SÖDERMANLANDS LÄN</t>
        </is>
      </c>
      <c r="G257" t="inlineStr">
        <is>
          <t>ESKILSTUNA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44799</v>
      </c>
      <c r="E258" s="1" t="n">
        <v>46230</v>
      </c>
      <c r="F258" t="inlineStr">
        <is>
          <t>SÖDERMANLANDS LÄN</t>
        </is>
      </c>
      <c r="G258" t="inlineStr">
        <is>
          <t>ESKILSTUNA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46230</v>
      </c>
      <c r="F259" t="inlineStr">
        <is>
          <t>SÖDERMANLANDS LÄN</t>
        </is>
      </c>
      <c r="G259" t="inlineStr">
        <is>
          <t>ESKILSTUNA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46608-2024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45582</v>
      </c>
      <c r="E260" s="1" t="n">
        <v>46230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46230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46230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Kyrkan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46230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46230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46230</v>
      </c>
      <c r="F265" t="inlineStr">
        <is>
          <t>SÖDERMANLANDS LÄN</t>
        </is>
      </c>
      <c r="G265" t="inlineStr">
        <is>
          <t>ESKILSTUNA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46230</v>
      </c>
      <c r="F266" t="inlineStr">
        <is>
          <t>SÖDERMANLANDS LÄN</t>
        </is>
      </c>
      <c r="G266" t="inlineStr">
        <is>
          <t>ESKILSTUNA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46230</v>
      </c>
      <c r="F267" t="inlineStr">
        <is>
          <t>SÖDERMANLANDS LÄN</t>
        </is>
      </c>
      <c r="G267" t="inlineStr">
        <is>
          <t>ESKILSTUNA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46230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46230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46230</v>
      </c>
      <c r="F270" t="inlineStr">
        <is>
          <t>SÖDERMANLANDS LÄN</t>
        </is>
      </c>
      <c r="G270" t="inlineStr">
        <is>
          <t>ESKILSTUNA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46230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44634</v>
      </c>
      <c r="E272" s="1" t="n">
        <v>46230</v>
      </c>
      <c r="F272" t="inlineStr">
        <is>
          <t>SÖDERMANLANDS LÄN</t>
        </is>
      </c>
      <c r="G272" t="inlineStr">
        <is>
          <t>ESKILSTUNA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46230</v>
      </c>
      <c r="F273" t="inlineStr">
        <is>
          <t>SÖDERMANLANDS LÄN</t>
        </is>
      </c>
      <c r="G273" t="inlineStr">
        <is>
          <t>ESKILSTUNA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46230</v>
      </c>
      <c r="F274" t="inlineStr">
        <is>
          <t>SÖDERMANLANDS LÄN</t>
        </is>
      </c>
      <c r="G274" t="inlineStr">
        <is>
          <t>ESKILSTUNA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46230</v>
      </c>
      <c r="F275" t="inlineStr">
        <is>
          <t>SÖDERMANLANDS LÄN</t>
        </is>
      </c>
      <c r="G275" t="inlineStr">
        <is>
          <t>ESKILSTUNA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36565-2022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46230</v>
      </c>
      <c r="F276" t="inlineStr">
        <is>
          <t>SÖDERMANLANDS LÄN</t>
        </is>
      </c>
      <c r="G276" t="inlineStr">
        <is>
          <t>ESKILSTUNA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46230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46230</v>
      </c>
      <c r="F278" t="inlineStr">
        <is>
          <t>SÖDERMANLANDS LÄN</t>
        </is>
      </c>
      <c r="G278" t="inlineStr">
        <is>
          <t>ESKILSTUNA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44701</v>
      </c>
      <c r="E279" s="1" t="n">
        <v>46230</v>
      </c>
      <c r="F279" t="inlineStr">
        <is>
          <t>SÖDERMANLANDS LÄN</t>
        </is>
      </c>
      <c r="G279" t="inlineStr">
        <is>
          <t>ESKILSTUNA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46230</v>
      </c>
      <c r="F280" t="inlineStr">
        <is>
          <t>SÖDERMANLANDS LÄN</t>
        </is>
      </c>
      <c r="G280" t="inlineStr">
        <is>
          <t>ESKILSTUNA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45198</v>
      </c>
      <c r="E281" s="1" t="n">
        <v>46230</v>
      </c>
      <c r="F281" t="inlineStr">
        <is>
          <t>SÖDERMANLANDS LÄN</t>
        </is>
      </c>
      <c r="G281" t="inlineStr">
        <is>
          <t>ESKILSTUNA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45537</v>
      </c>
      <c r="E282" s="1" t="n">
        <v>46230</v>
      </c>
      <c r="F282" t="inlineStr">
        <is>
          <t>SÖDERMANLANDS LÄN</t>
        </is>
      </c>
      <c r="G282" t="inlineStr">
        <is>
          <t>ESKILSTUNA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45341</v>
      </c>
      <c r="E283" s="1" t="n">
        <v>46230</v>
      </c>
      <c r="F283" t="inlineStr">
        <is>
          <t>SÖDERMANLANDS LÄN</t>
        </is>
      </c>
      <c r="G283" t="inlineStr">
        <is>
          <t>ESKILSTUNA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46230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46230</v>
      </c>
      <c r="F285" t="inlineStr">
        <is>
          <t>SÖDERMANLANDS LÄN</t>
        </is>
      </c>
      <c r="G285" t="inlineStr">
        <is>
          <t>ESKILSTUNA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46230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Allmännings- och besparingsskogar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46230</v>
      </c>
      <c r="F287" t="inlineStr">
        <is>
          <t>SÖDERMANLANDS LÄN</t>
        </is>
      </c>
      <c r="G287" t="inlineStr">
        <is>
          <t>ESKILSTUNA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46230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44839</v>
      </c>
      <c r="E289" s="1" t="n">
        <v>46230</v>
      </c>
      <c r="F289" t="inlineStr">
        <is>
          <t>SÖDERMANLANDS LÄN</t>
        </is>
      </c>
      <c r="G289" t="inlineStr">
        <is>
          <t>ESKILSTUNA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46230</v>
      </c>
      <c r="F290" t="inlineStr">
        <is>
          <t>SÖDERMANLANDS LÄN</t>
        </is>
      </c>
      <c r="G290" t="inlineStr">
        <is>
          <t>ESKILSTUNA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46230</v>
      </c>
      <c r="F291" t="inlineStr">
        <is>
          <t>SÖDERMANLANDS LÄN</t>
        </is>
      </c>
      <c r="G291" t="inlineStr">
        <is>
          <t>ESKILSTUNA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46230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46230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44861</v>
      </c>
      <c r="E294" s="1" t="n">
        <v>46230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46230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Kommuner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46230</v>
      </c>
      <c r="F296" t="inlineStr">
        <is>
          <t>SÖDERMANLANDS LÄN</t>
        </is>
      </c>
      <c r="G296" t="inlineStr">
        <is>
          <t>ESKILSTUNA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46230</v>
      </c>
      <c r="F297" t="inlineStr">
        <is>
          <t>SÖDERMANLANDS LÄN</t>
        </is>
      </c>
      <c r="G297" t="inlineStr">
        <is>
          <t>ESKILSTUNA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46230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46230</v>
      </c>
      <c r="F299" t="inlineStr">
        <is>
          <t>SÖDERMANLANDS LÄN</t>
        </is>
      </c>
      <c r="G299" t="inlineStr">
        <is>
          <t>ESKILSTUNA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27779-2026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46191</v>
      </c>
      <c r="E300" s="1" t="n">
        <v>46230</v>
      </c>
      <c r="F300" t="inlineStr">
        <is>
          <t>SÖDERMANLANDS LÄN</t>
        </is>
      </c>
      <c r="G300" t="inlineStr">
        <is>
          <t>ESKILSTUNA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46230</v>
      </c>
      <c r="F301" t="inlineStr">
        <is>
          <t>SÖDERMANLANDS LÄN</t>
        </is>
      </c>
      <c r="G301" t="inlineStr">
        <is>
          <t>ESKILSTUNA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46230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46230</v>
      </c>
      <c r="F303" t="inlineStr">
        <is>
          <t>SÖDERMANLANDS LÄN</t>
        </is>
      </c>
      <c r="G303" t="inlineStr">
        <is>
          <t>ESKILSTUNA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46230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44803</v>
      </c>
      <c r="E305" s="1" t="n">
        <v>46230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44803</v>
      </c>
      <c r="E306" s="1" t="n">
        <v>46230</v>
      </c>
      <c r="F306" t="inlineStr">
        <is>
          <t>SÖDERMANLANDS LÄN</t>
        </is>
      </c>
      <c r="G306" t="inlineStr">
        <is>
          <t>ESKILSTUNA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46230</v>
      </c>
      <c r="F307" t="inlineStr">
        <is>
          <t>SÖDERMANLANDS LÄN</t>
        </is>
      </c>
      <c r="G307" t="inlineStr">
        <is>
          <t>ESKILSTUNA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46230</v>
      </c>
      <c r="F308" t="inlineStr">
        <is>
          <t>SÖDERMANLANDS LÄN</t>
        </is>
      </c>
      <c r="G308" t="inlineStr">
        <is>
          <t>ESKILSTUNA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46230</v>
      </c>
      <c r="F309" t="inlineStr">
        <is>
          <t>SÖDERMANLANDS LÄN</t>
        </is>
      </c>
      <c r="G309" t="inlineStr">
        <is>
          <t>ESKILSTUNA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46230</v>
      </c>
      <c r="F310" t="inlineStr">
        <is>
          <t>SÖDERMANLANDS LÄN</t>
        </is>
      </c>
      <c r="G310" t="inlineStr">
        <is>
          <t>ESKILSTUNA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46230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46230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46230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46230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46230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46230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46230</v>
      </c>
      <c r="F317" t="inlineStr">
        <is>
          <t>SÖDERMANLANDS LÄN</t>
        </is>
      </c>
      <c r="G317" t="inlineStr">
        <is>
          <t>ESKILSTUNA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46230</v>
      </c>
      <c r="F318" t="inlineStr">
        <is>
          <t>SÖDERMANLANDS LÄN</t>
        </is>
      </c>
      <c r="G318" t="inlineStr">
        <is>
          <t>ESKILSTUNA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46230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46230</v>
      </c>
      <c r="F320" t="inlineStr">
        <is>
          <t>SÖDERMANLANDS LÄN</t>
        </is>
      </c>
      <c r="G320" t="inlineStr">
        <is>
          <t>ESKILSTUNA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46230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46230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46230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46230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46230</v>
      </c>
      <c r="F325" t="inlineStr">
        <is>
          <t>SÖDERMANLANDS LÄN</t>
        </is>
      </c>
      <c r="G325" t="inlineStr">
        <is>
          <t>ESKILSTUNA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45303</v>
      </c>
      <c r="E326" s="1" t="n">
        <v>46230</v>
      </c>
      <c r="F326" t="inlineStr">
        <is>
          <t>SÖDERMANLANDS LÄN</t>
        </is>
      </c>
      <c r="G326" t="inlineStr">
        <is>
          <t>ESKILSTUNA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45061</v>
      </c>
      <c r="E327" s="1" t="n">
        <v>46230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Allmännings- och besparingsskogar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46230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46197</v>
      </c>
      <c r="E329" s="1" t="n">
        <v>46230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44732</v>
      </c>
      <c r="E330" s="1" t="n">
        <v>46230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46230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46230</v>
      </c>
      <c r="F332" t="inlineStr">
        <is>
          <t>SÖDERMANLANDS LÄN</t>
        </is>
      </c>
      <c r="G332" t="inlineStr">
        <is>
          <t>ESKILSTUNA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29053-2026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46199</v>
      </c>
      <c r="E333" s="1" t="n">
        <v>46230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46157</v>
      </c>
      <c r="E334" s="1" t="n">
        <v>46230</v>
      </c>
      <c r="F334" t="inlineStr">
        <is>
          <t>SÖDERMANLANDS LÄN</t>
        </is>
      </c>
      <c r="G334" t="inlineStr">
        <is>
          <t>ESKILSTUNA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29051-2026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46199</v>
      </c>
      <c r="E335" s="1" t="n">
        <v>46230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44837</v>
      </c>
      <c r="E336" s="1" t="n">
        <v>46230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45518</v>
      </c>
      <c r="E337" s="1" t="n">
        <v>46230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Övriga Aktiebolag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46230</v>
      </c>
      <c r="F338" t="inlineStr">
        <is>
          <t>SÖDERMANLANDS LÄN</t>
        </is>
      </c>
      <c r="G338" t="inlineStr">
        <is>
          <t>ESKILSTUNA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44671</v>
      </c>
      <c r="E339" s="1" t="n">
        <v>46230</v>
      </c>
      <c r="F339" t="inlineStr">
        <is>
          <t>SÖDERMANLANDS LÄN</t>
        </is>
      </c>
      <c r="G339" t="inlineStr">
        <is>
          <t>ESKILSTUNA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46230</v>
      </c>
      <c r="F340" t="inlineStr">
        <is>
          <t>SÖDERMANLANDS LÄN</t>
        </is>
      </c>
      <c r="G340" t="inlineStr">
        <is>
          <t>ESKILSTUNA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45715</v>
      </c>
      <c r="E341" s="1" t="n">
        <v>46230</v>
      </c>
      <c r="F341" t="inlineStr">
        <is>
          <t>SÖDERMANLANDS LÄN</t>
        </is>
      </c>
      <c r="G341" t="inlineStr">
        <is>
          <t>ESKILSTUNA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46230</v>
      </c>
      <c r="F342" t="inlineStr">
        <is>
          <t>SÖDERMANLANDS LÄN</t>
        </is>
      </c>
      <c r="G342" t="inlineStr">
        <is>
          <t>ESKILSTUNA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46230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45435</v>
      </c>
      <c r="E344" s="1" t="n">
        <v>46230</v>
      </c>
      <c r="F344" t="inlineStr">
        <is>
          <t>SÖDERMANLANDS LÄN</t>
        </is>
      </c>
      <c r="G344" t="inlineStr">
        <is>
          <t>ESKILSTUNA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46230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46230</v>
      </c>
      <c r="F346" t="inlineStr">
        <is>
          <t>SÖDERMANLANDS LÄN</t>
        </is>
      </c>
      <c r="G346" t="inlineStr">
        <is>
          <t>ESKILSTUNA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53476-2021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44468</v>
      </c>
      <c r="E347" s="1" t="n">
        <v>46230</v>
      </c>
      <c r="F347" t="inlineStr">
        <is>
          <t>SÖDERMANLANDS LÄN</t>
        </is>
      </c>
      <c r="G347" t="inlineStr">
        <is>
          <t>ESKILSTUNA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46230</v>
      </c>
      <c r="F348" t="inlineStr">
        <is>
          <t>SÖDERMANLANDS LÄN</t>
        </is>
      </c>
      <c r="G348" t="inlineStr">
        <is>
          <t>ESKILSTUNA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46230</v>
      </c>
      <c r="F349" t="inlineStr">
        <is>
          <t>SÖDERMANLANDS LÄN</t>
        </is>
      </c>
      <c r="G349" t="inlineStr">
        <is>
          <t>ESKILSTUNA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46230</v>
      </c>
      <c r="F350" t="inlineStr">
        <is>
          <t>SÖDERMANLANDS LÄN</t>
        </is>
      </c>
      <c r="G350" t="inlineStr">
        <is>
          <t>ESKILSTUNA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46230</v>
      </c>
      <c r="F351" t="inlineStr">
        <is>
          <t>SÖDERMANLANDS LÄN</t>
        </is>
      </c>
      <c r="G351" t="inlineStr">
        <is>
          <t>ESKILSTUNA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46230</v>
      </c>
      <c r="F352" t="inlineStr">
        <is>
          <t>SÖDERMANLANDS LÄN</t>
        </is>
      </c>
      <c r="G352" t="inlineStr">
        <is>
          <t>ESKILSTUNA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46230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46230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61416-2022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44916</v>
      </c>
      <c r="E355" s="1" t="n">
        <v>46230</v>
      </c>
      <c r="F355" t="inlineStr">
        <is>
          <t>SÖDERMANLANDS LÄN</t>
        </is>
      </c>
      <c r="G355" t="inlineStr">
        <is>
          <t>ESKILSTUNA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44832</v>
      </c>
      <c r="E356" s="1" t="n">
        <v>46230</v>
      </c>
      <c r="F356" t="inlineStr">
        <is>
          <t>SÖDERMANLANDS LÄN</t>
        </is>
      </c>
      <c r="G356" t="inlineStr">
        <is>
          <t>ESKILSTUNA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45950</v>
      </c>
      <c r="E357" s="1" t="n">
        <v>46230</v>
      </c>
      <c r="F357" t="inlineStr">
        <is>
          <t>SÖDERMANLANDS LÄN</t>
        </is>
      </c>
      <c r="G357" t="inlineStr">
        <is>
          <t>ESKILSTUNA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46230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52203-2025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45953</v>
      </c>
      <c r="E359" s="1" t="n">
        <v>46230</v>
      </c>
      <c r="F359" t="inlineStr">
        <is>
          <t>SÖDERMANLANDS LÄN</t>
        </is>
      </c>
      <c r="G359" t="inlineStr">
        <is>
          <t>ESKILSTUNA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45387</v>
      </c>
      <c r="E360" s="1" t="n">
        <v>46230</v>
      </c>
      <c r="F360" t="inlineStr">
        <is>
          <t>SÖDERMANLANDS LÄN</t>
        </is>
      </c>
      <c r="G360" t="inlineStr">
        <is>
          <t>ESKILSTUNA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46230</v>
      </c>
      <c r="F361" t="inlineStr">
        <is>
          <t>SÖDERMANLANDS LÄN</t>
        </is>
      </c>
      <c r="G361" t="inlineStr">
        <is>
          <t>ESKILSTUNA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61988-2022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44918</v>
      </c>
      <c r="E362" s="1" t="n">
        <v>46230</v>
      </c>
      <c r="F362" t="inlineStr">
        <is>
          <t>SÖDERMANLANDS LÄN</t>
        </is>
      </c>
      <c r="G362" t="inlineStr">
        <is>
          <t>ESKILSTUNA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46230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46230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45363</v>
      </c>
      <c r="E365" s="1" t="n">
        <v>46230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46230</v>
      </c>
      <c r="F366" t="inlineStr">
        <is>
          <t>SÖDERMANLANDS LÄN</t>
        </is>
      </c>
      <c r="G366" t="inlineStr">
        <is>
          <t>ESKILSTUNA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46230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45664</v>
      </c>
      <c r="E368" s="1" t="n">
        <v>46230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46230</v>
      </c>
      <c r="F369" t="inlineStr">
        <is>
          <t>SÖDERMANLANDS LÄN</t>
        </is>
      </c>
      <c r="G369" t="inlineStr">
        <is>
          <t>ESKILSTUNA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46230</v>
      </c>
      <c r="F370" t="inlineStr">
        <is>
          <t>SÖDERMANLANDS LÄN</t>
        </is>
      </c>
      <c r="G370" t="inlineStr">
        <is>
          <t>ESKILSTUNA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46230</v>
      </c>
      <c r="F371" t="inlineStr">
        <is>
          <t>SÖDERMANLANDS LÄN</t>
        </is>
      </c>
      <c r="G371" t="inlineStr">
        <is>
          <t>ESKILSTUNA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46230</v>
      </c>
      <c r="F372" t="inlineStr">
        <is>
          <t>SÖDERMANLANDS LÄN</t>
        </is>
      </c>
      <c r="G372" t="inlineStr">
        <is>
          <t>ESKILSTUNA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46230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48671-2021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44452</v>
      </c>
      <c r="E374" s="1" t="n">
        <v>46230</v>
      </c>
      <c r="F374" t="inlineStr">
        <is>
          <t>SÖDERMANLANDS LÄN</t>
        </is>
      </c>
      <c r="G374" t="inlineStr">
        <is>
          <t>ESKILSTUNA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46230</v>
      </c>
      <c r="F375" t="inlineStr">
        <is>
          <t>SÖDERMANLANDS LÄN</t>
        </is>
      </c>
      <c r="G375" t="inlineStr">
        <is>
          <t>ESKILSTUNA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46230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46230</v>
      </c>
      <c r="F377" t="inlineStr">
        <is>
          <t>SÖDERMANLANDS LÄN</t>
        </is>
      </c>
      <c r="G377" t="inlineStr">
        <is>
          <t>ESKILSTUNA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46230</v>
      </c>
      <c r="F378" t="inlineStr">
        <is>
          <t>SÖDERMANLANDS LÄN</t>
        </is>
      </c>
      <c r="G378" t="inlineStr">
        <is>
          <t>ESKILSTUNA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46230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46230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46230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46230</v>
      </c>
      <c r="F382" t="inlineStr">
        <is>
          <t>SÖDERMANLANDS LÄN</t>
        </is>
      </c>
      <c r="G382" t="inlineStr">
        <is>
          <t>ESKILSTUNA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46230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46230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46230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46230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46230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46230</v>
      </c>
      <c r="F388" t="inlineStr">
        <is>
          <t>SÖDERMANLANDS LÄN</t>
        </is>
      </c>
      <c r="G388" t="inlineStr">
        <is>
          <t>ESKILSTUNA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46216</v>
      </c>
      <c r="E389" s="1" t="n">
        <v>46230</v>
      </c>
      <c r="F389" t="inlineStr">
        <is>
          <t>SÖDERMANLANDS LÄN</t>
        </is>
      </c>
      <c r="G389" t="inlineStr">
        <is>
          <t>ESKILSTUNA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46230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46230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53181-2024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46230</v>
      </c>
      <c r="F392" t="inlineStr">
        <is>
          <t>SÖDERMANLANDS LÄN</t>
        </is>
      </c>
      <c r="G392" t="inlineStr">
        <is>
          <t>ESKILSTUNA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31131-2026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46216</v>
      </c>
      <c r="E393" s="1" t="n">
        <v>46230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46230</v>
      </c>
      <c r="F394" t="inlineStr">
        <is>
          <t>SÖDERMANLANDS LÄN</t>
        </is>
      </c>
      <c r="G394" t="inlineStr">
        <is>
          <t>ESKILSTUNA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44426</v>
      </c>
      <c r="E395" s="1" t="n">
        <v>46230</v>
      </c>
      <c r="F395" t="inlineStr">
        <is>
          <t>SÖDERMANLANDS LÄN</t>
        </is>
      </c>
      <c r="G395" t="inlineStr">
        <is>
          <t>ESKILSTUNA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46230</v>
      </c>
      <c r="F396" t="inlineStr">
        <is>
          <t>SÖDERMANLANDS LÄN</t>
        </is>
      </c>
      <c r="G396" t="inlineStr">
        <is>
          <t>ESKILSTUNA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46230</v>
      </c>
      <c r="F397" t="inlineStr">
        <is>
          <t>SÖDERMANLANDS LÄN</t>
        </is>
      </c>
      <c r="G397" t="inlineStr">
        <is>
          <t>ESKILSTUNA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50310-2022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46230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Kyrkan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46230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44592</v>
      </c>
      <c r="E400" s="1" t="n">
        <v>46230</v>
      </c>
      <c r="F400" t="inlineStr">
        <is>
          <t>SÖDERMANLANDS LÄN</t>
        </is>
      </c>
      <c r="G400" t="inlineStr">
        <is>
          <t>ESKILSTUNA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45464</v>
      </c>
      <c r="E401" s="1" t="n">
        <v>46230</v>
      </c>
      <c r="F401" t="inlineStr">
        <is>
          <t>SÖDERMANLANDS LÄN</t>
        </is>
      </c>
      <c r="G401" t="inlineStr">
        <is>
          <t>ESKILSTUNA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46230</v>
      </c>
      <c r="F402" t="inlineStr">
        <is>
          <t>SÖDERMANLANDS LÄN</t>
        </is>
      </c>
      <c r="G402" t="inlineStr">
        <is>
          <t>ESKILSTUNA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46230</v>
      </c>
      <c r="F403" t="inlineStr">
        <is>
          <t>SÖDERMANLANDS LÄN</t>
        </is>
      </c>
      <c r="G403" t="inlineStr">
        <is>
          <t>ESKILSTUNA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46219</v>
      </c>
      <c r="E404" s="1" t="n">
        <v>46230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46230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46230</v>
      </c>
      <c r="F406" t="inlineStr">
        <is>
          <t>SÖDERMANLANDS LÄN</t>
        </is>
      </c>
      <c r="G406" t="inlineStr">
        <is>
          <t>ESKILSTUNA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61829-2023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46230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61831-2023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45266</v>
      </c>
      <c r="E408" s="1" t="n">
        <v>46230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44499</v>
      </c>
      <c r="E409" s="1" t="n">
        <v>46230</v>
      </c>
      <c r="F409" t="inlineStr">
        <is>
          <t>SÖDERMANLANDS LÄN</t>
        </is>
      </c>
      <c r="G409" t="inlineStr">
        <is>
          <t>ESKILSTUNA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70560-2021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44536</v>
      </c>
      <c r="E410" s="1" t="n">
        <v>46230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42545-2025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46230</v>
      </c>
      <c r="F411" t="inlineStr">
        <is>
          <t>SÖDERMANLANDS LÄN</t>
        </is>
      </c>
      <c r="G411" t="inlineStr">
        <is>
          <t>ESKILSTUNA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25483-2026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46230</v>
      </c>
      <c r="F412" t="inlineStr">
        <is>
          <t>SÖDERMANLANDS LÄN</t>
        </is>
      </c>
      <c r="G412" t="inlineStr">
        <is>
          <t>ESKILSTUNA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18105-2026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46125</v>
      </c>
      <c r="E413" s="1" t="n">
        <v>46230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46230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Allmännings- och besparingsskogar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44617</v>
      </c>
      <c r="E415" s="1" t="n">
        <v>46230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46230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13153-2026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46092</v>
      </c>
      <c r="E417" s="1" t="n">
        <v>46230</v>
      </c>
      <c r="F417" t="inlineStr">
        <is>
          <t>SÖDERMANLANDS LÄN</t>
        </is>
      </c>
      <c r="G417" t="inlineStr">
        <is>
          <t>ESKILSTUNA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57061-2021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46230</v>
      </c>
      <c r="F418" t="inlineStr">
        <is>
          <t>SÖDERMANLANDS LÄN</t>
        </is>
      </c>
      <c r="G418" t="inlineStr">
        <is>
          <t>ESKILSTUNA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46230</v>
      </c>
      <c r="F419" t="inlineStr">
        <is>
          <t>SÖDERMANLANDS LÄN</t>
        </is>
      </c>
      <c r="G419" t="inlineStr">
        <is>
          <t>ESKILSTUNA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46230</v>
      </c>
      <c r="F420" t="inlineStr">
        <is>
          <t>SÖDERMANLANDS LÄN</t>
        </is>
      </c>
      <c r="G420" t="inlineStr">
        <is>
          <t>ESKILSTUNA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46230</v>
      </c>
      <c r="F421" t="inlineStr">
        <is>
          <t>SÖDERMANLANDS LÄN</t>
        </is>
      </c>
      <c r="G421" t="inlineStr">
        <is>
          <t>ESKILSTUNA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46230</v>
      </c>
      <c r="F422" t="inlineStr">
        <is>
          <t>SÖDERMANLANDS LÄN</t>
        </is>
      </c>
      <c r="G422" t="inlineStr">
        <is>
          <t>ESKILSTUNA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46230</v>
      </c>
      <c r="F423" t="inlineStr">
        <is>
          <t>SÖDERMANLANDS LÄN</t>
        </is>
      </c>
      <c r="G423" t="inlineStr">
        <is>
          <t>ESKILSTUNA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46230</v>
      </c>
      <c r="F424" t="inlineStr">
        <is>
          <t>SÖDERMANLANDS LÄN</t>
        </is>
      </c>
      <c r="G424" t="inlineStr">
        <is>
          <t>ESKILSTUNA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46230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Övriga Aktiebolag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46230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46230</v>
      </c>
      <c r="F427" t="inlineStr">
        <is>
          <t>SÖDERMANLANDS LÄN</t>
        </is>
      </c>
      <c r="G427" t="inlineStr">
        <is>
          <t>ESKILSTUNA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45387</v>
      </c>
      <c r="E428" s="1" t="n">
        <v>46230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Kyrkan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46230</v>
      </c>
      <c r="F429" t="inlineStr">
        <is>
          <t>SÖDERMANLANDS LÄN</t>
        </is>
      </c>
      <c r="G429" t="inlineStr">
        <is>
          <t>ESKILSTUNA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44729</v>
      </c>
      <c r="E430" s="1" t="n">
        <v>46230</v>
      </c>
      <c r="F430" t="inlineStr">
        <is>
          <t>SÖDERMANLANDS LÄN</t>
        </is>
      </c>
      <c r="G430" t="inlineStr">
        <is>
          <t>ESKILSTUNA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46230</v>
      </c>
      <c r="F431" t="inlineStr">
        <is>
          <t>SÖDERMANLANDS LÄN</t>
        </is>
      </c>
      <c r="G431" t="inlineStr">
        <is>
          <t>ESKILSTUNA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46230</v>
      </c>
      <c r="F432" t="inlineStr">
        <is>
          <t>SÖDERMANLANDS LÄN</t>
        </is>
      </c>
      <c r="G432" t="inlineStr">
        <is>
          <t>ESKILSTUNA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46230</v>
      </c>
      <c r="F433" t="inlineStr">
        <is>
          <t>SÖDERMANLANDS LÄN</t>
        </is>
      </c>
      <c r="G433" t="inlineStr">
        <is>
          <t>ESKILSTUNA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46230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44927-2023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45190</v>
      </c>
      <c r="E435" s="1" t="n">
        <v>46230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46230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46881-2022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44851</v>
      </c>
      <c r="E437" s="1" t="n">
        <v>46230</v>
      </c>
      <c r="F437" t="inlineStr">
        <is>
          <t>SÖDERMANLANDS LÄN</t>
        </is>
      </c>
      <c r="G437" t="inlineStr">
        <is>
          <t>ESKILSTUNA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45723</v>
      </c>
      <c r="E438" s="1" t="n">
        <v>46230</v>
      </c>
      <c r="F438" t="inlineStr">
        <is>
          <t>SÖDERMANLANDS LÄN</t>
        </is>
      </c>
      <c r="G438" t="inlineStr">
        <is>
          <t>ESKILSTUNA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46230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46230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46230</v>
      </c>
      <c r="F441" t="inlineStr">
        <is>
          <t>SÖDERMANLANDS LÄN</t>
        </is>
      </c>
      <c r="G441" t="inlineStr">
        <is>
          <t>ESKILSTUNA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46230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33585-2022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44789</v>
      </c>
      <c r="E443" s="1" t="n">
        <v>46230</v>
      </c>
      <c r="F443" t="inlineStr">
        <is>
          <t>SÖDERMANLANDS LÄN</t>
        </is>
      </c>
      <c r="G443" t="inlineStr">
        <is>
          <t>ESKILSTUNA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45229</v>
      </c>
      <c r="E444" s="1" t="n">
        <v>46230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45303</v>
      </c>
      <c r="E445" s="1" t="n">
        <v>46230</v>
      </c>
      <c r="F445" t="inlineStr">
        <is>
          <t>SÖDERMANLANDS LÄN</t>
        </is>
      </c>
      <c r="G445" t="inlineStr">
        <is>
          <t>ESKILSTUNA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46230</v>
      </c>
      <c r="F446" t="inlineStr">
        <is>
          <t>SÖDERMANLANDS LÄN</t>
        </is>
      </c>
      <c r="G446" t="inlineStr">
        <is>
          <t>ESKILSTUNA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58991-2022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46230</v>
      </c>
      <c r="F447" t="inlineStr">
        <is>
          <t>SÖDERMANLANDS LÄN</t>
        </is>
      </c>
      <c r="G447" t="inlineStr">
        <is>
          <t>ESKILSTUNA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54598-2021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44473</v>
      </c>
      <c r="E448" s="1" t="n">
        <v>46230</v>
      </c>
      <c r="F448" t="inlineStr">
        <is>
          <t>SÖDERMANLANDS LÄN</t>
        </is>
      </c>
      <c r="G448" t="inlineStr">
        <is>
          <t>ESKILSTUNA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46230</v>
      </c>
      <c r="F449" t="inlineStr">
        <is>
          <t>SÖDERMANLANDS LÄN</t>
        </is>
      </c>
      <c r="G449" t="inlineStr">
        <is>
          <t>ESKILSTUNA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46230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46230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46230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46230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46230</v>
      </c>
      <c r="F454" t="inlineStr">
        <is>
          <t>SÖDERMANLANDS LÄN</t>
        </is>
      </c>
      <c r="G454" t="inlineStr">
        <is>
          <t>ESKILSTUNA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46230</v>
      </c>
      <c r="F455" t="inlineStr">
        <is>
          <t>SÖDERMANLANDS LÄN</t>
        </is>
      </c>
      <c r="G455" t="inlineStr">
        <is>
          <t>ESKILSTUNA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46230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44638</v>
      </c>
      <c r="E457" s="1" t="n">
        <v>46230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46230</v>
      </c>
      <c r="F458" t="inlineStr">
        <is>
          <t>SÖDERMANLANDS LÄN</t>
        </is>
      </c>
      <c r="G458" t="inlineStr">
        <is>
          <t>ESKILSTUNA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68022-2021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44525</v>
      </c>
      <c r="E459" s="1" t="n">
        <v>46230</v>
      </c>
      <c r="F459" t="inlineStr">
        <is>
          <t>SÖDERMANLANDS LÄN</t>
        </is>
      </c>
      <c r="G459" t="inlineStr">
        <is>
          <t>ESKILSTUNA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61170-2021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46230</v>
      </c>
      <c r="F460" t="inlineStr">
        <is>
          <t>SÖDERMANLANDS LÄN</t>
        </is>
      </c>
      <c r="G460" t="inlineStr">
        <is>
          <t>ESKILSTUNA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43064-2023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46230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46230</v>
      </c>
      <c r="F462" t="inlineStr">
        <is>
          <t>SÖDERMANLANDS LÄN</t>
        </is>
      </c>
      <c r="G462" t="inlineStr">
        <is>
          <t>ESKILSTUNA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44946</v>
      </c>
      <c r="E463" s="1" t="n">
        <v>46230</v>
      </c>
      <c r="F463" t="inlineStr">
        <is>
          <t>SÖDERMANLANDS LÄN</t>
        </is>
      </c>
      <c r="G463" t="inlineStr">
        <is>
          <t>ESKILSTUNA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45159</v>
      </c>
      <c r="E464" s="1" t="n">
        <v>46230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Kommuner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46230</v>
      </c>
      <c r="F465" t="inlineStr">
        <is>
          <t>SÖDERMANLANDS LÄN</t>
        </is>
      </c>
      <c r="G465" t="inlineStr">
        <is>
          <t>ESKILSTUNA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45056</v>
      </c>
      <c r="E466" s="1" t="n">
        <v>46230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22605-2023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45071</v>
      </c>
      <c r="E467" s="1" t="n">
        <v>46230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Kyrkan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45183</v>
      </c>
      <c r="E468" s="1" t="n">
        <v>46230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46230</v>
      </c>
      <c r="F469" t="inlineStr">
        <is>
          <t>SÖDERMANLANDS LÄN</t>
        </is>
      </c>
      <c r="G469" t="inlineStr">
        <is>
          <t>ESKILSTUNA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46230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46230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46230</v>
      </c>
      <c r="F472" t="inlineStr">
        <is>
          <t>SÖDERMANLANDS LÄN</t>
        </is>
      </c>
      <c r="G472" t="inlineStr">
        <is>
          <t>ESKILSTUNA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46230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46230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46230</v>
      </c>
      <c r="F475" t="inlineStr">
        <is>
          <t>SÖDERMANLANDS LÄN</t>
        </is>
      </c>
      <c r="G475" t="inlineStr">
        <is>
          <t>ESKILSTUNA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46230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46230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46230</v>
      </c>
      <c r="F478" t="inlineStr">
        <is>
          <t>SÖDERMANLANDS LÄN</t>
        </is>
      </c>
      <c r="G478" t="inlineStr">
        <is>
          <t>ESKILSTUNA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45798</v>
      </c>
      <c r="E479" s="1" t="n">
        <v>46230</v>
      </c>
      <c r="F479" t="inlineStr">
        <is>
          <t>SÖDERMANLANDS LÄN</t>
        </is>
      </c>
      <c r="G479" t="inlineStr">
        <is>
          <t>ESKILSTUNA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46230</v>
      </c>
      <c r="F480" t="inlineStr">
        <is>
          <t>SÖDERMANLANDS LÄN</t>
        </is>
      </c>
      <c r="G480" t="inlineStr">
        <is>
          <t>ESKILSTUNA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24534-2025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45798</v>
      </c>
      <c r="E481" s="1" t="n">
        <v>46230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45798</v>
      </c>
      <c r="E482" s="1" t="n">
        <v>46230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24536-2025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45798</v>
      </c>
      <c r="E483" s="1" t="n">
        <v>46230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46230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46230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24537-2025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45798</v>
      </c>
      <c r="E486" s="1" t="n">
        <v>46230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30096-2025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45826</v>
      </c>
      <c r="E487" s="1" t="n">
        <v>46230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46230</v>
      </c>
      <c r="F488" t="inlineStr">
        <is>
          <t>SÖDERMANLANDS LÄN</t>
        </is>
      </c>
      <c r="G488" t="inlineStr">
        <is>
          <t>ESKILSTUNA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46230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46230</v>
      </c>
      <c r="F490" t="inlineStr">
        <is>
          <t>SÖDERMANLANDS LÄN</t>
        </is>
      </c>
      <c r="G490" t="inlineStr">
        <is>
          <t>ESKILSTUNA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46230</v>
      </c>
      <c r="F491" t="inlineStr">
        <is>
          <t>SÖDERMANLANDS LÄN</t>
        </is>
      </c>
      <c r="G491" t="inlineStr">
        <is>
          <t>ESKILSTUNA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51547-2024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46230</v>
      </c>
      <c r="F492" t="inlineStr">
        <is>
          <t>SÖDERMANLANDS LÄN</t>
        </is>
      </c>
      <c r="G492" t="inlineStr">
        <is>
          <t>ESKILSTUNA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46230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46230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46230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46230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46230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46230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46230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46230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46230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46230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46230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46230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46230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2026-07-27T01:48:05Z</dcterms:created>
  <dcterms:modified xmlns:dcterms="http://purl.org/dc/terms/" xmlns:xsi="http://www.w3.org/2001/XMLSchema-instance" xsi:type="dcterms:W3CDTF">2026-07-27T01:48:06Z</dcterms:modified>
</cp:coreProperties>
</file>