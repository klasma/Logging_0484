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46291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46291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46291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46291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46291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46291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46291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46291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46291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46291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46291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46291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46291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46291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46291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46291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46291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46291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46291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46291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46291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46291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18968-2023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46291</v>
      </c>
      <c r="F31" t="inlineStr">
        <is>
          <t>SÖDERMANLANDS LÄN</t>
        </is>
      </c>
      <c r="G31" t="inlineStr">
        <is>
          <t>ESKILSTUNA</t>
        </is>
      </c>
      <c r="I31" t="n">
        <v>3.6</v>
      </c>
      <c r="J31" t="n">
        <v>0</v>
      </c>
      <c r="K31" t="n">
        <v>2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8</v>
      </c>
      <c r="U31" t="n">
        <v>0</v>
      </c>
      <c r="V31" s="2" t="inlineStr">
        <is>
          <t>Ask
Svart trolldruva
Tibast</t>
        </is>
      </c>
      <c r="W31">
        <f>HYPERLINK("https://klasma.github.io/Logging_0484/artfynd/A 18968-2023 artfynd.xlsx", "A 18968-2023")</f>
        <v/>
      </c>
      <c r="X31">
        <f>HYPERLINK("https://klasma.github.io/Logging_0484/kartor/A 18968-2023 karta.png", "A 18968-2023")</f>
        <v/>
      </c>
      <c r="Y31">
        <f>HYPERLINK("https://klasma.github.io/Logging_0484/kartor_geotiff/A 18968-2023 georefererad karta.tif", "A 18968-2023")</f>
        <v/>
      </c>
      <c r="AA31">
        <f>HYPERLINK("https://klasma.github.io/Logging_0484/klagomål/A 18968-2023 FSC-klagomål.docx", "A 18968-2023")</f>
        <v/>
      </c>
      <c r="AB31">
        <f>HYPERLINK("https://klasma.github.io/Logging_0484/klagomålsmail/A 18968-2023 FSC-klagomål mail.docx", "A 18968-2023")</f>
        <v/>
      </c>
      <c r="AC31">
        <f>HYPERLINK("https://klasma.github.io/Logging_0484/tillsyn/A 18968-2023 tillsynsbegäran.docx", "A 18968-2023")</f>
        <v/>
      </c>
      <c r="AD31">
        <f>HYPERLINK("https://klasma.github.io/Logging_0484/tillsynsmail/A 18968-2023 tillsynsbegäran mail.docx", "A 18968-2023")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46291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46291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46291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46291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34985-2025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46291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5.1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Krusfrö
Tjäder</t>
        </is>
      </c>
      <c r="W36">
        <f>HYPERLINK("https://klasma.github.io/Logging_0484/artfynd/A 34985-2025 artfynd.xlsx", "A 34985-2025")</f>
        <v/>
      </c>
      <c r="X36">
        <f>HYPERLINK("https://klasma.github.io/Logging_0484/kartor/A 34985-2025 karta.png", "A 34985-2025")</f>
        <v/>
      </c>
      <c r="Y36">
        <f>HYPERLINK("https://klasma.github.io/Logging_0484/kartor_geotiff/A 34985-2025 georefererad karta.tif", "A 34985-2025")</f>
        <v/>
      </c>
      <c r="AA36">
        <f>HYPERLINK("https://klasma.github.io/Logging_0484/klagomål/A 34985-2025 FSC-klagomål.docx", "A 34985-2025")</f>
        <v/>
      </c>
      <c r="AB36">
        <f>HYPERLINK("https://klasma.github.io/Logging_0484/klagomålsmail/A 34985-2025 FSC-klagomål mail.docx", "A 34985-2025")</f>
        <v/>
      </c>
      <c r="AC36">
        <f>HYPERLINK("https://klasma.github.io/Logging_0484/tillsyn/A 34985-2025 tillsynsbegäran.docx", "A 34985-2025")</f>
        <v/>
      </c>
      <c r="AD36">
        <f>HYPERLINK("https://klasma.github.io/Logging_0484/tillsynsmail/A 34985-2025 tillsynsbegäran mail.docx", "A 34985-2025")</f>
        <v/>
      </c>
      <c r="AE36">
        <f>HYPERLINK("https://klasma.github.io/Logging_0484/fåglar/A 34985-2025 prioriterade fågelarter.docx", "A 34985-2025")</f>
        <v/>
      </c>
    </row>
    <row r="37" ht="15" customHeight="1">
      <c r="A37" t="inlineStr">
        <is>
          <t>A 59822-2025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46291</v>
      </c>
      <c r="F37" t="inlineStr">
        <is>
          <t>SÖDERMANLANDS LÄN</t>
        </is>
      </c>
      <c r="G37" t="inlineStr">
        <is>
          <t>ESKILSTUNA</t>
        </is>
      </c>
      <c r="I37" t="n">
        <v>8.5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Stubbspretmossa
Timmerticka</t>
        </is>
      </c>
      <c r="W37">
        <f>HYPERLINK("https://klasma.github.io/Logging_0484/artfynd/A 59822-2025 artfynd.xlsx", "A 59822-2025")</f>
        <v/>
      </c>
      <c r="X37">
        <f>HYPERLINK("https://klasma.github.io/Logging_0484/kartor/A 59822-2025 karta.png", "A 59822-2025")</f>
        <v/>
      </c>
      <c r="Y37">
        <f>HYPERLINK("https://klasma.github.io/Logging_0484/kartor_geotiff/A 59822-2025 georefererad karta.tif", "A 59822-2025")</f>
        <v/>
      </c>
      <c r="AA37">
        <f>HYPERLINK("https://klasma.github.io/Logging_0484/klagomål/A 59822-2025 FSC-klagomål.docx", "A 59822-2025")</f>
        <v/>
      </c>
      <c r="AB37">
        <f>HYPERLINK("https://klasma.github.io/Logging_0484/klagomålsmail/A 59822-2025 FSC-klagomål mail.docx", "A 59822-2025")</f>
        <v/>
      </c>
      <c r="AC37">
        <f>HYPERLINK("https://klasma.github.io/Logging_0484/tillsyn/A 59822-2025 tillsynsbegäran.docx", "A 59822-2025")</f>
        <v/>
      </c>
      <c r="AD37">
        <f>HYPERLINK("https://klasma.github.io/Logging_0484/tillsynsmail/A 59822-2025 tillsynsbegäran mail.docx", "A 59822-2025")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46291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46291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22760-2026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46291</v>
      </c>
      <c r="F40" t="inlineStr">
        <is>
          <t>SÖDERMANLANDS LÄN</t>
        </is>
      </c>
      <c r="G40" t="inlineStr">
        <is>
          <t>ESKILSTUNA</t>
        </is>
      </c>
      <c r="I40" t="n">
        <v>4.4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Solvända</t>
        </is>
      </c>
      <c r="W40">
        <f>HYPERLINK("https://klasma.github.io/Logging_0484/artfynd/A 22760-2026 artfynd.xlsx", "A 22760-2026")</f>
        <v/>
      </c>
      <c r="X40">
        <f>HYPERLINK("https://klasma.github.io/Logging_0484/kartor/A 22760-2026 karta.png", "A 22760-2026")</f>
        <v/>
      </c>
      <c r="Y40">
        <f>HYPERLINK("https://klasma.github.io/Logging_0484/kartor_geotiff/A 22760-2026 georefererad karta.tif", "A 22760-2026")</f>
        <v/>
      </c>
      <c r="AA40">
        <f>HYPERLINK("https://klasma.github.io/Logging_0484/klagomål/A 22760-2026 FSC-klagomål.docx", "A 22760-2026")</f>
        <v/>
      </c>
      <c r="AB40">
        <f>HYPERLINK("https://klasma.github.io/Logging_0484/klagomålsmail/A 22760-2026 FSC-klagomål mail.docx", "A 22760-2026")</f>
        <v/>
      </c>
      <c r="AC40">
        <f>HYPERLINK("https://klasma.github.io/Logging_0484/tillsyn/A 22760-2026 tillsynsbegäran.docx", "A 22760-2026")</f>
        <v/>
      </c>
      <c r="AD40">
        <f>HYPERLINK("https://klasma.github.io/Logging_0484/tillsynsmail/A 22760-2026 tillsynsbegäran mail.docx", "A 22760-2026")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46291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46291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46291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46291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61105-2025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46291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Krusfrö
Tibast</t>
        </is>
      </c>
      <c r="W46">
        <f>HYPERLINK("https://klasma.github.io/Logging_0484/artfynd/A 61105-2025 artfynd.xlsx", "A 61105-2025")</f>
        <v/>
      </c>
      <c r="X46">
        <f>HYPERLINK("https://klasma.github.io/Logging_0484/kartor/A 61105-2025 karta.png", "A 61105-2025")</f>
        <v/>
      </c>
      <c r="Y46">
        <f>HYPERLINK("https://klasma.github.io/Logging_0484/kartor_geotiff/A 61105-2025 georefererad karta.tif", "A 61105-2025")</f>
        <v/>
      </c>
      <c r="AA46">
        <f>HYPERLINK("https://klasma.github.io/Logging_0484/klagomål/A 61105-2025 FSC-klagomål.docx", "A 61105-2025")</f>
        <v/>
      </c>
      <c r="AB46">
        <f>HYPERLINK("https://klasma.github.io/Logging_0484/klagomålsmail/A 61105-2025 FSC-klagomål mail.docx", "A 61105-2025")</f>
        <v/>
      </c>
      <c r="AC46">
        <f>HYPERLINK("https://klasma.github.io/Logging_0484/tillsyn/A 61105-2025 tillsynsbegäran.docx", "A 61105-2025")</f>
        <v/>
      </c>
      <c r="AD46">
        <f>HYPERLINK("https://klasma.github.io/Logging_0484/tillsynsmail/A 61105-2025 tillsynsbegäran mail.docx", "A 61105-2025")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46291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46291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46291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46291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46291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46291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46291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46291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46291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46291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46291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46291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46291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46291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46291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46291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46291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15608-2026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46291</v>
      </c>
      <c r="F65" t="inlineStr">
        <is>
          <t>SÖDERMANLANDS LÄN</t>
        </is>
      </c>
      <c r="G65" t="inlineStr">
        <is>
          <t>ESKILSTUNA</t>
        </is>
      </c>
      <c r="I65" t="n">
        <v>9.6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15608-2026 artfynd.xlsx", "A 15608-2026")</f>
        <v/>
      </c>
      <c r="X65">
        <f>HYPERLINK("https://klasma.github.io/Logging_0484/kartor/A 15608-2026 karta.png", "A 15608-2026")</f>
        <v/>
      </c>
      <c r="Y65">
        <f>HYPERLINK("https://klasma.github.io/Logging_0484/kartor_geotiff/A 15608-2026 georefererad karta.tif", "A 15608-2026")</f>
        <v/>
      </c>
      <c r="AA65">
        <f>HYPERLINK("https://klasma.github.io/Logging_0484/klagomål/A 15608-2026 FSC-klagomål.docx", "A 15608-2026")</f>
        <v/>
      </c>
      <c r="AB65">
        <f>HYPERLINK("https://klasma.github.io/Logging_0484/klagomålsmail/A 15608-2026 FSC-klagomål mail.docx", "A 15608-2026")</f>
        <v/>
      </c>
      <c r="AC65">
        <f>HYPERLINK("https://klasma.github.io/Logging_0484/tillsyn/A 15608-2026 tillsynsbegäran.docx", "A 15608-2026")</f>
        <v/>
      </c>
      <c r="AD65">
        <f>HYPERLINK("https://klasma.github.io/Logging_0484/tillsynsmail/A 15608-2026 tillsynsbegäran mail.docx", "A 15608-2026")</f>
        <v/>
      </c>
    </row>
    <row r="66" ht="15" customHeight="1">
      <c r="A66" t="inlineStr">
        <is>
          <t>A 52840-2025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46291</v>
      </c>
      <c r="F66" t="inlineStr">
        <is>
          <t>SÖDERMANLANDS LÄN</t>
        </is>
      </c>
      <c r="G66" t="inlineStr">
        <is>
          <t>ESKILSTUNA</t>
        </is>
      </c>
      <c r="I66" t="n">
        <v>1.3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Skrovlig taggsvamp</t>
        </is>
      </c>
      <c r="W66">
        <f>HYPERLINK("https://klasma.github.io/Logging_0484/artfynd/A 52840-2025 artfynd.xlsx", "A 52840-2025")</f>
        <v/>
      </c>
      <c r="X66">
        <f>HYPERLINK("https://klasma.github.io/Logging_0484/kartor/A 52840-2025 karta.png", "A 52840-2025")</f>
        <v/>
      </c>
      <c r="Y66">
        <f>HYPERLINK("https://klasma.github.io/Logging_0484/kartor_geotiff/A 52840-2025 georefererad karta.tif", "A 52840-2025")</f>
        <v/>
      </c>
      <c r="AA66">
        <f>HYPERLINK("https://klasma.github.io/Logging_0484/klagomål/A 52840-2025 FSC-klagomål.docx", "A 52840-2025")</f>
        <v/>
      </c>
      <c r="AB66">
        <f>HYPERLINK("https://klasma.github.io/Logging_0484/klagomålsmail/A 52840-2025 FSC-klagomål mail.docx", "A 52840-2025")</f>
        <v/>
      </c>
      <c r="AC66">
        <f>HYPERLINK("https://klasma.github.io/Logging_0484/tillsyn/A 52840-2025 tillsynsbegäran.docx", "A 52840-2025")</f>
        <v/>
      </c>
      <c r="AD66">
        <f>HYPERLINK("https://klasma.github.io/Logging_0484/tillsynsmail/A 52840-2025 tillsynsbegäran mail.docx", "A 52840-2025")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46291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31056-2025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45832</v>
      </c>
      <c r="E68" s="1" t="n">
        <v>46291</v>
      </c>
      <c r="F68" t="inlineStr">
        <is>
          <t>SÖDERMANLANDS LÄN</t>
        </is>
      </c>
      <c r="G68" t="inlineStr">
        <is>
          <t>ESKILSTUNA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HYPERLINK("https://klasma.github.io/Logging_0484/artfynd/A 31056-2025 artfynd.xlsx", "A 31056-2025")</f>
        <v/>
      </c>
      <c r="X68">
        <f>HYPERLINK("https://klasma.github.io/Logging_0484/kartor/A 31056-2025 karta.png", "A 31056-2025")</f>
        <v/>
      </c>
      <c r="Y68">
        <f>HYPERLINK("https://klasma.github.io/Logging_0484/kartor_geotiff/A 31056-2025 georefererad karta.tif", "A 31056-2025")</f>
        <v/>
      </c>
      <c r="AA68">
        <f>HYPERLINK("https://klasma.github.io/Logging_0484/klagomål/A 31056-2025 FSC-klagomål.docx", "A 31056-2025")</f>
        <v/>
      </c>
      <c r="AB68">
        <f>HYPERLINK("https://klasma.github.io/Logging_0484/klagomålsmail/A 31056-2025 FSC-klagomål mail.docx", "A 31056-2025")</f>
        <v/>
      </c>
      <c r="AC68">
        <f>HYPERLINK("https://klasma.github.io/Logging_0484/tillsyn/A 31056-2025 tillsynsbegäran.docx", "A 31056-2025")</f>
        <v/>
      </c>
      <c r="AD68">
        <f>HYPERLINK("https://klasma.github.io/Logging_0484/tillsynsmail/A 31056-2025 tillsynsbegäran mail.docx", "A 31056-2025")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46291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46291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36216-2025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45867</v>
      </c>
      <c r="E71" s="1" t="n">
        <v>46291</v>
      </c>
      <c r="F71" t="inlineStr">
        <is>
          <t>SÖDERMANLANDS LÄN</t>
        </is>
      </c>
      <c r="G71" t="inlineStr">
        <is>
          <t>ESKILSTUNA</t>
        </is>
      </c>
      <c r="I71" t="n">
        <v>18.7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Blomkålssvamp</t>
        </is>
      </c>
      <c r="W71">
        <f>HYPERLINK("https://klasma.github.io/Logging_0484/artfynd/A 36216-2025 artfynd.xlsx", "A 36216-2025")</f>
        <v/>
      </c>
      <c r="X71">
        <f>HYPERLINK("https://klasma.github.io/Logging_0484/kartor/A 36216-2025 karta.png", "A 36216-2025")</f>
        <v/>
      </c>
      <c r="Y71">
        <f>HYPERLINK("https://klasma.github.io/Logging_0484/kartor_geotiff/A 36216-2025 georefererad karta.tif", "A 36216-2025")</f>
        <v/>
      </c>
      <c r="AA71">
        <f>HYPERLINK("https://klasma.github.io/Logging_0484/klagomål/A 36216-2025 FSC-klagomål.docx", "A 36216-2025")</f>
        <v/>
      </c>
      <c r="AB71">
        <f>HYPERLINK("https://klasma.github.io/Logging_0484/klagomålsmail/A 36216-2025 FSC-klagomål mail.docx", "A 36216-2025")</f>
        <v/>
      </c>
      <c r="AC71">
        <f>HYPERLINK("https://klasma.github.io/Logging_0484/tillsyn/A 36216-2025 tillsynsbegäran.docx", "A 36216-2025")</f>
        <v/>
      </c>
      <c r="AD71">
        <f>HYPERLINK("https://klasma.github.io/Logging_0484/tillsynsmail/A 36216-2025 tillsynsbegäran mail.docx", "A 36216-2025")</f>
        <v/>
      </c>
    </row>
    <row r="72" ht="15" customHeight="1">
      <c r="A72" t="inlineStr">
        <is>
          <t>A 26097-2026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46291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Svinrot</t>
        </is>
      </c>
      <c r="W72">
        <f>HYPERLINK("https://klasma.github.io/Logging_0484/artfynd/A 26097-2026 artfynd.xlsx", "A 26097-2026")</f>
        <v/>
      </c>
      <c r="X72">
        <f>HYPERLINK("https://klasma.github.io/Logging_0484/kartor/A 26097-2026 karta.png", "A 26097-2026")</f>
        <v/>
      </c>
      <c r="Y72">
        <f>HYPERLINK("https://klasma.github.io/Logging_0484/kartor_geotiff/A 26097-2026 georefererad karta.tif", "A 26097-2026")</f>
        <v/>
      </c>
      <c r="AA72">
        <f>HYPERLINK("https://klasma.github.io/Logging_0484/klagomål/A 26097-2026 FSC-klagomål.docx", "A 26097-2026")</f>
        <v/>
      </c>
      <c r="AB72">
        <f>HYPERLINK("https://klasma.github.io/Logging_0484/klagomålsmail/A 26097-2026 FSC-klagomål mail.docx", "A 26097-2026")</f>
        <v/>
      </c>
      <c r="AC72">
        <f>HYPERLINK("https://klasma.github.io/Logging_0484/tillsyn/A 26097-2026 tillsynsbegäran.docx", "A 26097-2026")</f>
        <v/>
      </c>
      <c r="AD72">
        <f>HYPERLINK("https://klasma.github.io/Logging_0484/tillsynsmail/A 26097-2026 tillsynsbegäran mail.docx", "A 26097-2026")</f>
        <v/>
      </c>
    </row>
    <row r="73" ht="15" customHeight="1">
      <c r="A73" t="inlineStr">
        <is>
          <t>A 26008-2026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46291</v>
      </c>
      <c r="F73" t="inlineStr">
        <is>
          <t>SÖDERMANLANDS LÄN</t>
        </is>
      </c>
      <c r="G73" t="inlineStr">
        <is>
          <t>ESKILSTUNA</t>
        </is>
      </c>
      <c r="I73" t="n">
        <v>2.8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8</v>
      </c>
      <c r="U73" t="n">
        <v>0</v>
      </c>
      <c r="V73" s="2" t="inlineStr">
        <is>
          <t>Svart trolldruva</t>
        </is>
      </c>
      <c r="W73">
        <f>HYPERLINK("https://klasma.github.io/Logging_0484/artfynd/A 26008-2026 artfynd.xlsx", "A 26008-2026")</f>
        <v/>
      </c>
      <c r="X73">
        <f>HYPERLINK("https://klasma.github.io/Logging_0484/kartor/A 26008-2026 karta.png", "A 26008-2026")</f>
        <v/>
      </c>
      <c r="Y73">
        <f>HYPERLINK("https://klasma.github.io/Logging_0484/kartor_geotiff/A 26008-2026 georefererad karta.tif", "A 26008-2026")</f>
        <v/>
      </c>
      <c r="AA73">
        <f>HYPERLINK("https://klasma.github.io/Logging_0484/klagomål/A 26008-2026 FSC-klagomål.docx", "A 26008-2026")</f>
        <v/>
      </c>
      <c r="AB73">
        <f>HYPERLINK("https://klasma.github.io/Logging_0484/klagomålsmail/A 26008-2026 FSC-klagomål mail.docx", "A 26008-2026")</f>
        <v/>
      </c>
      <c r="AC73">
        <f>HYPERLINK("https://klasma.github.io/Logging_0484/tillsyn/A 26008-2026 tillsynsbegäran.docx", "A 26008-2026")</f>
        <v/>
      </c>
      <c r="AD73">
        <f>HYPERLINK("https://klasma.github.io/Logging_0484/tillsynsmail/A 26008-2026 tillsynsbegäran mail.docx", "A 26008-2026")</f>
        <v/>
      </c>
    </row>
    <row r="74" ht="15" customHeight="1">
      <c r="A74" t="inlineStr">
        <is>
          <t>A 26094-2026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46291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3.4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HYPERLINK("https://klasma.github.io/Logging_0484/artfynd/A 26094-2026 artfynd.xlsx", "A 26094-2026")</f>
        <v/>
      </c>
      <c r="X74">
        <f>HYPERLINK("https://klasma.github.io/Logging_0484/kartor/A 26094-2026 karta.png", "A 26094-2026")</f>
        <v/>
      </c>
      <c r="Y74">
        <f>HYPERLINK("https://klasma.github.io/Logging_0484/kartor_geotiff/A 26094-2026 georefererad karta.tif", "A 26094-2026")</f>
        <v/>
      </c>
      <c r="AA74">
        <f>HYPERLINK("https://klasma.github.io/Logging_0484/klagomål/A 26094-2026 FSC-klagomål.docx", "A 26094-2026")</f>
        <v/>
      </c>
      <c r="AB74">
        <f>HYPERLINK("https://klasma.github.io/Logging_0484/klagomålsmail/A 26094-2026 FSC-klagomål mail.docx", "A 26094-2026")</f>
        <v/>
      </c>
      <c r="AC74">
        <f>HYPERLINK("https://klasma.github.io/Logging_0484/tillsyn/A 26094-2026 tillsynsbegäran.docx", "A 26094-2026")</f>
        <v/>
      </c>
      <c r="AD74">
        <f>HYPERLINK("https://klasma.github.io/Logging_0484/tillsynsmail/A 26094-2026 tillsynsbegäran mail.docx", "A 26094-2026")</f>
        <v/>
      </c>
      <c r="AE74">
        <f>HYPERLINK("https://klasma.github.io/Logging_0484/fåglar/A 26094-2026 prioriterade fågelarter.docx", "A 26094-2026")</f>
        <v/>
      </c>
    </row>
    <row r="75" ht="15" customHeight="1">
      <c r="A75" t="inlineStr">
        <is>
          <t>A 9645-2023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46291</v>
      </c>
      <c r="F75" t="inlineStr">
        <is>
          <t>SÖDERMANLANDS LÄN</t>
        </is>
      </c>
      <c r="G75" t="inlineStr">
        <is>
          <t>ESKILSTUNA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Skogsduva</t>
        </is>
      </c>
      <c r="W75">
        <f>HYPERLINK("https://klasma.github.io/Logging_0484/artfynd/A 9645-2023 artfynd.xlsx", "A 9645-2023")</f>
        <v/>
      </c>
      <c r="X75">
        <f>HYPERLINK("https://klasma.github.io/Logging_0484/kartor/A 9645-2023 karta.png", "A 9645-2023")</f>
        <v/>
      </c>
      <c r="Y75">
        <f>HYPERLINK("https://klasma.github.io/Logging_0484/kartor_geotiff/A 9645-2023 georefererad karta.tif", "A 9645-2023")</f>
        <v/>
      </c>
      <c r="AA75">
        <f>HYPERLINK("https://klasma.github.io/Logging_0484/klagomål/A 9645-2023 FSC-klagomål.docx", "A 9645-2023")</f>
        <v/>
      </c>
      <c r="AB75">
        <f>HYPERLINK("https://klasma.github.io/Logging_0484/klagomålsmail/A 9645-2023 FSC-klagomål mail.docx", "A 9645-2023")</f>
        <v/>
      </c>
      <c r="AC75">
        <f>HYPERLINK("https://klasma.github.io/Logging_0484/tillsyn/A 9645-2023 tillsynsbegäran.docx", "A 9645-2023")</f>
        <v/>
      </c>
      <c r="AD75">
        <f>HYPERLINK("https://klasma.github.io/Logging_0484/tillsynsmail/A 9645-2023 tillsynsbegäran mail.docx", "A 9645-2023")</f>
        <v/>
      </c>
    </row>
    <row r="76" ht="15" customHeight="1">
      <c r="A76" t="inlineStr">
        <is>
          <t>A 68018-2021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46291</v>
      </c>
      <c r="F76" t="inlineStr">
        <is>
          <t>SÖDERMANLANDS LÄN</t>
        </is>
      </c>
      <c r="G76" t="inlineStr">
        <is>
          <t>ESKILSTUNA</t>
        </is>
      </c>
      <c r="I76" t="n">
        <v>0.8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Motaggsvamp</t>
        </is>
      </c>
      <c r="W76">
        <f>HYPERLINK("https://klasma.github.io/Logging_0484/artfynd/A 68018-2021 artfynd.xlsx", "A 68018-2021")</f>
        <v/>
      </c>
      <c r="X76">
        <f>HYPERLINK("https://klasma.github.io/Logging_0484/kartor/A 68018-2021 karta.png", "A 68018-2021")</f>
        <v/>
      </c>
      <c r="Y76">
        <f>HYPERLINK("https://klasma.github.io/Logging_0484/kartor_geotiff/A 68018-2021 georefererad karta.tif", "A 68018-2021")</f>
        <v/>
      </c>
      <c r="AA76">
        <f>HYPERLINK("https://klasma.github.io/Logging_0484/klagomål/A 68018-2021 FSC-klagomål.docx", "A 68018-2021")</f>
        <v/>
      </c>
      <c r="AB76">
        <f>HYPERLINK("https://klasma.github.io/Logging_0484/klagomålsmail/A 68018-2021 FSC-klagomål mail.docx", "A 68018-2021")</f>
        <v/>
      </c>
      <c r="AC76">
        <f>HYPERLINK("https://klasma.github.io/Logging_0484/tillsyn/A 68018-2021 tillsynsbegäran.docx", "A 68018-2021")</f>
        <v/>
      </c>
      <c r="AD76">
        <f>HYPERLINK("https://klasma.github.io/Logging_0484/tillsynsmail/A 68018-2021 tillsynsbegäran mail.docx", "A 68018-2021")</f>
        <v/>
      </c>
    </row>
    <row r="77" ht="15" customHeight="1">
      <c r="A77" t="inlineStr">
        <is>
          <t>A 27892-2026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46291</v>
      </c>
      <c r="F77" t="inlineStr">
        <is>
          <t>SÖDERMANLANDS LÄN</t>
        </is>
      </c>
      <c r="G77" t="inlineStr">
        <is>
          <t>ESKILSTUNA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Nattviol</t>
        </is>
      </c>
      <c r="W77">
        <f>HYPERLINK("https://klasma.github.io/Logging_0484/artfynd/A 27892-2026 artfynd.xlsx", "A 27892-2026")</f>
        <v/>
      </c>
      <c r="X77">
        <f>HYPERLINK("https://klasma.github.io/Logging_0484/kartor/A 27892-2026 karta.png", "A 27892-2026")</f>
        <v/>
      </c>
      <c r="Y77">
        <f>HYPERLINK("https://klasma.github.io/Logging_0484/kartor_geotiff/A 27892-2026 georefererad karta.tif", "A 27892-2026")</f>
        <v/>
      </c>
      <c r="AA77">
        <f>HYPERLINK("https://klasma.github.io/Logging_0484/klagomål/A 27892-2026 FSC-klagomål.docx", "A 27892-2026")</f>
        <v/>
      </c>
      <c r="AB77">
        <f>HYPERLINK("https://klasma.github.io/Logging_0484/klagomålsmail/A 27892-2026 FSC-klagomål mail.docx", "A 27892-2026")</f>
        <v/>
      </c>
      <c r="AC77">
        <f>HYPERLINK("https://klasma.github.io/Logging_0484/tillsyn/A 27892-2026 tillsynsbegäran.docx", "A 27892-2026")</f>
        <v/>
      </c>
      <c r="AD77">
        <f>HYPERLINK("https://klasma.github.io/Logging_0484/tillsynsmail/A 27892-2026 tillsynsbegäran mail.docx", "A 27892-2026")</f>
        <v/>
      </c>
    </row>
    <row r="78" ht="15" customHeight="1">
      <c r="A78" t="inlineStr">
        <is>
          <t>A 51345-2024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46291</v>
      </c>
      <c r="F78" t="inlineStr">
        <is>
          <t>SÖDERMANLANDS LÄN</t>
        </is>
      </c>
      <c r="G78" t="inlineStr">
        <is>
          <t>ESKILSTUNA</t>
        </is>
      </c>
      <c r="I78" t="n">
        <v>4.9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Revlummer</t>
        </is>
      </c>
      <c r="W78">
        <f>HYPERLINK("https://klasma.github.io/Logging_0484/artfynd/A 51345-2024 artfynd.xlsx", "A 51345-2024")</f>
        <v/>
      </c>
      <c r="X78">
        <f>HYPERLINK("https://klasma.github.io/Logging_0484/kartor/A 51345-2024 karta.png", "A 51345-2024")</f>
        <v/>
      </c>
      <c r="Y78">
        <f>HYPERLINK("https://klasma.github.io/Logging_0484/kartor_geotiff/A 51345-2024 georefererad karta.tif", "A 51345-2024")</f>
        <v/>
      </c>
      <c r="AA78">
        <f>HYPERLINK("https://klasma.github.io/Logging_0484/klagomål/A 51345-2024 FSC-klagomål.docx", "A 51345-2024")</f>
        <v/>
      </c>
      <c r="AB78">
        <f>HYPERLINK("https://klasma.github.io/Logging_0484/klagomålsmail/A 51345-2024 FSC-klagomål mail.docx", "A 51345-2024")</f>
        <v/>
      </c>
      <c r="AC78">
        <f>HYPERLINK("https://klasma.github.io/Logging_0484/tillsyn/A 51345-2024 tillsynsbegäran.docx", "A 51345-2024")</f>
        <v/>
      </c>
      <c r="AD78">
        <f>HYPERLINK("https://klasma.github.io/Logging_0484/tillsynsmail/A 51345-2024 tillsynsbegäran mail.docx", "A 51345-2024")</f>
        <v/>
      </c>
    </row>
    <row r="79" ht="15" customHeight="1">
      <c r="A79" t="inlineStr">
        <is>
          <t>A 29647-2023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46291</v>
      </c>
      <c r="F79" t="inlineStr">
        <is>
          <t>SÖDERMANLANDS LÄN</t>
        </is>
      </c>
      <c r="G79" t="inlineStr">
        <is>
          <t>ESKILSTUNA</t>
        </is>
      </c>
      <c r="H79" t="inlineStr">
        <is>
          <t>Allmännings- och besparingsskogar</t>
        </is>
      </c>
      <c r="I79" t="n">
        <v>0.9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Rödvingetrast</t>
        </is>
      </c>
      <c r="W79">
        <f>HYPERLINK("https://klasma.github.io/Logging_0484/artfynd/A 29647-2023 artfynd.xlsx", "A 29647-2023")</f>
        <v/>
      </c>
      <c r="X79">
        <f>HYPERLINK("https://klasma.github.io/Logging_0484/kartor/A 29647-2023 karta.png", "A 29647-2023")</f>
        <v/>
      </c>
      <c r="Y79">
        <f>HYPERLINK("https://klasma.github.io/Logging_0484/kartor_geotiff/A 29647-2023 georefererad karta.tif", "A 29647-2023")</f>
        <v/>
      </c>
      <c r="AA79">
        <f>HYPERLINK("https://klasma.github.io/Logging_0484/klagomål/A 29647-2023 FSC-klagomål.docx", "A 29647-2023")</f>
        <v/>
      </c>
      <c r="AB79">
        <f>HYPERLINK("https://klasma.github.io/Logging_0484/klagomålsmail/A 29647-2023 FSC-klagomål mail.docx", "A 29647-2023")</f>
        <v/>
      </c>
      <c r="AC79">
        <f>HYPERLINK("https://klasma.github.io/Logging_0484/tillsyn/A 29647-2023 tillsynsbegäran.docx", "A 29647-2023")</f>
        <v/>
      </c>
      <c r="AD79">
        <f>HYPERLINK("https://klasma.github.io/Logging_0484/tillsynsmail/A 29647-2023 tillsynsbegäran mail.docx", "A 29647-2023")</f>
        <v/>
      </c>
      <c r="AE79">
        <f>HYPERLINK("https://klasma.github.io/Logging_0484/fåglar/A 29647-2023 prioriterade fågelarter.docx", "A 29647-2023")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46291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Bombmurkla</t>
        </is>
      </c>
      <c r="W80">
        <f>HYPERLINK("https://klasma.github.io/Logging_0484/artfynd/A 30975-2023 artfynd.xlsx", "A 30975-2023")</f>
        <v/>
      </c>
      <c r="X80">
        <f>HYPERLINK("https://klasma.github.io/Logging_0484/kartor/A 30975-2023 karta.png", "A 30975-2023")</f>
        <v/>
      </c>
      <c r="Y80">
        <f>HYPERLINK("https://klasma.github.io/Logging_0484/kartor_geotiff/A 30975-2023 georefererad karta.tif", "A 30975-2023")</f>
        <v/>
      </c>
      <c r="AA80">
        <f>HYPERLINK("https://klasma.github.io/Logging_0484/klagomål/A 30975-2023 FSC-klagomål.docx", "A 30975-2023")</f>
        <v/>
      </c>
      <c r="AB80">
        <f>HYPERLINK("https://klasma.github.io/Logging_0484/klagomålsmail/A 30975-2023 FSC-klagomål mail.docx", "A 30975-2023")</f>
        <v/>
      </c>
      <c r="AC80">
        <f>HYPERLINK("https://klasma.github.io/Logging_0484/tillsyn/A 30975-2023 tillsynsbegäran.docx", "A 30975-2023")</f>
        <v/>
      </c>
      <c r="AD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46291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Pärluggla</t>
        </is>
      </c>
      <c r="W81">
        <f>HYPERLINK("https://klasma.github.io/Logging_0484/artfynd/A 50760-2023 artfynd.xlsx", "A 50760-2023")</f>
        <v/>
      </c>
      <c r="X81">
        <f>HYPERLINK("https://klasma.github.io/Logging_0484/kartor/A 50760-2023 karta.png", "A 50760-2023")</f>
        <v/>
      </c>
      <c r="Y81">
        <f>HYPERLINK("https://klasma.github.io/Logging_0484/kartor_geotiff/A 50760-2023 georefererad karta.tif", "A 50760-2023")</f>
        <v/>
      </c>
      <c r="AA81">
        <f>HYPERLINK("https://klasma.github.io/Logging_0484/klagomål/A 50760-2023 FSC-klagomål.docx", "A 50760-2023")</f>
        <v/>
      </c>
      <c r="AB81">
        <f>HYPERLINK("https://klasma.github.io/Logging_0484/klagomålsmail/A 50760-2023 FSC-klagomål mail.docx", "A 50760-2023")</f>
        <v/>
      </c>
      <c r="AC81">
        <f>HYPERLINK("https://klasma.github.io/Logging_0484/tillsyn/A 50760-2023 tillsynsbegäran.docx", "A 50760-2023")</f>
        <v/>
      </c>
      <c r="AD81">
        <f>HYPERLINK("https://klasma.github.io/Logging_0484/tillsynsmail/A 50760-2023 tillsynsbegäran mail.docx", "A 50760-2023")</f>
        <v/>
      </c>
      <c r="AE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46291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HYPERLINK("https://klasma.github.io/Logging_0484/artfynd/A 55087-2022 artfynd.xlsx", "A 55087-2022")</f>
        <v/>
      </c>
      <c r="X82">
        <f>HYPERLINK("https://klasma.github.io/Logging_0484/kartor/A 55087-2022 karta.png", "A 55087-2022")</f>
        <v/>
      </c>
      <c r="Y82">
        <f>HYPERLINK("https://klasma.github.io/Logging_0484/kartor_geotiff/A 55087-2022 georefererad karta.tif", "A 55087-2022")</f>
        <v/>
      </c>
      <c r="AA82">
        <f>HYPERLINK("https://klasma.github.io/Logging_0484/klagomål/A 55087-2022 FSC-klagomål.docx", "A 55087-2022")</f>
        <v/>
      </c>
      <c r="AB82">
        <f>HYPERLINK("https://klasma.github.io/Logging_0484/klagomålsmail/A 55087-2022 FSC-klagomål mail.docx", "A 55087-2022")</f>
        <v/>
      </c>
      <c r="AC82">
        <f>HYPERLINK("https://klasma.github.io/Logging_0484/tillsyn/A 55087-2022 tillsynsbegäran.docx", "A 55087-2022")</f>
        <v/>
      </c>
      <c r="AD82">
        <f>HYPERLINK("https://klasma.github.io/Logging_0484/tillsynsmail/A 55087-2022 tillsynsbegäran mail.docx", "A 55087-2022")</f>
        <v/>
      </c>
      <c r="AE82">
        <f>HYPERLINK("https://klasma.github.io/Logging_0484/fåglar/A 55087-2022 prioriterade fågelarter.docx", "A 55087-2022")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46291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71976-2021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46291</v>
      </c>
      <c r="F84" t="inlineStr">
        <is>
          <t>SÖDERMANLANDS LÄN</t>
        </is>
      </c>
      <c r="G84" t="inlineStr">
        <is>
          <t>ESKILSTUNA</t>
        </is>
      </c>
      <c r="I84" t="n">
        <v>19.6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Jungfrulin</t>
        </is>
      </c>
      <c r="W84">
        <f>HYPERLINK("https://klasma.github.io/Logging_0484/artfynd/A 71976-2021 artfynd.xlsx", "A 71976-2021")</f>
        <v/>
      </c>
      <c r="X84">
        <f>HYPERLINK("https://klasma.github.io/Logging_0484/kartor/A 71976-2021 karta.png", "A 71976-2021")</f>
        <v/>
      </c>
      <c r="Y84">
        <f>HYPERLINK("https://klasma.github.io/Logging_0484/kartor_geotiff/A 71976-2021 georefererad karta.tif", "A 71976-2021")</f>
        <v/>
      </c>
      <c r="AA84">
        <f>HYPERLINK("https://klasma.github.io/Logging_0484/klagomål/A 71976-2021 FSC-klagomål.docx", "A 71976-2021")</f>
        <v/>
      </c>
      <c r="AB84">
        <f>HYPERLINK("https://klasma.github.io/Logging_0484/klagomålsmail/A 71976-2021 FSC-klagomål mail.docx", "A 71976-2021")</f>
        <v/>
      </c>
      <c r="AC84">
        <f>HYPERLINK("https://klasma.github.io/Logging_0484/tillsyn/A 71976-2021 tillsynsbegäran.docx", "A 71976-2021")</f>
        <v/>
      </c>
      <c r="AD84">
        <f>HYPERLINK("https://klasma.github.io/Logging_0484/tillsynsmail/A 71976-2021 tillsynsbegäran mail.docx", "A 71976-2021")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46291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46291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HYPERLINK("https://klasma.github.io/Logging_0484/artfynd/A 38361-2024 artfynd.xlsx", "A 38361-2024")</f>
        <v/>
      </c>
      <c r="X86">
        <f>HYPERLINK("https://klasma.github.io/Logging_0484/kartor/A 38361-2024 karta.png", "A 38361-2024")</f>
        <v/>
      </c>
      <c r="Y86">
        <f>HYPERLINK("https://klasma.github.io/Logging_0484/kartor_geotiff/A 38361-2024 georefererad karta.tif", "A 38361-2024")</f>
        <v/>
      </c>
      <c r="AA86">
        <f>HYPERLINK("https://klasma.github.io/Logging_0484/klagomål/A 38361-2024 FSC-klagomål.docx", "A 38361-2024")</f>
        <v/>
      </c>
      <c r="AB86">
        <f>HYPERLINK("https://klasma.github.io/Logging_0484/klagomålsmail/A 38361-2024 FSC-klagomål mail.docx", "A 38361-2024")</f>
        <v/>
      </c>
      <c r="AC86">
        <f>HYPERLINK("https://klasma.github.io/Logging_0484/tillsyn/A 38361-2024 tillsynsbegäran.docx", "A 38361-2024")</f>
        <v/>
      </c>
      <c r="AD86">
        <f>HYPERLINK("https://klasma.github.io/Logging_0484/tillsynsmail/A 38361-2024 tillsynsbegäran mail.docx", "A 38361-2024")</f>
        <v/>
      </c>
      <c r="AE86">
        <f>HYPERLINK("https://klasma.github.io/Logging_0484/fåglar/A 38361-2024 prioriterade fågelarter.docx", "A 38361-2024")</f>
        <v/>
      </c>
    </row>
    <row r="87" ht="15" customHeight="1">
      <c r="A87" t="inlineStr">
        <is>
          <t>A 39011-2026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46287</v>
      </c>
      <c r="E87" s="1" t="n">
        <v>46291</v>
      </c>
      <c r="F87" t="inlineStr">
        <is>
          <t>SÖDERMANLANDS LÄN</t>
        </is>
      </c>
      <c r="G87" t="inlineStr">
        <is>
          <t>ESKILSTUNA</t>
        </is>
      </c>
      <c r="I87" t="n">
        <v>10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Blåsippa</t>
        </is>
      </c>
      <c r="W87">
        <f>HYPERLINK("https://klasma.github.io/Logging_0484/artfynd/A 39011-2026 artfynd.xlsx", "A 39011-2026")</f>
        <v/>
      </c>
      <c r="X87">
        <f>HYPERLINK("https://klasma.github.io/Logging_0484/kartor/A 39011-2026 karta.png", "A 39011-2026")</f>
        <v/>
      </c>
      <c r="Y87">
        <f>HYPERLINK("https://klasma.github.io/Logging_0484/kartor_geotiff/A 39011-2026 georefererad karta.tif", "A 39011-2026")</f>
        <v/>
      </c>
      <c r="AA87">
        <f>HYPERLINK("https://klasma.github.io/Logging_0484/klagomål/A 39011-2026 FSC-klagomål.docx", "A 39011-2026")</f>
        <v/>
      </c>
      <c r="AB87">
        <f>HYPERLINK("https://klasma.github.io/Logging_0484/klagomålsmail/A 39011-2026 FSC-klagomål mail.docx", "A 39011-2026")</f>
        <v/>
      </c>
      <c r="AC87">
        <f>HYPERLINK("https://klasma.github.io/Logging_0484/tillsyn/A 39011-2026 tillsynsbegäran.docx", "A 39011-2026")</f>
        <v/>
      </c>
      <c r="AD87">
        <f>HYPERLINK("https://klasma.github.io/Logging_0484/tillsynsmail/A 39011-2026 tillsynsbegäran mail.docx", "A 39011-2026")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46291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46291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46291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35096-2022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46291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46291</v>
      </c>
      <c r="F92" t="inlineStr">
        <is>
          <t>SÖDERMANLANDS LÄN</t>
        </is>
      </c>
      <c r="G92" t="inlineStr">
        <is>
          <t>ESKILSTUNA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46291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46291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46291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46291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46291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46291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46291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46291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46291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46291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46291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46291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46291</v>
      </c>
      <c r="F105" t="inlineStr">
        <is>
          <t>SÖDERMANLANDS LÄN</t>
        </is>
      </c>
      <c r="G105" t="inlineStr">
        <is>
          <t>ESKILSTUNA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46291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46291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46291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46291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46291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46291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46291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46291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46291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46291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46291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46291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46291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46291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46291</v>
      </c>
      <c r="F120" t="inlineStr">
        <is>
          <t>SÖDERMANLANDS LÄN</t>
        </is>
      </c>
      <c r="G120" t="inlineStr">
        <is>
          <t>ESKILSTUNA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46291</v>
      </c>
      <c r="F121" t="inlineStr">
        <is>
          <t>SÖDERMANLANDS LÄN</t>
        </is>
      </c>
      <c r="G121" t="inlineStr">
        <is>
          <t>ESKILSTUNA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71980-2021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44544</v>
      </c>
      <c r="E122" s="1" t="n">
        <v>46291</v>
      </c>
      <c r="F122" t="inlineStr">
        <is>
          <t>SÖDERMANLANDS LÄN</t>
        </is>
      </c>
      <c r="G122" t="inlineStr">
        <is>
          <t>ESKILSTUNA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46291</v>
      </c>
      <c r="F123" t="inlineStr">
        <is>
          <t>SÖDERMANLANDS LÄN</t>
        </is>
      </c>
      <c r="G123" t="inlineStr">
        <is>
          <t>ESKILSTUNA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46291</v>
      </c>
      <c r="F124" t="inlineStr">
        <is>
          <t>SÖDERMANLANDS LÄN</t>
        </is>
      </c>
      <c r="G124" t="inlineStr">
        <is>
          <t>ESKILSTUNA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70620-2021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46291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70490-2021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44536</v>
      </c>
      <c r="E126" s="1" t="n">
        <v>46291</v>
      </c>
      <c r="F126" t="inlineStr">
        <is>
          <t>SÖDERMANLANDS LÄN</t>
        </is>
      </c>
      <c r="G126" t="inlineStr">
        <is>
          <t>ESKILSTUNA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44781</v>
      </c>
      <c r="E127" s="1" t="n">
        <v>46291</v>
      </c>
      <c r="F127" t="inlineStr">
        <is>
          <t>SÖDERMANLANDS LÄN</t>
        </is>
      </c>
      <c r="G127" t="inlineStr">
        <is>
          <t>ESKILSTUNA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46291</v>
      </c>
      <c r="F128" t="inlineStr">
        <is>
          <t>SÖDERMANLANDS LÄN</t>
        </is>
      </c>
      <c r="G128" t="inlineStr">
        <is>
          <t>ESKILSTUNA</t>
        </is>
      </c>
      <c r="I128" t="n">
        <v>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44734</v>
      </c>
      <c r="E129" s="1" t="n">
        <v>46291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46291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46291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46291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46291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46291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46291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46291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46291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46291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46291</v>
      </c>
      <c r="F139" t="inlineStr">
        <is>
          <t>SÖDERMANLANDS LÄN</t>
        </is>
      </c>
      <c r="G139" t="inlineStr">
        <is>
          <t>ESKILSTUNA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46291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46291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46291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46291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46291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46291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46291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46291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46291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46291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46291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46291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46291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46291</v>
      </c>
      <c r="F153" t="inlineStr">
        <is>
          <t>SÖDERMANLANDS LÄN</t>
        </is>
      </c>
      <c r="G153" t="inlineStr">
        <is>
          <t>ESKILSTUNA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46291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46291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46291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46291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45245</v>
      </c>
      <c r="E158" s="1" t="n">
        <v>46291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46291</v>
      </c>
      <c r="F159" t="inlineStr">
        <is>
          <t>SÖDERMANLANDS LÄN</t>
        </is>
      </c>
      <c r="G159" t="inlineStr">
        <is>
          <t>ESKILSTUNA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46291</v>
      </c>
      <c r="F160" t="inlineStr">
        <is>
          <t>SÖDERMANLANDS LÄN</t>
        </is>
      </c>
      <c r="G160" t="inlineStr">
        <is>
          <t>ESKILSTUNA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46291</v>
      </c>
      <c r="F161" t="inlineStr">
        <is>
          <t>SÖDERMANLANDS LÄN</t>
        </is>
      </c>
      <c r="G161" t="inlineStr">
        <is>
          <t>ESKILSTUNA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46291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Allmännings- och besparingsskogar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44799</v>
      </c>
      <c r="E163" s="1" t="n">
        <v>46291</v>
      </c>
      <c r="F163" t="inlineStr">
        <is>
          <t>SÖDERMANLANDS LÄN</t>
        </is>
      </c>
      <c r="G163" t="inlineStr">
        <is>
          <t>ESKILSTUNA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46291</v>
      </c>
      <c r="F164" t="inlineStr">
        <is>
          <t>SÖDERMANLANDS LÄN</t>
        </is>
      </c>
      <c r="G164" t="inlineStr">
        <is>
          <t>ESKILSTUNA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44858</v>
      </c>
      <c r="E165" s="1" t="n">
        <v>46291</v>
      </c>
      <c r="F165" t="inlineStr">
        <is>
          <t>SÖDERMANLANDS LÄN</t>
        </is>
      </c>
      <c r="G165" t="inlineStr">
        <is>
          <t>ESKILSTUNA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46291</v>
      </c>
      <c r="F166" t="inlineStr">
        <is>
          <t>SÖDERMANLANDS LÄN</t>
        </is>
      </c>
      <c r="G166" t="inlineStr">
        <is>
          <t>ESKILSTUNA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46291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46291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46291</v>
      </c>
      <c r="F169" t="inlineStr">
        <is>
          <t>SÖDERMANLANDS LÄN</t>
        </is>
      </c>
      <c r="G169" t="inlineStr">
        <is>
          <t>ESKILSTUNA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45464</v>
      </c>
      <c r="E170" s="1" t="n">
        <v>46291</v>
      </c>
      <c r="F170" t="inlineStr">
        <is>
          <t>SÖDERMANLANDS LÄN</t>
        </is>
      </c>
      <c r="G170" t="inlineStr">
        <is>
          <t>ESKILSTUNA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46291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46291</v>
      </c>
      <c r="F172" t="inlineStr">
        <is>
          <t>SÖDERMANLANDS LÄN</t>
        </is>
      </c>
      <c r="G172" t="inlineStr">
        <is>
          <t>ESKILSTUNA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46291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44883</v>
      </c>
      <c r="E174" s="1" t="n">
        <v>46291</v>
      </c>
      <c r="F174" t="inlineStr">
        <is>
          <t>SÖDERMANLANDS LÄN</t>
        </is>
      </c>
      <c r="G174" t="inlineStr">
        <is>
          <t>ESKILSTUNA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24537-2025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45798</v>
      </c>
      <c r="E175" s="1" t="n">
        <v>46291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44626</v>
      </c>
      <c r="E176" s="1" t="n">
        <v>46291</v>
      </c>
      <c r="F176" t="inlineStr">
        <is>
          <t>SÖDERMANLANDS LÄN</t>
        </is>
      </c>
      <c r="G176" t="inlineStr">
        <is>
          <t>ESKILSTUNA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24534-2025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45798</v>
      </c>
      <c r="E177" s="1" t="n">
        <v>46291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24535-2025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46291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24536-2025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45798</v>
      </c>
      <c r="E179" s="1" t="n">
        <v>46291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61367-2021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44499</v>
      </c>
      <c r="E180" s="1" t="n">
        <v>46291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46291</v>
      </c>
      <c r="F181" t="inlineStr">
        <is>
          <t>SÖDERMANLANDS LÄN</t>
        </is>
      </c>
      <c r="G181" t="inlineStr">
        <is>
          <t>ESKILSTUNA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46291</v>
      </c>
      <c r="F182" t="inlineStr">
        <is>
          <t>SÖDERMANLANDS LÄN</t>
        </is>
      </c>
      <c r="G182" t="inlineStr">
        <is>
          <t>ESKILSTUNA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46291</v>
      </c>
      <c r="F183" t="inlineStr">
        <is>
          <t>SÖDERMANLANDS LÄN</t>
        </is>
      </c>
      <c r="G183" t="inlineStr">
        <is>
          <t>ESKILSTUNA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45798</v>
      </c>
      <c r="E184" s="1" t="n">
        <v>46291</v>
      </c>
      <c r="F184" t="inlineStr">
        <is>
          <t>SÖDERMANLANDS LÄN</t>
        </is>
      </c>
      <c r="G184" t="inlineStr">
        <is>
          <t>ESKILSTUNA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46291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Kommuner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65349-2021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44515</v>
      </c>
      <c r="E186" s="1" t="n">
        <v>46291</v>
      </c>
      <c r="F186" t="inlineStr">
        <is>
          <t>SÖDERMANLANDS LÄN</t>
        </is>
      </c>
      <c r="G186" t="inlineStr">
        <is>
          <t>ESKILSTUNA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46291</v>
      </c>
      <c r="F187" t="inlineStr">
        <is>
          <t>SÖDERMANLANDS LÄN</t>
        </is>
      </c>
      <c r="G187" t="inlineStr">
        <is>
          <t>ESKILSTUNA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46291</v>
      </c>
      <c r="F188" t="inlineStr">
        <is>
          <t>SÖDERMANLANDS LÄN</t>
        </is>
      </c>
      <c r="G188" t="inlineStr">
        <is>
          <t>ESKILSTUNA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46291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46291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Kyrkan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44571</v>
      </c>
      <c r="E191" s="1" t="n">
        <v>46291</v>
      </c>
      <c r="F191" t="inlineStr">
        <is>
          <t>SÖDERMANLANDS LÄN</t>
        </is>
      </c>
      <c r="G191" t="inlineStr">
        <is>
          <t>ESKILSTUNA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46291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46291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46291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44915</v>
      </c>
      <c r="E195" s="1" t="n">
        <v>46291</v>
      </c>
      <c r="F195" t="inlineStr">
        <is>
          <t>SÖDERMANLANDS LÄN</t>
        </is>
      </c>
      <c r="G195" t="inlineStr">
        <is>
          <t>ESKILSTUNA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46291</v>
      </c>
      <c r="F196" t="inlineStr">
        <is>
          <t>SÖDERMANLANDS LÄN</t>
        </is>
      </c>
      <c r="G196" t="inlineStr">
        <is>
          <t>ESKILSTUNA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46291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46291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46291</v>
      </c>
      <c r="F199" t="inlineStr">
        <is>
          <t>SÖDERMANLANDS LÄN</t>
        </is>
      </c>
      <c r="G199" t="inlineStr">
        <is>
          <t>ESKILSTUNA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46291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Kyrkan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44918</v>
      </c>
      <c r="E201" s="1" t="n">
        <v>46291</v>
      </c>
      <c r="F201" t="inlineStr">
        <is>
          <t>SÖDERMANLANDS LÄN</t>
        </is>
      </c>
      <c r="G201" t="inlineStr">
        <is>
          <t>ESKILSTUNA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46291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46291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46291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46291</v>
      </c>
      <c r="F205" t="inlineStr">
        <is>
          <t>SÖDERMANLANDS LÄN</t>
        </is>
      </c>
      <c r="G205" t="inlineStr">
        <is>
          <t>ESKILSTUNA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46291</v>
      </c>
      <c r="F206" t="inlineStr">
        <is>
          <t>SÖDERMANLANDS LÄN</t>
        </is>
      </c>
      <c r="G206" t="inlineStr">
        <is>
          <t>ESKILSTUNA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51801-2025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45950</v>
      </c>
      <c r="E207" s="1" t="n">
        <v>46291</v>
      </c>
      <c r="F207" t="inlineStr">
        <is>
          <t>SÖDERMANLANDS LÄN</t>
        </is>
      </c>
      <c r="G207" t="inlineStr">
        <is>
          <t>ESKILSTUNA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46291</v>
      </c>
      <c r="F208" t="inlineStr">
        <is>
          <t>SÖDERMANLANDS LÄN</t>
        </is>
      </c>
      <c r="G208" t="inlineStr">
        <is>
          <t>ESKILSTUNA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46291</v>
      </c>
      <c r="F209" t="inlineStr">
        <is>
          <t>SÖDERMANLANDS LÄN</t>
        </is>
      </c>
      <c r="G209" t="inlineStr">
        <is>
          <t>ESKILSTUNA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46291</v>
      </c>
      <c r="F210" t="inlineStr">
        <is>
          <t>SÖDERMANLANDS LÄN</t>
        </is>
      </c>
      <c r="G210" t="inlineStr">
        <is>
          <t>ESKILSTUNA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16150-2025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45750</v>
      </c>
      <c r="E211" s="1" t="n">
        <v>46291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46291</v>
      </c>
      <c r="F212" t="inlineStr">
        <is>
          <t>SÖDERMANLANDS LÄN</t>
        </is>
      </c>
      <c r="G212" t="inlineStr">
        <is>
          <t>ESKILSTUNA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44616</v>
      </c>
      <c r="E213" s="1" t="n">
        <v>46291</v>
      </c>
      <c r="F213" t="inlineStr">
        <is>
          <t>SÖDERMANLANDS LÄN</t>
        </is>
      </c>
      <c r="G213" t="inlineStr">
        <is>
          <t>ESKILSTUNA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46291</v>
      </c>
      <c r="F214" t="inlineStr">
        <is>
          <t>SÖDERMANLANDS LÄN</t>
        </is>
      </c>
      <c r="G214" t="inlineStr">
        <is>
          <t>ESKILSTUNA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44617</v>
      </c>
      <c r="E215" s="1" t="n">
        <v>46291</v>
      </c>
      <c r="F215" t="inlineStr">
        <is>
          <t>SÖDERMANLANDS LÄN</t>
        </is>
      </c>
      <c r="G215" t="inlineStr">
        <is>
          <t>ESKILSTUNA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46291</v>
      </c>
      <c r="F216" t="inlineStr">
        <is>
          <t>SÖDERMANLANDS LÄN</t>
        </is>
      </c>
      <c r="G216" t="inlineStr">
        <is>
          <t>ESKILSTUNA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12547-2022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44638</v>
      </c>
      <c r="E217" s="1" t="n">
        <v>46291</v>
      </c>
      <c r="F217" t="inlineStr">
        <is>
          <t>SÖDERMANLANDS LÄN</t>
        </is>
      </c>
      <c r="G217" t="inlineStr">
        <is>
          <t>ESKILSTUNA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46291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46291</v>
      </c>
      <c r="F219" t="inlineStr">
        <is>
          <t>SÖDERMANLANDS LÄN</t>
        </is>
      </c>
      <c r="G219" t="inlineStr">
        <is>
          <t>ESKILSTUNA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46291</v>
      </c>
      <c r="F220" t="inlineStr">
        <is>
          <t>SÖDERMANLANDS LÄN</t>
        </is>
      </c>
      <c r="G220" t="inlineStr">
        <is>
          <t>ESKILSTUNA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46291</v>
      </c>
      <c r="F221" t="inlineStr">
        <is>
          <t>SÖDERMANLANDS LÄN</t>
        </is>
      </c>
      <c r="G221" t="inlineStr">
        <is>
          <t>ESKILSTUNA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46291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46291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Allmännings- och besparingsskogar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46291</v>
      </c>
      <c r="F224" t="inlineStr">
        <is>
          <t>SÖDERMANLANDS LÄN</t>
        </is>
      </c>
      <c r="G224" t="inlineStr">
        <is>
          <t>ESKILSTUNA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45266</v>
      </c>
      <c r="E225" s="1" t="n">
        <v>46291</v>
      </c>
      <c r="F225" t="inlineStr">
        <is>
          <t>SÖDERMANLANDS LÄN</t>
        </is>
      </c>
      <c r="G225" t="inlineStr">
        <is>
          <t>ESKILSTUNA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46291</v>
      </c>
      <c r="F226" t="inlineStr">
        <is>
          <t>SÖDERMANLANDS LÄN</t>
        </is>
      </c>
      <c r="G226" t="inlineStr">
        <is>
          <t>ESKILSTUNA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46291</v>
      </c>
      <c r="F227" t="inlineStr">
        <is>
          <t>SÖDERMANLANDS LÄN</t>
        </is>
      </c>
      <c r="G227" t="inlineStr">
        <is>
          <t>ESKILSTUNA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46291</v>
      </c>
      <c r="F228" t="inlineStr">
        <is>
          <t>SÖDERMANLANDS LÄN</t>
        </is>
      </c>
      <c r="G228" t="inlineStr">
        <is>
          <t>ESKILSTUNA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44956</v>
      </c>
      <c r="E229" s="1" t="n">
        <v>46291</v>
      </c>
      <c r="F229" t="inlineStr">
        <is>
          <t>SÖDERMANLANDS LÄN</t>
        </is>
      </c>
      <c r="G229" t="inlineStr">
        <is>
          <t>ESKILSTUNA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44698</v>
      </c>
      <c r="E230" s="1" t="n">
        <v>46291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46291</v>
      </c>
      <c r="F231" t="inlineStr">
        <is>
          <t>SÖDERMANLANDS LÄN</t>
        </is>
      </c>
      <c r="G231" t="inlineStr">
        <is>
          <t>ESKILSTUNA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46291</v>
      </c>
      <c r="F232" t="inlineStr">
        <is>
          <t>SÖDERMANLANDS LÄN</t>
        </is>
      </c>
      <c r="G232" t="inlineStr">
        <is>
          <t>ESKILSTUNA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44946</v>
      </c>
      <c r="E233" s="1" t="n">
        <v>46291</v>
      </c>
      <c r="F233" t="inlineStr">
        <is>
          <t>SÖDERMANLANDS LÄN</t>
        </is>
      </c>
      <c r="G233" t="inlineStr">
        <is>
          <t>ESKILSTUNA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46291</v>
      </c>
      <c r="F234" t="inlineStr">
        <is>
          <t>SÖDERMANLANDS LÄN</t>
        </is>
      </c>
      <c r="G234" t="inlineStr">
        <is>
          <t>ESKILSTUNA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46291</v>
      </c>
      <c r="F235" t="inlineStr">
        <is>
          <t>SÖDERMANLANDS LÄN</t>
        </is>
      </c>
      <c r="G235" t="inlineStr">
        <is>
          <t>ESKILSTUNA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46291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16131-2026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46291</v>
      </c>
      <c r="F237" t="inlineStr">
        <is>
          <t>SÖDERMANLANDS LÄN</t>
        </is>
      </c>
      <c r="G237" t="inlineStr">
        <is>
          <t>ESKILSTUNA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46291</v>
      </c>
      <c r="F238" t="inlineStr">
        <is>
          <t>SÖDERMANLANDS LÄN</t>
        </is>
      </c>
      <c r="G238" t="inlineStr">
        <is>
          <t>ESKILSTUNA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46291</v>
      </c>
      <c r="F239" t="inlineStr">
        <is>
          <t>SÖDERMANLANDS LÄN</t>
        </is>
      </c>
      <c r="G239" t="inlineStr">
        <is>
          <t>ESKILSTUNA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46291</v>
      </c>
      <c r="F240" t="inlineStr">
        <is>
          <t>SÖDERMANLANDS LÄN</t>
        </is>
      </c>
      <c r="G240" t="inlineStr">
        <is>
          <t>ESKILSTUNA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46291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46291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46291</v>
      </c>
      <c r="F243" t="inlineStr">
        <is>
          <t>SÖDERMANLANDS LÄN</t>
        </is>
      </c>
      <c r="G243" t="inlineStr">
        <is>
          <t>ESKILSTUNA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46291</v>
      </c>
      <c r="F244" t="inlineStr">
        <is>
          <t>SÖDERMANLANDS LÄN</t>
        </is>
      </c>
      <c r="G244" t="inlineStr">
        <is>
          <t>ESKILSTUNA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46291</v>
      </c>
      <c r="F245" t="inlineStr">
        <is>
          <t>SÖDERMANLANDS LÄN</t>
        </is>
      </c>
      <c r="G245" t="inlineStr">
        <is>
          <t>ESKILSTUNA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18105-2026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46291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44983</v>
      </c>
      <c r="E247" s="1" t="n">
        <v>46291</v>
      </c>
      <c r="F247" t="inlineStr">
        <is>
          <t>SÖDERMANLANDS LÄN</t>
        </is>
      </c>
      <c r="G247" t="inlineStr">
        <is>
          <t>ESKILSTUNA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46291</v>
      </c>
      <c r="F248" t="inlineStr">
        <is>
          <t>SÖDERMANLANDS LÄN</t>
        </is>
      </c>
      <c r="G248" t="inlineStr">
        <is>
          <t>ESKILSTUNA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45119</v>
      </c>
      <c r="E249" s="1" t="n">
        <v>46291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Sveaskog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46291</v>
      </c>
      <c r="F250" t="inlineStr">
        <is>
          <t>SÖDERMANLANDS LÄN</t>
        </is>
      </c>
      <c r="G250" t="inlineStr">
        <is>
          <t>ESKILSTUNA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45005</v>
      </c>
      <c r="E251" s="1" t="n">
        <v>46291</v>
      </c>
      <c r="F251" t="inlineStr">
        <is>
          <t>SÖDERMANLANDS LÄN</t>
        </is>
      </c>
      <c r="G251" t="inlineStr">
        <is>
          <t>ESKILSTUNA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45979</v>
      </c>
      <c r="E252" s="1" t="n">
        <v>46291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45979</v>
      </c>
      <c r="E253" s="1" t="n">
        <v>46291</v>
      </c>
      <c r="F253" t="inlineStr">
        <is>
          <t>SÖDERMANLANDS LÄN</t>
        </is>
      </c>
      <c r="G253" t="inlineStr">
        <is>
          <t>ESKILSTUNA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45979</v>
      </c>
      <c r="E254" s="1" t="n">
        <v>46291</v>
      </c>
      <c r="F254" t="inlineStr">
        <is>
          <t>SÖDERMANLANDS LÄN</t>
        </is>
      </c>
      <c r="G254" t="inlineStr">
        <is>
          <t>ESKILSTUNA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44741</v>
      </c>
      <c r="E255" s="1" t="n">
        <v>46291</v>
      </c>
      <c r="F255" t="inlineStr">
        <is>
          <t>SÖDERMANLANDS LÄN</t>
        </is>
      </c>
      <c r="G255" t="inlineStr">
        <is>
          <t>ESKILSTUNA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46291</v>
      </c>
      <c r="F256" t="inlineStr">
        <is>
          <t>SÖDERMANLANDS LÄN</t>
        </is>
      </c>
      <c r="G256" t="inlineStr">
        <is>
          <t>ESKILSTUNA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46291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65595-2021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44516</v>
      </c>
      <c r="E258" s="1" t="n">
        <v>46291</v>
      </c>
      <c r="F258" t="inlineStr">
        <is>
          <t>SÖDERMANLANDS LÄN</t>
        </is>
      </c>
      <c r="G258" t="inlineStr">
        <is>
          <t>ESKILSTUNA</t>
        </is>
      </c>
      <c r="I258" t="n">
        <v>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45833</v>
      </c>
      <c r="E259" s="1" t="n">
        <v>46291</v>
      </c>
      <c r="F259" t="inlineStr">
        <is>
          <t>SÖDERMANLANDS LÄN</t>
        </is>
      </c>
      <c r="G259" t="inlineStr">
        <is>
          <t>ESKILSTUNA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46291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46291</v>
      </c>
      <c r="F261" t="inlineStr">
        <is>
          <t>SÖDERMANLANDS LÄN</t>
        </is>
      </c>
      <c r="G261" t="inlineStr">
        <is>
          <t>ESKILSTUNA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46291</v>
      </c>
      <c r="F262" t="inlineStr">
        <is>
          <t>SÖDERMANLANDS LÄN</t>
        </is>
      </c>
      <c r="G262" t="inlineStr">
        <is>
          <t>ESKILSTUNA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38895-2023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45163</v>
      </c>
      <c r="E263" s="1" t="n">
        <v>46291</v>
      </c>
      <c r="F263" t="inlineStr">
        <is>
          <t>SÖDERMANLANDS LÄN</t>
        </is>
      </c>
      <c r="G263" t="inlineStr">
        <is>
          <t>ESKILSTUNA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46291</v>
      </c>
      <c r="F264" t="inlineStr">
        <is>
          <t>SÖDERMANLANDS LÄN</t>
        </is>
      </c>
      <c r="G264" t="inlineStr">
        <is>
          <t>ESKILSTUNA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44804</v>
      </c>
      <c r="E265" s="1" t="n">
        <v>46291</v>
      </c>
      <c r="F265" t="inlineStr">
        <is>
          <t>SÖDERMANLANDS LÄN</t>
        </is>
      </c>
      <c r="G265" t="inlineStr">
        <is>
          <t>ESKILSTUNA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45713</v>
      </c>
      <c r="E266" s="1" t="n">
        <v>46291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Allmännings- och besparingsskogar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46291</v>
      </c>
      <c r="F267" t="inlineStr">
        <is>
          <t>SÖDERMANLANDS LÄN</t>
        </is>
      </c>
      <c r="G267" t="inlineStr">
        <is>
          <t>ESKILSTUNA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46291</v>
      </c>
      <c r="F268" t="inlineStr">
        <is>
          <t>SÖDERMANLANDS LÄN</t>
        </is>
      </c>
      <c r="G268" t="inlineStr">
        <is>
          <t>ESKILSTUNA</t>
        </is>
      </c>
      <c r="I268" t="n">
        <v>19.9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44482</v>
      </c>
      <c r="E269" s="1" t="n">
        <v>46291</v>
      </c>
      <c r="F269" t="inlineStr">
        <is>
          <t>SÖDERMANLANDS LÄN</t>
        </is>
      </c>
      <c r="G269" t="inlineStr">
        <is>
          <t>ESKILSTUNA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46291</v>
      </c>
      <c r="F270" t="inlineStr">
        <is>
          <t>SÖDERMANLANDS LÄN</t>
        </is>
      </c>
      <c r="G270" t="inlineStr">
        <is>
          <t>ESKILSTUNA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50484-2025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45945</v>
      </c>
      <c r="E271" s="1" t="n">
        <v>46291</v>
      </c>
      <c r="F271" t="inlineStr">
        <is>
          <t>SÖDERMANLANDS LÄN</t>
        </is>
      </c>
      <c r="G271" t="inlineStr">
        <is>
          <t>ESKILSTUNA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46291</v>
      </c>
      <c r="F272" t="inlineStr">
        <is>
          <t>SÖDERMANLANDS LÄN</t>
        </is>
      </c>
      <c r="G272" t="inlineStr">
        <is>
          <t>ESKILSTUNA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44886</v>
      </c>
      <c r="E273" s="1" t="n">
        <v>46291</v>
      </c>
      <c r="F273" t="inlineStr">
        <is>
          <t>SÖDERMANLANDS LÄN</t>
        </is>
      </c>
      <c r="G273" t="inlineStr">
        <is>
          <t>ESKILSTUNA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68022-2021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46291</v>
      </c>
      <c r="F274" t="inlineStr">
        <is>
          <t>SÖDERMANLANDS LÄN</t>
        </is>
      </c>
      <c r="G274" t="inlineStr">
        <is>
          <t>ESKILSTUNA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30096-2025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45826</v>
      </c>
      <c r="E275" s="1" t="n">
        <v>46291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44473</v>
      </c>
      <c r="E276" s="1" t="n">
        <v>46291</v>
      </c>
      <c r="F276" t="inlineStr">
        <is>
          <t>SÖDERMANLANDS LÄN</t>
        </is>
      </c>
      <c r="G276" t="inlineStr">
        <is>
          <t>ESKILSTUNA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46291</v>
      </c>
      <c r="F277" t="inlineStr">
        <is>
          <t>SÖDERMANLANDS LÄN</t>
        </is>
      </c>
      <c r="G277" t="inlineStr">
        <is>
          <t>ESKILSTUNA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46291</v>
      </c>
      <c r="F278" t="inlineStr">
        <is>
          <t>SÖDERMANLANDS LÄN</t>
        </is>
      </c>
      <c r="G278" t="inlineStr">
        <is>
          <t>ESKILSTUNA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46291</v>
      </c>
      <c r="F279" t="inlineStr">
        <is>
          <t>SÖDERMANLANDS LÄN</t>
        </is>
      </c>
      <c r="G279" t="inlineStr">
        <is>
          <t>ESKILSTUNA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46291</v>
      </c>
      <c r="F280" t="inlineStr">
        <is>
          <t>SÖDERMANLANDS LÄN</t>
        </is>
      </c>
      <c r="G280" t="inlineStr">
        <is>
          <t>ESKILSTUNA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16391-2022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44671</v>
      </c>
      <c r="E281" s="1" t="n">
        <v>46291</v>
      </c>
      <c r="F281" t="inlineStr">
        <is>
          <t>SÖDERMANLANDS LÄN</t>
        </is>
      </c>
      <c r="G281" t="inlineStr">
        <is>
          <t>ESKILSTUNA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44701</v>
      </c>
      <c r="E282" s="1" t="n">
        <v>46291</v>
      </c>
      <c r="F282" t="inlineStr">
        <is>
          <t>SÖDERMANLANDS LÄN</t>
        </is>
      </c>
      <c r="G282" t="inlineStr">
        <is>
          <t>ESKILSTUNA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46291</v>
      </c>
      <c r="F283" t="inlineStr">
        <is>
          <t>SÖDERMANLANDS LÄN</t>
        </is>
      </c>
      <c r="G283" t="inlineStr">
        <is>
          <t>ESKILSTUNA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46291</v>
      </c>
      <c r="F284" t="inlineStr">
        <is>
          <t>SÖDERMANLANDS LÄN</t>
        </is>
      </c>
      <c r="G284" t="inlineStr">
        <is>
          <t>ESKILSTUNA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46291</v>
      </c>
      <c r="F285" t="inlineStr">
        <is>
          <t>SÖDERMANLANDS LÄN</t>
        </is>
      </c>
      <c r="G285" t="inlineStr">
        <is>
          <t>ESKILSTUNA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46291</v>
      </c>
      <c r="F286" t="inlineStr">
        <is>
          <t>SÖDERMANLANDS LÄN</t>
        </is>
      </c>
      <c r="G286" t="inlineStr">
        <is>
          <t>ESKILSTUNA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46291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45267</v>
      </c>
      <c r="E288" s="1" t="n">
        <v>46291</v>
      </c>
      <c r="F288" t="inlineStr">
        <is>
          <t>SÖDERMANLANDS LÄN</t>
        </is>
      </c>
      <c r="G288" t="inlineStr">
        <is>
          <t>ESKILSTUNA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46291</v>
      </c>
      <c r="F289" t="inlineStr">
        <is>
          <t>SÖDERMANLANDS LÄN</t>
        </is>
      </c>
      <c r="G289" t="inlineStr">
        <is>
          <t>ESKILSTUNA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47581-2024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46291</v>
      </c>
      <c r="F290" t="inlineStr">
        <is>
          <t>SÖDERMANLANDS LÄN</t>
        </is>
      </c>
      <c r="G290" t="inlineStr">
        <is>
          <t>ESKILSTUNA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65614-2021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44516</v>
      </c>
      <c r="E291" s="1" t="n">
        <v>46291</v>
      </c>
      <c r="F291" t="inlineStr">
        <is>
          <t>SÖDERMANLANDS LÄN</t>
        </is>
      </c>
      <c r="G291" t="inlineStr">
        <is>
          <t>ESKILSTUNA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46291</v>
      </c>
      <c r="F292" t="inlineStr">
        <is>
          <t>SÖDERMANLANDS LÄN</t>
        </is>
      </c>
      <c r="G292" t="inlineStr">
        <is>
          <t>ESKILSTUNA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55800-2022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46291</v>
      </c>
      <c r="F293" t="inlineStr">
        <is>
          <t>SÖDERMANLANDS LÄN</t>
        </is>
      </c>
      <c r="G293" t="inlineStr">
        <is>
          <t>ESKILSTUNA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44865</v>
      </c>
      <c r="E294" s="1" t="n">
        <v>46291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46291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46291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44664</v>
      </c>
      <c r="E297" s="1" t="n">
        <v>46291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Allmännings- och besparingsskogar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44729</v>
      </c>
      <c r="E298" s="1" t="n">
        <v>46291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45211</v>
      </c>
      <c r="E299" s="1" t="n">
        <v>46291</v>
      </c>
      <c r="F299" t="inlineStr">
        <is>
          <t>SÖDERMANLANDS LÄN</t>
        </is>
      </c>
      <c r="G299" t="inlineStr">
        <is>
          <t>ESKILSTUNA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16339-2024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46291</v>
      </c>
      <c r="F300" t="inlineStr">
        <is>
          <t>SÖDERMANLANDS LÄN</t>
        </is>
      </c>
      <c r="G300" t="inlineStr">
        <is>
          <t>ESKILSTUNA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46157</v>
      </c>
      <c r="E301" s="1" t="n">
        <v>46291</v>
      </c>
      <c r="F301" t="inlineStr">
        <is>
          <t>SÖDERMANLANDS LÄN</t>
        </is>
      </c>
      <c r="G301" t="inlineStr">
        <is>
          <t>ESKILSTUNA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46291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45056</v>
      </c>
      <c r="E303" s="1" t="n">
        <v>46291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45079</v>
      </c>
      <c r="E304" s="1" t="n">
        <v>46291</v>
      </c>
      <c r="F304" t="inlineStr">
        <is>
          <t>SÖDERMANLANDS LÄN</t>
        </is>
      </c>
      <c r="G304" t="inlineStr">
        <is>
          <t>ESKILSTUNA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9711-2025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45715</v>
      </c>
      <c r="E305" s="1" t="n">
        <v>46291</v>
      </c>
      <c r="F305" t="inlineStr">
        <is>
          <t>SÖDERMANLANDS LÄN</t>
        </is>
      </c>
      <c r="G305" t="inlineStr">
        <is>
          <t>ESKILSTUNA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46291</v>
      </c>
      <c r="F306" t="inlineStr">
        <is>
          <t>SÖDERMANLANDS LÄN</t>
        </is>
      </c>
      <c r="G306" t="inlineStr">
        <is>
          <t>ESKILSTUNA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46291</v>
      </c>
      <c r="F307" t="inlineStr">
        <is>
          <t>SÖDERMANLANDS LÄN</t>
        </is>
      </c>
      <c r="G307" t="inlineStr">
        <is>
          <t>ESKILSTUNA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52203-2025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45953</v>
      </c>
      <c r="E308" s="1" t="n">
        <v>46291</v>
      </c>
      <c r="F308" t="inlineStr">
        <is>
          <t>SÖDERMANLANDS LÄN</t>
        </is>
      </c>
      <c r="G308" t="inlineStr">
        <is>
          <t>ESKILSTUNA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46291</v>
      </c>
      <c r="F309" t="inlineStr">
        <is>
          <t>SÖDERMANLANDS LÄN</t>
        </is>
      </c>
      <c r="G309" t="inlineStr">
        <is>
          <t>ESKILSTUNA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45694</v>
      </c>
      <c r="E310" s="1" t="n">
        <v>46291</v>
      </c>
      <c r="F310" t="inlineStr">
        <is>
          <t>SÖDERMANLANDS LÄN</t>
        </is>
      </c>
      <c r="G310" t="inlineStr">
        <is>
          <t>ESKILSTUNA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44490</v>
      </c>
      <c r="E311" s="1" t="n">
        <v>46291</v>
      </c>
      <c r="F311" t="inlineStr">
        <is>
          <t>SÖDERMANLANDS LÄN</t>
        </is>
      </c>
      <c r="G311" t="inlineStr">
        <is>
          <t>ESKILSTUNA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46291</v>
      </c>
      <c r="F312" t="inlineStr">
        <is>
          <t>SÖDERMANLANDS LÄN</t>
        </is>
      </c>
      <c r="G312" t="inlineStr">
        <is>
          <t>ESKILSTUNA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46291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57538-2022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44889</v>
      </c>
      <c r="E314" s="1" t="n">
        <v>46291</v>
      </c>
      <c r="F314" t="inlineStr">
        <is>
          <t>SÖDERMANLANDS LÄN</t>
        </is>
      </c>
      <c r="G314" t="inlineStr">
        <is>
          <t>ESKILSTUNA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46291</v>
      </c>
      <c r="F315" t="inlineStr">
        <is>
          <t>SÖDERMANLANDS LÄN</t>
        </is>
      </c>
      <c r="G315" t="inlineStr">
        <is>
          <t>ESKILSTUNA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46291</v>
      </c>
      <c r="F316" t="inlineStr">
        <is>
          <t>SÖDERMANLANDS LÄN</t>
        </is>
      </c>
      <c r="G316" t="inlineStr">
        <is>
          <t>ESKILSTUNA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46291</v>
      </c>
      <c r="F317" t="inlineStr">
        <is>
          <t>SÖDERMANLANDS LÄN</t>
        </is>
      </c>
      <c r="G317" t="inlineStr">
        <is>
          <t>ESKILSTUNA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52221-2025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46291</v>
      </c>
      <c r="F318" t="inlineStr">
        <is>
          <t>SÖDERMANLANDS LÄN</t>
        </is>
      </c>
      <c r="G318" t="inlineStr">
        <is>
          <t>ESKILSTUNA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45974</v>
      </c>
      <c r="E319" s="1" t="n">
        <v>46291</v>
      </c>
      <c r="F319" t="inlineStr">
        <is>
          <t>SÖDERMANLANDS LÄN</t>
        </is>
      </c>
      <c r="G319" t="inlineStr">
        <is>
          <t>ESKILSTUNA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61170-2021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44497</v>
      </c>
      <c r="E320" s="1" t="n">
        <v>46291</v>
      </c>
      <c r="F320" t="inlineStr">
        <is>
          <t>SÖDERMANLANDS LÄN</t>
        </is>
      </c>
      <c r="G320" t="inlineStr">
        <is>
          <t>ESKILSTUNA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46291</v>
      </c>
      <c r="F321" t="inlineStr">
        <is>
          <t>SÖDERMANLANDS LÄN</t>
        </is>
      </c>
      <c r="G321" t="inlineStr">
        <is>
          <t>ESKILSTUNA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46291</v>
      </c>
      <c r="F322" t="inlineStr">
        <is>
          <t>SÖDERMANLANDS LÄN</t>
        </is>
      </c>
      <c r="G322" t="inlineStr">
        <is>
          <t>ESKILSTUNA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46291</v>
      </c>
      <c r="F323" t="inlineStr">
        <is>
          <t>SÖDERMANLANDS LÄN</t>
        </is>
      </c>
      <c r="G323" t="inlineStr">
        <is>
          <t>ESKILSTUNA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46291</v>
      </c>
      <c r="F324" t="inlineStr">
        <is>
          <t>SÖDERMANLANDS LÄN</t>
        </is>
      </c>
      <c r="G324" t="inlineStr">
        <is>
          <t>ESKILSTUNA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1340-2024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45303</v>
      </c>
      <c r="E325" s="1" t="n">
        <v>46291</v>
      </c>
      <c r="F325" t="inlineStr">
        <is>
          <t>SÖDERMANLANDS LÄN</t>
        </is>
      </c>
      <c r="G325" t="inlineStr">
        <is>
          <t>ESKILSTUNA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46291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Övriga Aktiebolag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46291</v>
      </c>
      <c r="F327" t="inlineStr">
        <is>
          <t>SÖDERMANLANDS LÄN</t>
        </is>
      </c>
      <c r="G327" t="inlineStr">
        <is>
          <t>ESKILSTUNA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13849-2023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45007</v>
      </c>
      <c r="E328" s="1" t="n">
        <v>46291</v>
      </c>
      <c r="F328" t="inlineStr">
        <is>
          <t>SÖDERMANLANDS LÄN</t>
        </is>
      </c>
      <c r="G328" t="inlineStr">
        <is>
          <t>ESKILSTUNA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46291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46291</v>
      </c>
      <c r="F330" t="inlineStr">
        <is>
          <t>SÖDERMANLANDS LÄN</t>
        </is>
      </c>
      <c r="G330" t="inlineStr">
        <is>
          <t>ESKILSTUNA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46291</v>
      </c>
      <c r="F331" t="inlineStr">
        <is>
          <t>SÖDERMANLANDS LÄN</t>
        </is>
      </c>
      <c r="G331" t="inlineStr">
        <is>
          <t>ESKILSTUNA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70265-2021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46291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46291</v>
      </c>
      <c r="F333" t="inlineStr">
        <is>
          <t>SÖDERMANLANDS LÄN</t>
        </is>
      </c>
      <c r="G333" t="inlineStr">
        <is>
          <t>ESKILSTUNA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46608-2024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45582</v>
      </c>
      <c r="E334" s="1" t="n">
        <v>46291</v>
      </c>
      <c r="F334" t="inlineStr">
        <is>
          <t>SÖDERMANLANDS LÄN</t>
        </is>
      </c>
      <c r="G334" t="inlineStr">
        <is>
          <t>ESKILSTUNA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68020-2021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44525</v>
      </c>
      <c r="E335" s="1" t="n">
        <v>46291</v>
      </c>
      <c r="F335" t="inlineStr">
        <is>
          <t>SÖDERMANLANDS LÄN</t>
        </is>
      </c>
      <c r="G335" t="inlineStr">
        <is>
          <t>ESKILSTUNA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45460</v>
      </c>
      <c r="E336" s="1" t="n">
        <v>46291</v>
      </c>
      <c r="F336" t="inlineStr">
        <is>
          <t>SÖDERMANLANDS LÄN</t>
        </is>
      </c>
      <c r="G336" t="inlineStr">
        <is>
          <t>ESKILSTUNA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46291</v>
      </c>
      <c r="F337" t="inlineStr">
        <is>
          <t>SÖDERMANLANDS LÄN</t>
        </is>
      </c>
      <c r="G337" t="inlineStr">
        <is>
          <t>ESKILSTUNA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46291</v>
      </c>
      <c r="F338" t="inlineStr">
        <is>
          <t>SÖDERMANLANDS LÄN</t>
        </is>
      </c>
      <c r="G338" t="inlineStr">
        <is>
          <t>ESKILSTUNA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46291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Kyrkan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46291</v>
      </c>
      <c r="F340" t="inlineStr">
        <is>
          <t>SÖDERMANLANDS LÄN</t>
        </is>
      </c>
      <c r="G340" t="inlineStr">
        <is>
          <t>ESKILSTUNA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27779-2026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46191</v>
      </c>
      <c r="E341" s="1" t="n">
        <v>46291</v>
      </c>
      <c r="F341" t="inlineStr">
        <is>
          <t>SÖDERMANLANDS LÄN</t>
        </is>
      </c>
      <c r="G341" t="inlineStr">
        <is>
          <t>ESKILSTUNA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46291</v>
      </c>
      <c r="F342" t="inlineStr">
        <is>
          <t>SÖDERMANLANDS LÄN</t>
        </is>
      </c>
      <c r="G342" t="inlineStr">
        <is>
          <t>ESKILSTUNA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37147-2025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45875</v>
      </c>
      <c r="E343" s="1" t="n">
        <v>46291</v>
      </c>
      <c r="F343" t="inlineStr">
        <is>
          <t>SÖDERMANLANDS LÄN</t>
        </is>
      </c>
      <c r="G343" t="inlineStr">
        <is>
          <t>ESKILSTUNA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46291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29053-2026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46199</v>
      </c>
      <c r="E345" s="1" t="n">
        <v>46291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46291</v>
      </c>
      <c r="F346" t="inlineStr">
        <is>
          <t>SÖDERMANLANDS LÄN</t>
        </is>
      </c>
      <c r="G346" t="inlineStr">
        <is>
          <t>ESKILSTUNA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46291</v>
      </c>
      <c r="F347" t="inlineStr">
        <is>
          <t>SÖDERMANLANDS LÄN</t>
        </is>
      </c>
      <c r="G347" t="inlineStr">
        <is>
          <t>ESKILSTUNA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44626</v>
      </c>
      <c r="E348" s="1" t="n">
        <v>46291</v>
      </c>
      <c r="F348" t="inlineStr">
        <is>
          <t>SÖDERMANLANDS LÄN</t>
        </is>
      </c>
      <c r="G348" t="inlineStr">
        <is>
          <t>ESKILSTUNA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29051-2026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46199</v>
      </c>
      <c r="E349" s="1" t="n">
        <v>46291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44927-2023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45190</v>
      </c>
      <c r="E350" s="1" t="n">
        <v>46291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45435</v>
      </c>
      <c r="E351" s="1" t="n">
        <v>46291</v>
      </c>
      <c r="F351" t="inlineStr">
        <is>
          <t>SÖDERMANLANDS LÄN</t>
        </is>
      </c>
      <c r="G351" t="inlineStr">
        <is>
          <t>ESKILSTUNA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22605-2023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45071</v>
      </c>
      <c r="E352" s="1" t="n">
        <v>46291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Kyrkan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46291</v>
      </c>
      <c r="F353" t="inlineStr">
        <is>
          <t>SÖDERMANLANDS LÄN</t>
        </is>
      </c>
      <c r="G353" t="inlineStr">
        <is>
          <t>ESKILSTUNA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46291</v>
      </c>
      <c r="F354" t="inlineStr">
        <is>
          <t>SÖDERMANLANDS LÄN</t>
        </is>
      </c>
      <c r="G354" t="inlineStr">
        <is>
          <t>ESKILSTUNA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59276-2021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46291</v>
      </c>
      <c r="F355" t="inlineStr">
        <is>
          <t>SÖDERMANLANDS LÄN</t>
        </is>
      </c>
      <c r="G355" t="inlineStr">
        <is>
          <t>ESKILSTUNA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44572</v>
      </c>
      <c r="E356" s="1" t="n">
        <v>46291</v>
      </c>
      <c r="F356" t="inlineStr">
        <is>
          <t>SÖDERMANLANDS LÄN</t>
        </is>
      </c>
      <c r="G356" t="inlineStr">
        <is>
          <t>ESKILSTUNA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22767-2026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46157</v>
      </c>
      <c r="E357" s="1" t="n">
        <v>46291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7406-2022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44606</v>
      </c>
      <c r="E358" s="1" t="n">
        <v>46291</v>
      </c>
      <c r="F358" t="inlineStr">
        <is>
          <t>SÖDERMANLANDS LÄN</t>
        </is>
      </c>
      <c r="G358" t="inlineStr">
        <is>
          <t>ESKILSTUNA</t>
        </is>
      </c>
      <c r="H358" t="inlineStr">
        <is>
          <t>Kyrkan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46291</v>
      </c>
      <c r="F359" t="inlineStr">
        <is>
          <t>SÖDERMANLANDS LÄN</t>
        </is>
      </c>
      <c r="G359" t="inlineStr">
        <is>
          <t>ESKILSTUNA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45643</v>
      </c>
      <c r="E360" s="1" t="n">
        <v>46291</v>
      </c>
      <c r="F360" t="inlineStr">
        <is>
          <t>SÖDERMANLANDS LÄN</t>
        </is>
      </c>
      <c r="G360" t="inlineStr">
        <is>
          <t>ESKILSTUNA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45387</v>
      </c>
      <c r="E361" s="1" t="n">
        <v>46291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Kyrkan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46291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46291</v>
      </c>
      <c r="F363" t="inlineStr">
        <is>
          <t>SÖDERMANLANDS LÄN</t>
        </is>
      </c>
      <c r="G363" t="inlineStr">
        <is>
          <t>ESKILSTUNA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30963-2026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46213</v>
      </c>
      <c r="E364" s="1" t="n">
        <v>46291</v>
      </c>
      <c r="F364" t="inlineStr">
        <is>
          <t>SÖDERMANLANDS LÄN</t>
        </is>
      </c>
      <c r="G364" t="inlineStr">
        <is>
          <t>ESKILSTUNA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46291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Allmännings- och besparingsskogar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46254</v>
      </c>
      <c r="E366" s="1" t="n">
        <v>46291</v>
      </c>
      <c r="F366" t="inlineStr">
        <is>
          <t>SÖDERMANLANDS LÄN</t>
        </is>
      </c>
      <c r="G366" t="inlineStr">
        <is>
          <t>ESKILSTUNA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46291</v>
      </c>
      <c r="F367" t="inlineStr">
        <is>
          <t>SÖDERMANLANDS LÄN</t>
        </is>
      </c>
      <c r="G367" t="inlineStr">
        <is>
          <t>ESKILSTUNA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31131-2026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46216</v>
      </c>
      <c r="E368" s="1" t="n">
        <v>46291</v>
      </c>
      <c r="F368" t="inlineStr">
        <is>
          <t>SÖDERMANLANDS LÄN</t>
        </is>
      </c>
      <c r="G368" t="inlineStr">
        <is>
          <t>ESKILSTUNA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46291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31203-2026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46217</v>
      </c>
      <c r="E370" s="1" t="n">
        <v>46291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46216</v>
      </c>
      <c r="E371" s="1" t="n">
        <v>46291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44886</v>
      </c>
      <c r="E372" s="1" t="n">
        <v>46291</v>
      </c>
      <c r="F372" t="inlineStr">
        <is>
          <t>SÖDERMANLANDS LÄN</t>
        </is>
      </c>
      <c r="G372" t="inlineStr">
        <is>
          <t>ESKILSTUNA</t>
        </is>
      </c>
      <c r="I372" t="n">
        <v>15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46291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15.8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45237</v>
      </c>
      <c r="E374" s="1" t="n">
        <v>46291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4200-2025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45685</v>
      </c>
      <c r="E375" s="1" t="n">
        <v>46291</v>
      </c>
      <c r="F375" t="inlineStr">
        <is>
          <t>SÖDERMANLANDS LÄN</t>
        </is>
      </c>
      <c r="G375" t="inlineStr">
        <is>
          <t>ESKILSTUNA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46219</v>
      </c>
      <c r="E376" s="1" t="n">
        <v>46291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44664</v>
      </c>
      <c r="E377" s="1" t="n">
        <v>46291</v>
      </c>
      <c r="F377" t="inlineStr">
        <is>
          <t>SÖDERMANLANDS LÄN</t>
        </is>
      </c>
      <c r="G377" t="inlineStr">
        <is>
          <t>ESKILSTUNA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45723</v>
      </c>
      <c r="E378" s="1" t="n">
        <v>46291</v>
      </c>
      <c r="F378" t="inlineStr">
        <is>
          <t>SÖDERMANLANDS LÄN</t>
        </is>
      </c>
      <c r="G378" t="inlineStr">
        <is>
          <t>ESKILSTUNA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46291</v>
      </c>
      <c r="F379" t="inlineStr">
        <is>
          <t>SÖDERMANLANDS LÄN</t>
        </is>
      </c>
      <c r="G379" t="inlineStr">
        <is>
          <t>ESKILSTUNA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25229-2022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44729</v>
      </c>
      <c r="E380" s="1" t="n">
        <v>46291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61831-2023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45266</v>
      </c>
      <c r="E381" s="1" t="n">
        <v>46291</v>
      </c>
      <c r="F381" t="inlineStr">
        <is>
          <t>SÖDERMANLANDS LÄN</t>
        </is>
      </c>
      <c r="G381" t="inlineStr">
        <is>
          <t>ESKILSTUNA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44749</v>
      </c>
      <c r="E382" s="1" t="n">
        <v>46291</v>
      </c>
      <c r="F382" t="inlineStr">
        <is>
          <t>SÖDERMANLANDS LÄN</t>
        </is>
      </c>
      <c r="G382" t="inlineStr">
        <is>
          <t>ESKILSTUNA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1330-2024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45303</v>
      </c>
      <c r="E383" s="1" t="n">
        <v>46291</v>
      </c>
      <c r="F383" t="inlineStr">
        <is>
          <t>SÖDERMANLANDS LÄN</t>
        </is>
      </c>
      <c r="G383" t="inlineStr">
        <is>
          <t>ESKILSTUNA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1334-2024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45303</v>
      </c>
      <c r="E384" s="1" t="n">
        <v>46291</v>
      </c>
      <c r="F384" t="inlineStr">
        <is>
          <t>SÖDERMANLANDS LÄN</t>
        </is>
      </c>
      <c r="G384" t="inlineStr">
        <is>
          <t>ESKILSTUNA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37769-2023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45159</v>
      </c>
      <c r="E385" s="1" t="n">
        <v>46291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Kommuner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44755</v>
      </c>
      <c r="E386" s="1" t="n">
        <v>46291</v>
      </c>
      <c r="F386" t="inlineStr">
        <is>
          <t>SÖDERMANLANDS LÄN</t>
        </is>
      </c>
      <c r="G386" t="inlineStr">
        <is>
          <t>ESKILSTUNA</t>
        </is>
      </c>
      <c r="I386" t="n">
        <v>20.1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45715</v>
      </c>
      <c r="E387" s="1" t="n">
        <v>46291</v>
      </c>
      <c r="F387" t="inlineStr">
        <is>
          <t>SÖDERMANLANDS LÄN</t>
        </is>
      </c>
      <c r="G387" t="inlineStr">
        <is>
          <t>ESKILSTUNA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30968-2022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44768</v>
      </c>
      <c r="E388" s="1" t="n">
        <v>46291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Sveaskog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46291</v>
      </c>
      <c r="F389" t="inlineStr">
        <is>
          <t>SÖDERMANLANDS LÄN</t>
        </is>
      </c>
      <c r="G389" t="inlineStr">
        <is>
          <t>ESKILSTUNA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46291</v>
      </c>
      <c r="F390" t="inlineStr">
        <is>
          <t>SÖDERMANLANDS LÄN</t>
        </is>
      </c>
      <c r="G390" t="inlineStr">
        <is>
          <t>ESKILSTUNA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44804</v>
      </c>
      <c r="E391" s="1" t="n">
        <v>46291</v>
      </c>
      <c r="F391" t="inlineStr">
        <is>
          <t>SÖDERMANLANDS LÄN</t>
        </is>
      </c>
      <c r="G391" t="inlineStr">
        <is>
          <t>ESKILSTUNA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61861-2022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44917</v>
      </c>
      <c r="E392" s="1" t="n">
        <v>46291</v>
      </c>
      <c r="F392" t="inlineStr">
        <is>
          <t>SÖDERMANLANDS LÄN</t>
        </is>
      </c>
      <c r="G392" t="inlineStr">
        <is>
          <t>ESKILSTUNA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46092</v>
      </c>
      <c r="E393" s="1" t="n">
        <v>46291</v>
      </c>
      <c r="F393" t="inlineStr">
        <is>
          <t>SÖDERMANLANDS LÄN</t>
        </is>
      </c>
      <c r="G393" t="inlineStr">
        <is>
          <t>ESKILSTUNA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46291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Kommuner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61830-2023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45266</v>
      </c>
      <c r="E395" s="1" t="n">
        <v>46291</v>
      </c>
      <c r="F395" t="inlineStr">
        <is>
          <t>SÖDERMANLANDS LÄN</t>
        </is>
      </c>
      <c r="G395" t="inlineStr">
        <is>
          <t>ESKILSTUNA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46291</v>
      </c>
      <c r="F396" t="inlineStr">
        <is>
          <t>SÖDERMANLANDS LÄN</t>
        </is>
      </c>
      <c r="G396" t="inlineStr">
        <is>
          <t>ESKILSTUNA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45537</v>
      </c>
      <c r="E397" s="1" t="n">
        <v>46291</v>
      </c>
      <c r="F397" t="inlineStr">
        <is>
          <t>SÖDERMANLANDS LÄN</t>
        </is>
      </c>
      <c r="G397" t="inlineStr">
        <is>
          <t>ESKILSTUNA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3341-2022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44582</v>
      </c>
      <c r="E398" s="1" t="n">
        <v>46291</v>
      </c>
      <c r="F398" t="inlineStr">
        <is>
          <t>SÖDERMANLANDS LÄN</t>
        </is>
      </c>
      <c r="G398" t="inlineStr">
        <is>
          <t>ESKILSTUNA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46291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Sveaskog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36142-2022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44803</v>
      </c>
      <c r="E400" s="1" t="n">
        <v>46291</v>
      </c>
      <c r="F400" t="inlineStr">
        <is>
          <t>SÖDERMANLANDS LÄN</t>
        </is>
      </c>
      <c r="G400" t="inlineStr">
        <is>
          <t>ESKILSTUNA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44803</v>
      </c>
      <c r="E401" s="1" t="n">
        <v>46291</v>
      </c>
      <c r="F401" t="inlineStr">
        <is>
          <t>SÖDERMANLANDS LÄN</t>
        </is>
      </c>
      <c r="G401" t="inlineStr">
        <is>
          <t>ESKILSTUNA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70613-2021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46291</v>
      </c>
      <c r="F402" t="inlineStr">
        <is>
          <t>SÖDERMANLANDS LÄN</t>
        </is>
      </c>
      <c r="G402" t="inlineStr">
        <is>
          <t>ESKILSTUNA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46291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46238</v>
      </c>
      <c r="E404" s="1" t="n">
        <v>46291</v>
      </c>
      <c r="F404" t="inlineStr">
        <is>
          <t>SÖDERMANLANDS LÄN</t>
        </is>
      </c>
      <c r="G404" t="inlineStr">
        <is>
          <t>ESKILSTUNA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46291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46239</v>
      </c>
      <c r="E406" s="1" t="n">
        <v>46291</v>
      </c>
      <c r="F406" t="inlineStr">
        <is>
          <t>SÖDERMANLANDS LÄN</t>
        </is>
      </c>
      <c r="G406" t="inlineStr">
        <is>
          <t>ESKILSTUNA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44615-2022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44839</v>
      </c>
      <c r="E407" s="1" t="n">
        <v>46291</v>
      </c>
      <c r="F407" t="inlineStr">
        <is>
          <t>SÖDERMANLANDS LÄN</t>
        </is>
      </c>
      <c r="G407" t="inlineStr">
        <is>
          <t>ESKILSTUNA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45763</v>
      </c>
      <c r="E408" s="1" t="n">
        <v>46291</v>
      </c>
      <c r="F408" t="inlineStr">
        <is>
          <t>SÖDERMANLANDS LÄN</t>
        </is>
      </c>
      <c r="G408" t="inlineStr">
        <is>
          <t>ESKILSTUNA</t>
        </is>
      </c>
      <c r="I408" t="n">
        <v>15.6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46241</v>
      </c>
      <c r="E409" s="1" t="n">
        <v>46291</v>
      </c>
      <c r="F409" t="inlineStr">
        <is>
          <t>SÖDERMANLANDS LÄN</t>
        </is>
      </c>
      <c r="G409" t="inlineStr">
        <is>
          <t>ESKILSTUNA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53374-2022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44874</v>
      </c>
      <c r="E410" s="1" t="n">
        <v>46291</v>
      </c>
      <c r="F410" t="inlineStr">
        <is>
          <t>SÖDERMANLANDS LÄN</t>
        </is>
      </c>
      <c r="G410" t="inlineStr">
        <is>
          <t>ESKILSTUNA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44938</v>
      </c>
      <c r="E411" s="1" t="n">
        <v>46291</v>
      </c>
      <c r="F411" t="inlineStr">
        <is>
          <t>SÖDERMANLANDS LÄN</t>
        </is>
      </c>
      <c r="G411" t="inlineStr">
        <is>
          <t>ESKILSTUNA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46291</v>
      </c>
      <c r="F412" t="inlineStr">
        <is>
          <t>SÖDERMANLANDS LÄN</t>
        </is>
      </c>
      <c r="G412" t="inlineStr">
        <is>
          <t>ESKILSTUNA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46291</v>
      </c>
      <c r="F413" t="inlineStr">
        <is>
          <t>SÖDERMANLANDS LÄN</t>
        </is>
      </c>
      <c r="G413" t="inlineStr">
        <is>
          <t>ESKILSTUNA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46291</v>
      </c>
      <c r="F414" t="inlineStr">
        <is>
          <t>SÖDERMANLANDS LÄN</t>
        </is>
      </c>
      <c r="G414" t="inlineStr">
        <is>
          <t>ESKILSTUNA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46244</v>
      </c>
      <c r="E415" s="1" t="n">
        <v>46291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Kommuner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45103</v>
      </c>
      <c r="E416" s="1" t="n">
        <v>46291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39153-2026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46291</v>
      </c>
      <c r="F417" t="inlineStr">
        <is>
          <t>SÖDERMANLANDS LÄN</t>
        </is>
      </c>
      <c r="G417" t="inlineStr">
        <is>
          <t>ESKILSTUNA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13385-2023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45005</v>
      </c>
      <c r="E418" s="1" t="n">
        <v>46291</v>
      </c>
      <c r="F418" t="inlineStr">
        <is>
          <t>SÖDERMANLANDS LÄN</t>
        </is>
      </c>
      <c r="G418" t="inlineStr">
        <is>
          <t>ESKILSTUNA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39291-2023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46291</v>
      </c>
      <c r="F419" t="inlineStr">
        <is>
          <t>SÖDERMANLANDS LÄN</t>
        </is>
      </c>
      <c r="G419" t="inlineStr">
        <is>
          <t>ESKILSTUNA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46291</v>
      </c>
      <c r="F420" t="inlineStr">
        <is>
          <t>SÖDERMANLANDS LÄN</t>
        </is>
      </c>
      <c r="G420" t="inlineStr">
        <is>
          <t>ESKILSTUNA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46291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46291</v>
      </c>
      <c r="F422" t="inlineStr">
        <is>
          <t>SÖDERMANLANDS LÄN</t>
        </is>
      </c>
      <c r="G422" t="inlineStr">
        <is>
          <t>ESKILSTUNA</t>
        </is>
      </c>
      <c r="I422" t="n">
        <v>11.6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53476-2021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44468</v>
      </c>
      <c r="E423" s="1" t="n">
        <v>46291</v>
      </c>
      <c r="F423" t="inlineStr">
        <is>
          <t>SÖDERMANLANDS LÄN</t>
        </is>
      </c>
      <c r="G423" t="inlineStr">
        <is>
          <t>ESKILSTUNA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46291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Övriga Aktiebolag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21133-2023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46291</v>
      </c>
      <c r="F425" t="inlineStr">
        <is>
          <t>SÖDERMANLANDS LÄN</t>
        </is>
      </c>
      <c r="G425" t="inlineStr">
        <is>
          <t>ESKILSTUNA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39700-2026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46289</v>
      </c>
      <c r="E426" s="1" t="n">
        <v>46291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13626-2023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45006</v>
      </c>
      <c r="E427" s="1" t="n">
        <v>46291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46291</v>
      </c>
      <c r="F428" t="inlineStr">
        <is>
          <t>SÖDERMANLANDS LÄN</t>
        </is>
      </c>
      <c r="G428" t="inlineStr">
        <is>
          <t>ESKILSTUNA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46291</v>
      </c>
      <c r="F429" t="inlineStr">
        <is>
          <t>SÖDERMANLANDS LÄN</t>
        </is>
      </c>
      <c r="G429" t="inlineStr">
        <is>
          <t>ESKILSTUNA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45004</v>
      </c>
      <c r="E430" s="1" t="n">
        <v>46291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46872-2022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44851</v>
      </c>
      <c r="E431" s="1" t="n">
        <v>46291</v>
      </c>
      <c r="F431" t="inlineStr">
        <is>
          <t>SÖDERMANLANDS LÄN</t>
        </is>
      </c>
      <c r="G431" t="inlineStr">
        <is>
          <t>ESKILSTUNA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46291</v>
      </c>
      <c r="F432" t="inlineStr">
        <is>
          <t>SÖDERMANLANDS LÄN</t>
        </is>
      </c>
      <c r="G432" t="inlineStr">
        <is>
          <t>ESKILSTUNA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44729</v>
      </c>
      <c r="E433" s="1" t="n">
        <v>46291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46291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46291</v>
      </c>
      <c r="F435" t="inlineStr">
        <is>
          <t>SÖDERMANLANDS LÄN</t>
        </is>
      </c>
      <c r="G435" t="inlineStr">
        <is>
          <t>ESKILSTUNA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44889</v>
      </c>
      <c r="E436" s="1" t="n">
        <v>46291</v>
      </c>
      <c r="F436" t="inlineStr">
        <is>
          <t>SÖDERMANLANDS LÄN</t>
        </is>
      </c>
      <c r="G436" t="inlineStr">
        <is>
          <t>ESKILSTUNA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46291</v>
      </c>
      <c r="F437" t="inlineStr">
        <is>
          <t>SÖDERMANLANDS LÄN</t>
        </is>
      </c>
      <c r="G437" t="inlineStr">
        <is>
          <t>ESKILSTUNA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45061</v>
      </c>
      <c r="E438" s="1" t="n">
        <v>46291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44797</v>
      </c>
      <c r="E439" s="1" t="n">
        <v>46291</v>
      </c>
      <c r="F439" t="inlineStr">
        <is>
          <t>SÖDERMANLANDS LÄN</t>
        </is>
      </c>
      <c r="G439" t="inlineStr">
        <is>
          <t>ESKILSTUNA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46291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Kyrkan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44953</v>
      </c>
      <c r="E441" s="1" t="n">
        <v>46291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46291</v>
      </c>
      <c r="F442" t="inlineStr">
        <is>
          <t>SÖDERMANLANDS LÄN</t>
        </is>
      </c>
      <c r="G442" t="inlineStr">
        <is>
          <t>ESKILSTUNA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46291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46291</v>
      </c>
      <c r="F444" t="inlineStr">
        <is>
          <t>SÖDERMANLANDS LÄN</t>
        </is>
      </c>
      <c r="G444" t="inlineStr">
        <is>
          <t>ESKILSTUNA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44804</v>
      </c>
      <c r="E445" s="1" t="n">
        <v>46291</v>
      </c>
      <c r="F445" t="inlineStr">
        <is>
          <t>SÖDERMANLANDS LÄN</t>
        </is>
      </c>
      <c r="G445" t="inlineStr">
        <is>
          <t>ESKILSTUNA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46291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46291</v>
      </c>
      <c r="F447" t="inlineStr">
        <is>
          <t>SÖDERMANLANDS LÄN</t>
        </is>
      </c>
      <c r="G447" t="inlineStr">
        <is>
          <t>ESKILSTUNA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46291</v>
      </c>
      <c r="F448" t="inlineStr">
        <is>
          <t>SÖDERMANLANDS LÄN</t>
        </is>
      </c>
      <c r="G448" t="inlineStr">
        <is>
          <t>ESKILSTUNA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46291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61989-2023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45266</v>
      </c>
      <c r="E450" s="1" t="n">
        <v>46291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33255-2024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45518</v>
      </c>
      <c r="E451" s="1" t="n">
        <v>46291</v>
      </c>
      <c r="F451" t="inlineStr">
        <is>
          <t>SÖDERMANLANDS LÄN</t>
        </is>
      </c>
      <c r="G451" t="inlineStr">
        <is>
          <t>ESKILSTUNA</t>
        </is>
      </c>
      <c r="H451" t="inlineStr">
        <is>
          <t>Övriga Aktiebolag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45708</v>
      </c>
      <c r="E452" s="1" t="n">
        <v>46291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46291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1346-2024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45303</v>
      </c>
      <c r="E454" s="1" t="n">
        <v>46291</v>
      </c>
      <c r="F454" t="inlineStr">
        <is>
          <t>SÖDERMANLANDS LÄN</t>
        </is>
      </c>
      <c r="G454" t="inlineStr">
        <is>
          <t>ESKILSTUNA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53098-2022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44873</v>
      </c>
      <c r="E455" s="1" t="n">
        <v>46291</v>
      </c>
      <c r="F455" t="inlineStr">
        <is>
          <t>SÖDERMANLANDS LÄN</t>
        </is>
      </c>
      <c r="G455" t="inlineStr">
        <is>
          <t>ESKILSTUNA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44965</v>
      </c>
      <c r="E456" s="1" t="n">
        <v>46291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Allmännings- och besparingsskogar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46291</v>
      </c>
      <c r="F457" t="inlineStr">
        <is>
          <t>SÖDERMANLANDS LÄN</t>
        </is>
      </c>
      <c r="G457" t="inlineStr">
        <is>
          <t>ESKILSTUNA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45209</v>
      </c>
      <c r="E458" s="1" t="n">
        <v>46291</v>
      </c>
      <c r="F458" t="inlineStr">
        <is>
          <t>SÖDERMANLANDS LÄN</t>
        </is>
      </c>
      <c r="G458" t="inlineStr">
        <is>
          <t>ESKILSTUNA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44844</v>
      </c>
      <c r="E459" s="1" t="n">
        <v>46291</v>
      </c>
      <c r="F459" t="inlineStr">
        <is>
          <t>SÖDERMANLANDS LÄN</t>
        </is>
      </c>
      <c r="G459" t="inlineStr">
        <is>
          <t>ESKILSTUNA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44844</v>
      </c>
      <c r="E460" s="1" t="n">
        <v>46291</v>
      </c>
      <c r="F460" t="inlineStr">
        <is>
          <t>SÖDERMANLANDS LÄN</t>
        </is>
      </c>
      <c r="G460" t="inlineStr">
        <is>
          <t>ESKILSTUNA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46291</v>
      </c>
      <c r="F461" t="inlineStr">
        <is>
          <t>SÖDERMANLANDS LÄN</t>
        </is>
      </c>
      <c r="G461" t="inlineStr">
        <is>
          <t>ESKILSTUNA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45514</v>
      </c>
      <c r="E462" s="1" t="n">
        <v>46291</v>
      </c>
      <c r="F462" t="inlineStr">
        <is>
          <t>SÖDERMANLANDS LÄN</t>
        </is>
      </c>
      <c r="G462" t="inlineStr">
        <is>
          <t>ESKILSTUNA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46291</v>
      </c>
      <c r="F463" t="inlineStr">
        <is>
          <t>SÖDERMANLANDS LÄN</t>
        </is>
      </c>
      <c r="G463" t="inlineStr">
        <is>
          <t>ESKILSTUNA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33585-2022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46291</v>
      </c>
      <c r="F464" t="inlineStr">
        <is>
          <t>SÖDERMANLANDS LÄN</t>
        </is>
      </c>
      <c r="G464" t="inlineStr">
        <is>
          <t>ESKILSTUNA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46291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45695</v>
      </c>
      <c r="E466" s="1" t="n">
        <v>46291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15592-2023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45020</v>
      </c>
      <c r="E467" s="1" t="n">
        <v>46291</v>
      </c>
      <c r="F467" t="inlineStr">
        <is>
          <t>SÖDERMANLANDS LÄN</t>
        </is>
      </c>
      <c r="G467" t="inlineStr">
        <is>
          <t>ESKILSTUNA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46291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46291</v>
      </c>
      <c r="F469" t="inlineStr">
        <is>
          <t>SÖDERMANLANDS LÄN</t>
        </is>
      </c>
      <c r="G469" t="inlineStr">
        <is>
          <t>ESKILSTUNA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46291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45637</v>
      </c>
      <c r="E471" s="1" t="n">
        <v>46291</v>
      </c>
      <c r="F471" t="inlineStr">
        <is>
          <t>SÖDERMANLANDS LÄN</t>
        </is>
      </c>
      <c r="G471" t="inlineStr">
        <is>
          <t>ESKILSTUNA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46291</v>
      </c>
      <c r="F472" t="inlineStr">
        <is>
          <t>SÖDERMANLANDS LÄN</t>
        </is>
      </c>
      <c r="G472" t="inlineStr">
        <is>
          <t>ESKILSTUNA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53181-2024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45611</v>
      </c>
      <c r="E473" s="1" t="n">
        <v>46291</v>
      </c>
      <c r="F473" t="inlineStr">
        <is>
          <t>SÖDERMANLANDS LÄN</t>
        </is>
      </c>
      <c r="G473" t="inlineStr">
        <is>
          <t>ESKILSTUNA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45670</v>
      </c>
      <c r="E474" s="1" t="n">
        <v>46291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70560-2021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44536</v>
      </c>
      <c r="E475" s="1" t="n">
        <v>46291</v>
      </c>
      <c r="F475" t="inlineStr">
        <is>
          <t>SÖDERMANLANDS LÄN</t>
        </is>
      </c>
      <c r="G475" t="inlineStr">
        <is>
          <t>ESKILSTUNA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45615</v>
      </c>
      <c r="E476" s="1" t="n">
        <v>46291</v>
      </c>
      <c r="F476" t="inlineStr">
        <is>
          <t>SÖDERMANLANDS LÄN</t>
        </is>
      </c>
      <c r="G476" t="inlineStr">
        <is>
          <t>ESKILSTUNA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45183</v>
      </c>
      <c r="E477" s="1" t="n">
        <v>46291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46291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46291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46291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46291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46291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46291</v>
      </c>
      <c r="F483" t="inlineStr">
        <is>
          <t>SÖDERMANLANDS LÄN</t>
        </is>
      </c>
      <c r="G483" t="inlineStr">
        <is>
          <t>ESKILSTUNA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45049</v>
      </c>
      <c r="E484" s="1" t="n">
        <v>46291</v>
      </c>
      <c r="F484" t="inlineStr">
        <is>
          <t>SÖDERMANLANDS LÄN</t>
        </is>
      </c>
      <c r="G484" t="inlineStr">
        <is>
          <t>ESKILSTUNA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1333-2020</t>
        </is>
      </c>
      <c r="B485" t="inlineStr">
        <is>
          <t>samrådsanmälan</t>
        </is>
      </c>
      <c r="C485" t="inlineStr">
        <is>
          <t>Åtgärd i nyckelbiotop</t>
        </is>
      </c>
      <c r="D485" s="1" t="n">
        <v>43993</v>
      </c>
      <c r="E485" s="1" t="n">
        <v>46291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383-2023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44959</v>
      </c>
      <c r="E486" s="1" t="n">
        <v>46291</v>
      </c>
      <c r="F486" t="inlineStr">
        <is>
          <t>SÖDERMANLANDS LÄN</t>
        </is>
      </c>
      <c r="G486" t="inlineStr">
        <is>
          <t>ESKILSTUNA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3665-2023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45217</v>
      </c>
      <c r="E487" s="1" t="n">
        <v>46291</v>
      </c>
      <c r="F487" t="inlineStr">
        <is>
          <t>SÖDERMANLANDS LÄN</t>
        </is>
      </c>
      <c r="G487" t="inlineStr">
        <is>
          <t>ESKILSTUNA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4583-2023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45282</v>
      </c>
      <c r="E488" s="1" t="n">
        <v>46291</v>
      </c>
      <c r="F488" t="inlineStr">
        <is>
          <t>SÖDERMANLANDS LÄN</t>
        </is>
      </c>
      <c r="G488" t="inlineStr">
        <is>
          <t>ESKILSTUNA</t>
        </is>
      </c>
      <c r="I488" t="n">
        <v>31.4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1601-2025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45798</v>
      </c>
      <c r="E489" s="1" t="n">
        <v>46291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1602-2025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46291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291-2025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45686</v>
      </c>
      <c r="E491" s="1" t="n">
        <v>46291</v>
      </c>
      <c r="F491" t="inlineStr">
        <is>
          <t>SÖDERMANLANDS LÄN</t>
        </is>
      </c>
      <c r="G491" t="inlineStr">
        <is>
          <t>ESKILSTUNA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2917-2024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45504</v>
      </c>
      <c r="E492" s="1" t="n">
        <v>46291</v>
      </c>
      <c r="F492" t="inlineStr">
        <is>
          <t>SÖDERMANLANDS LÄN</t>
        </is>
      </c>
      <c r="G492" t="inlineStr">
        <is>
          <t>ESKILSTUNA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1920-2025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45826</v>
      </c>
      <c r="E493" s="1" t="n">
        <v>46291</v>
      </c>
      <c r="F493" t="inlineStr">
        <is>
          <t>SÖDERMANLANDS LÄN</t>
        </is>
      </c>
      <c r="G493" t="inlineStr">
        <is>
          <t>ESKILSTUNA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1030-2026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46125</v>
      </c>
      <c r="E494" s="1" t="n">
        <v>46291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1870-2026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46199</v>
      </c>
      <c r="E495" s="1" t="n">
        <v>46291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1871-2026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46291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2026-09-26T02:08:00Z</dcterms:created>
  <dcterms:modified xmlns:dcterms="http://purl.org/dc/terms/" xmlns:xsi="http://www.w3.org/2001/XMLSchema-instance" xsi:type="dcterms:W3CDTF">2026-09-26T02:08:01Z</dcterms:modified>
</cp:coreProperties>
</file>