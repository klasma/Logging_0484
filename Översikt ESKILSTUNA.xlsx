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45512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45512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45512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45512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45512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45512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45512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45512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45512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45512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45512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45512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45512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45512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45512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45512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45512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45512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45512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45512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45512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45512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45512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45512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45512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45512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45512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45512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45512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45512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45512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45512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45512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45512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45512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45512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45512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45512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45512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45512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45512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45512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45512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12443-2024</t>
        </is>
      </c>
      <c r="B45" s="1" t="n">
        <v>45379</v>
      </c>
      <c r="C45" s="1" t="n">
        <v>45512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8.9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Blåsippa
Mattlummer
Revlummer</t>
        </is>
      </c>
      <c r="S45">
        <f>HYPERLINK("https://klasma.github.io/Logging_0484/artfynd/A 12443-2024 artfynd.xlsx", "A 12443-2024")</f>
        <v/>
      </c>
      <c r="T45">
        <f>HYPERLINK("https://klasma.github.io/Logging_0484/kartor/A 12443-2024 karta.png", "A 12443-2024")</f>
        <v/>
      </c>
      <c r="V45">
        <f>HYPERLINK("https://klasma.github.io/Logging_0484/klagomål/A 12443-2024 FSC-klagomål.docx", "A 12443-2024")</f>
        <v/>
      </c>
      <c r="W45">
        <f>HYPERLINK("https://klasma.github.io/Logging_0484/klagomålsmail/A 12443-2024 FSC-klagomål mail.docx", "A 12443-2024")</f>
        <v/>
      </c>
      <c r="X45">
        <f>HYPERLINK("https://klasma.github.io/Logging_0484/tillsyn/A 12443-2024 tillsynsbegäran.docx", "A 12443-2024")</f>
        <v/>
      </c>
      <c r="Y45">
        <f>HYPERLINK("https://klasma.github.io/Logging_0484/tillsynsmail/A 12443-2024 tillsynsbegäran mail.docx", "A 12443-2024")</f>
        <v/>
      </c>
    </row>
    <row r="46" ht="15" customHeight="1">
      <c r="A46" t="inlineStr">
        <is>
          <t>A 24767-2024</t>
        </is>
      </c>
      <c r="B46" s="1" t="n">
        <v>45460</v>
      </c>
      <c r="C46" s="1" t="n">
        <v>45512</v>
      </c>
      <c r="D46" t="inlineStr">
        <is>
          <t>SÖDERMANLANDS LÄN</t>
        </is>
      </c>
      <c r="E46" t="inlineStr">
        <is>
          <t>ESKILSTUNA</t>
        </is>
      </c>
      <c r="G46" t="n">
        <v>15.2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Lopplummer
Mattlummer</t>
        </is>
      </c>
      <c r="S46">
        <f>HYPERLINK("https://klasma.github.io/Logging_0484/artfynd/A 24767-2024 artfynd.xlsx", "A 24767-2024")</f>
        <v/>
      </c>
      <c r="T46">
        <f>HYPERLINK("https://klasma.github.io/Logging_0484/kartor/A 24767-2024 karta.png", "A 24767-2024")</f>
        <v/>
      </c>
      <c r="V46">
        <f>HYPERLINK("https://klasma.github.io/Logging_0484/klagomål/A 24767-2024 FSC-klagomål.docx", "A 24767-2024")</f>
        <v/>
      </c>
      <c r="W46">
        <f>HYPERLINK("https://klasma.github.io/Logging_0484/klagomålsmail/A 24767-2024 FSC-klagomål mail.docx", "A 24767-2024")</f>
        <v/>
      </c>
      <c r="X46">
        <f>HYPERLINK("https://klasma.github.io/Logging_0484/tillsyn/A 24767-2024 tillsynsbegäran.docx", "A 24767-2024")</f>
        <v/>
      </c>
      <c r="Y46">
        <f>HYPERLINK("https://klasma.github.io/Logging_0484/tillsynsmail/A 24767-2024 tillsynsbegäran mail.docx", "A 24767-2024")</f>
        <v/>
      </c>
    </row>
    <row r="47" ht="15" customHeight="1">
      <c r="A47" t="inlineStr">
        <is>
          <t>A 30618-2024</t>
        </is>
      </c>
      <c r="B47" s="1" t="n">
        <v>45495</v>
      </c>
      <c r="C47" s="1" t="n">
        <v>45512</v>
      </c>
      <c r="D47" t="inlineStr">
        <is>
          <t>SÖDERMANLANDS LÄN</t>
        </is>
      </c>
      <c r="E47" t="inlineStr">
        <is>
          <t>ESKILSTUNA</t>
        </is>
      </c>
      <c r="G47" t="n">
        <v>3.2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Svinrot
Svart trolldruva
Blåsippa</t>
        </is>
      </c>
      <c r="S47">
        <f>HYPERLINK("https://klasma.github.io/Logging_0484/artfynd/A 30618-2024 artfynd.xlsx", "A 30618-2024")</f>
        <v/>
      </c>
      <c r="T47">
        <f>HYPERLINK("https://klasma.github.io/Logging_0484/kartor/A 30618-2024 karta.png", "A 30618-2024")</f>
        <v/>
      </c>
      <c r="V47">
        <f>HYPERLINK("https://klasma.github.io/Logging_0484/klagomål/A 30618-2024 FSC-klagomål.docx", "A 30618-2024")</f>
        <v/>
      </c>
      <c r="W47">
        <f>HYPERLINK("https://klasma.github.io/Logging_0484/klagomålsmail/A 30618-2024 FSC-klagomål mail.docx", "A 30618-2024")</f>
        <v/>
      </c>
      <c r="X47">
        <f>HYPERLINK("https://klasma.github.io/Logging_0484/tillsyn/A 30618-2024 tillsynsbegäran.docx", "A 30618-2024")</f>
        <v/>
      </c>
      <c r="Y47">
        <f>HYPERLINK("https://klasma.github.io/Logging_0484/tillsynsmail/A 30618-2024 tillsynsbegäran mail.docx", "A 30618-2024")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45512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45512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45512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45512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45512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45512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45512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45512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45512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45512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45512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45512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45512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45512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45512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45512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45512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45512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45512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45512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45512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45512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45512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45512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45512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45512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45512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45512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45512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45512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45512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36140-2022</t>
        </is>
      </c>
      <c r="B79" s="1" t="n">
        <v>44803</v>
      </c>
      <c r="C79" s="1" t="n">
        <v>45512</v>
      </c>
      <c r="D79" t="inlineStr">
        <is>
          <t>SÖDERMANLANDS LÄN</t>
        </is>
      </c>
      <c r="E79" t="inlineStr">
        <is>
          <t>ESKILSTUNA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36140-2022 artfynd.xlsx", "A 36140-2022")</f>
        <v/>
      </c>
      <c r="T79">
        <f>HYPERLINK("https://klasma.github.io/Logging_0484/kartor/A 36140-2022 karta.png", "A 36140-2022")</f>
        <v/>
      </c>
      <c r="V79">
        <f>HYPERLINK("https://klasma.github.io/Logging_0484/klagomål/A 36140-2022 FSC-klagomål.docx", "A 36140-2022")</f>
        <v/>
      </c>
      <c r="W79">
        <f>HYPERLINK("https://klasma.github.io/Logging_0484/klagomålsmail/A 36140-2022 FSC-klagomål mail.docx", "A 36140-2022")</f>
        <v/>
      </c>
      <c r="X79">
        <f>HYPERLINK("https://klasma.github.io/Logging_0484/tillsyn/A 36140-2022 tillsynsbegäran.docx", "A 36140-2022")</f>
        <v/>
      </c>
      <c r="Y79">
        <f>HYPERLINK("https://klasma.github.io/Logging_0484/tillsynsmail/A 36140-2022 tillsynsbegäran mail.docx", "A 36140-2022")</f>
        <v/>
      </c>
    </row>
    <row r="80" ht="15" customHeight="1">
      <c r="A80" t="inlineStr">
        <is>
          <t>A 36155-2022</t>
        </is>
      </c>
      <c r="B80" s="1" t="n">
        <v>44803</v>
      </c>
      <c r="C80" s="1" t="n">
        <v>45512</v>
      </c>
      <c r="D80" t="inlineStr">
        <is>
          <t>SÖDERMANLANDS LÄN</t>
        </is>
      </c>
      <c r="E80" t="inlineStr">
        <is>
          <t>ESKILSTUNA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36155-2022 artfynd.xlsx", "A 36155-2022")</f>
        <v/>
      </c>
      <c r="T80">
        <f>HYPERLINK("https://klasma.github.io/Logging_0484/kartor/A 36155-2022 karta.png", "A 36155-2022")</f>
        <v/>
      </c>
      <c r="V80">
        <f>HYPERLINK("https://klasma.github.io/Logging_0484/klagomål/A 36155-2022 FSC-klagomål.docx", "A 36155-2022")</f>
        <v/>
      </c>
      <c r="W80">
        <f>HYPERLINK("https://klasma.github.io/Logging_0484/klagomålsmail/A 36155-2022 FSC-klagomål mail.docx", "A 36155-2022")</f>
        <v/>
      </c>
      <c r="X80">
        <f>HYPERLINK("https://klasma.github.io/Logging_0484/tillsyn/A 36155-2022 tillsynsbegäran.docx", "A 36155-2022")</f>
        <v/>
      </c>
      <c r="Y80">
        <f>HYPERLINK("https://klasma.github.io/Logging_0484/tillsynsmail/A 36155-2022 tillsynsbegäran mail.docx", "A 36155-2022")</f>
        <v/>
      </c>
    </row>
    <row r="81" ht="15" customHeight="1">
      <c r="A81" t="inlineStr">
        <is>
          <t>A 43547-2022</t>
        </is>
      </c>
      <c r="B81" s="1" t="n">
        <v>44834</v>
      </c>
      <c r="C81" s="1" t="n">
        <v>45512</v>
      </c>
      <c r="D81" t="inlineStr">
        <is>
          <t>SÖDERMANLANDS LÄN</t>
        </is>
      </c>
      <c r="E81" t="inlineStr">
        <is>
          <t>ESKILSTUNA</t>
        </is>
      </c>
      <c r="G81" t="n">
        <v>3.2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43547-2022 artfynd.xlsx", "A 43547-2022")</f>
        <v/>
      </c>
      <c r="T81">
        <f>HYPERLINK("https://klasma.github.io/Logging_0484/kartor/A 43547-2022 karta.png", "A 43547-2022")</f>
        <v/>
      </c>
      <c r="U81">
        <f>HYPERLINK("https://klasma.github.io/Logging_0484/knärot/A 43547-2022 karta knärot.png", "A 43547-2022")</f>
        <v/>
      </c>
      <c r="V81">
        <f>HYPERLINK("https://klasma.github.io/Logging_0484/klagomål/A 43547-2022 FSC-klagomål.docx", "A 43547-2022")</f>
        <v/>
      </c>
      <c r="W81">
        <f>HYPERLINK("https://klasma.github.io/Logging_0484/klagomålsmail/A 43547-2022 FSC-klagomål mail.docx", "A 43547-2022")</f>
        <v/>
      </c>
      <c r="X81">
        <f>HYPERLINK("https://klasma.github.io/Logging_0484/tillsyn/A 43547-2022 tillsynsbegäran.docx", "A 43547-2022")</f>
        <v/>
      </c>
      <c r="Y81">
        <f>HYPERLINK("https://klasma.github.io/Logging_0484/tillsynsmail/A 43547-2022 tillsynsbegäran mail.docx", "A 43547-2022")</f>
        <v/>
      </c>
    </row>
    <row r="82" ht="15" customHeight="1">
      <c r="A82" t="inlineStr">
        <is>
          <t>A 44664-2022</t>
        </is>
      </c>
      <c r="B82" s="1" t="n">
        <v>44840</v>
      </c>
      <c r="C82" s="1" t="n">
        <v>45512</v>
      </c>
      <c r="D82" t="inlineStr">
        <is>
          <t>SÖDERMANLANDS LÄN</t>
        </is>
      </c>
      <c r="E82" t="inlineStr">
        <is>
          <t>ESKILSTUNA</t>
        </is>
      </c>
      <c r="G82" t="n">
        <v>20.8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44664-2022 artfynd.xlsx", "A 44664-2022")</f>
        <v/>
      </c>
      <c r="T82">
        <f>HYPERLINK("https://klasma.github.io/Logging_0484/kartor/A 44664-2022 karta.png", "A 44664-2022")</f>
        <v/>
      </c>
      <c r="U82">
        <f>HYPERLINK("https://klasma.github.io/Logging_0484/knärot/A 44664-2022 karta knärot.png", "A 44664-2022")</f>
        <v/>
      </c>
      <c r="V82">
        <f>HYPERLINK("https://klasma.github.io/Logging_0484/klagomål/A 44664-2022 FSC-klagomål.docx", "A 44664-2022")</f>
        <v/>
      </c>
      <c r="W82">
        <f>HYPERLINK("https://klasma.github.io/Logging_0484/klagomålsmail/A 44664-2022 FSC-klagomål mail.docx", "A 44664-2022")</f>
        <v/>
      </c>
      <c r="X82">
        <f>HYPERLINK("https://klasma.github.io/Logging_0484/tillsyn/A 44664-2022 tillsynsbegäran.docx", "A 44664-2022")</f>
        <v/>
      </c>
      <c r="Y82">
        <f>HYPERLINK("https://klasma.github.io/Logging_0484/tillsynsmail/A 44664-2022 tillsynsbegäran mail.docx", "A 44664-2022")</f>
        <v/>
      </c>
    </row>
    <row r="83" ht="15" customHeight="1">
      <c r="A83" t="inlineStr">
        <is>
          <t>A 47648-2022</t>
        </is>
      </c>
      <c r="B83" s="1" t="n">
        <v>44854</v>
      </c>
      <c r="C83" s="1" t="n">
        <v>45512</v>
      </c>
      <c r="D83" t="inlineStr">
        <is>
          <t>SÖDERMANLANDS LÄN</t>
        </is>
      </c>
      <c r="E83" t="inlineStr">
        <is>
          <t>ESKILSTUNA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HYPERLINK("https://klasma.github.io/Logging_0484/artfynd/A 47648-2022 artfynd.xlsx", "A 47648-2022")</f>
        <v/>
      </c>
      <c r="T83">
        <f>HYPERLINK("https://klasma.github.io/Logging_0484/kartor/A 47648-2022 karta.png", "A 47648-2022")</f>
        <v/>
      </c>
      <c r="V83">
        <f>HYPERLINK("https://klasma.github.io/Logging_0484/klagomål/A 47648-2022 FSC-klagomål.docx", "A 47648-2022")</f>
        <v/>
      </c>
      <c r="W83">
        <f>HYPERLINK("https://klasma.github.io/Logging_0484/klagomålsmail/A 47648-2022 FSC-klagomål mail.docx", "A 47648-2022")</f>
        <v/>
      </c>
      <c r="X83">
        <f>HYPERLINK("https://klasma.github.io/Logging_0484/tillsyn/A 47648-2022 tillsynsbegäran.docx", "A 47648-2022")</f>
        <v/>
      </c>
      <c r="Y83">
        <f>HYPERLINK("https://klasma.github.io/Logging_0484/tillsynsmail/A 47648-2022 tillsynsbegäran mail.docx", "A 47648-2022")</f>
        <v/>
      </c>
      <c r="Z83">
        <f>HYPERLINK("https://klasma.github.io/Logging_0484/fåglar/A 47648-2022 prioriterade fågelarter.docx", "A 47648-2022")</f>
        <v/>
      </c>
    </row>
    <row r="84" ht="15" customHeight="1">
      <c r="A84" t="inlineStr">
        <is>
          <t>A 61987-2022</t>
        </is>
      </c>
      <c r="B84" s="1" t="n">
        <v>44918</v>
      </c>
      <c r="C84" s="1" t="n">
        <v>45512</v>
      </c>
      <c r="D84" t="inlineStr">
        <is>
          <t>SÖDERMANLANDS LÄN</t>
        </is>
      </c>
      <c r="E84" t="inlineStr">
        <is>
          <t>ESKILSTUNA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HYPERLINK("https://klasma.github.io/Logging_0484/artfynd/A 61987-2022 artfynd.xlsx", "A 61987-2022")</f>
        <v/>
      </c>
      <c r="T84">
        <f>HYPERLINK("https://klasma.github.io/Logging_0484/kartor/A 61987-2022 karta.png", "A 61987-2022")</f>
        <v/>
      </c>
      <c r="V84">
        <f>HYPERLINK("https://klasma.github.io/Logging_0484/klagomål/A 61987-2022 FSC-klagomål.docx", "A 61987-2022")</f>
        <v/>
      </c>
      <c r="W84">
        <f>HYPERLINK("https://klasma.github.io/Logging_0484/klagomålsmail/A 61987-2022 FSC-klagomål mail.docx", "A 61987-2022")</f>
        <v/>
      </c>
      <c r="X84">
        <f>HYPERLINK("https://klasma.github.io/Logging_0484/tillsyn/A 61987-2022 tillsynsbegäran.docx", "A 61987-2022")</f>
        <v/>
      </c>
      <c r="Y84">
        <f>HYPERLINK("https://klasma.github.io/Logging_0484/tillsynsmail/A 61987-2022 tillsynsbegäran mail.docx", "A 61987-2022")</f>
        <v/>
      </c>
    </row>
    <row r="85" ht="15" customHeight="1">
      <c r="A85" t="inlineStr">
        <is>
          <t>A 9645-2023</t>
        </is>
      </c>
      <c r="B85" s="1" t="n">
        <v>44984</v>
      </c>
      <c r="C85" s="1" t="n">
        <v>45512</v>
      </c>
      <c r="D85" t="inlineStr">
        <is>
          <t>SÖDERMANLANDS LÄN</t>
        </is>
      </c>
      <c r="E85" t="inlineStr">
        <is>
          <t>ESKILSTUNA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HYPERLINK("https://klasma.github.io/Logging_0484/artfynd/A 9645-2023 artfynd.xlsx", "A 9645-2023")</f>
        <v/>
      </c>
      <c r="T85">
        <f>HYPERLINK("https://klasma.github.io/Logging_0484/kartor/A 9645-2023 karta.png", "A 9645-2023")</f>
        <v/>
      </c>
      <c r="V85">
        <f>HYPERLINK("https://klasma.github.io/Logging_0484/klagomål/A 9645-2023 FSC-klagomål.docx", "A 9645-2023")</f>
        <v/>
      </c>
      <c r="W85">
        <f>HYPERLINK("https://klasma.github.io/Logging_0484/klagomålsmail/A 9645-2023 FSC-klagomål mail.docx", "A 9645-2023")</f>
        <v/>
      </c>
      <c r="X85">
        <f>HYPERLINK("https://klasma.github.io/Logging_0484/tillsyn/A 9645-2023 tillsynsbegäran.docx", "A 9645-2023")</f>
        <v/>
      </c>
      <c r="Y85">
        <f>HYPERLINK("https://klasma.github.io/Logging_0484/tillsynsmail/A 9645-2023 tillsynsbegäran mail.docx", "A 9645-2023")</f>
        <v/>
      </c>
      <c r="Z85">
        <f>HYPERLINK("https://klasma.github.io/Logging_0484/fåglar/A 9645-2023 prioriterade fågelarter.docx", "A 9645-2023")</f>
        <v/>
      </c>
    </row>
    <row r="86" ht="15" customHeight="1">
      <c r="A86" t="inlineStr">
        <is>
          <t>A 14327-2023</t>
        </is>
      </c>
      <c r="B86" s="1" t="n">
        <v>45012</v>
      </c>
      <c r="C86" s="1" t="n">
        <v>45512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14327-2023 artfynd.xlsx", "A 14327-2023")</f>
        <v/>
      </c>
      <c r="T86">
        <f>HYPERLINK("https://klasma.github.io/Logging_0484/kartor/A 14327-2023 karta.png", "A 14327-2023")</f>
        <v/>
      </c>
      <c r="V86">
        <f>HYPERLINK("https://klasma.github.io/Logging_0484/klagomål/A 14327-2023 FSC-klagomål.docx", "A 14327-2023")</f>
        <v/>
      </c>
      <c r="W86">
        <f>HYPERLINK("https://klasma.github.io/Logging_0484/klagomålsmail/A 14327-2023 FSC-klagomål mail.docx", "A 14327-2023")</f>
        <v/>
      </c>
      <c r="X86">
        <f>HYPERLINK("https://klasma.github.io/Logging_0484/tillsyn/A 14327-2023 tillsynsbegäran.docx", "A 14327-2023")</f>
        <v/>
      </c>
      <c r="Y86">
        <f>HYPERLINK("https://klasma.github.io/Logging_0484/tillsynsmail/A 14327-2023 tillsynsbegäran mail.docx", "A 14327-2023")</f>
        <v/>
      </c>
    </row>
    <row r="87" ht="15" customHeight="1">
      <c r="A87" t="inlineStr">
        <is>
          <t>A 19627-2023</t>
        </is>
      </c>
      <c r="B87" s="1" t="n">
        <v>45050</v>
      </c>
      <c r="C87" s="1" t="n">
        <v>45512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HYPERLINK("https://klasma.github.io/Logging_0484/artfynd/A 19627-2023 artfynd.xlsx", "A 19627-2023")</f>
        <v/>
      </c>
      <c r="T87">
        <f>HYPERLINK("https://klasma.github.io/Logging_0484/kartor/A 19627-2023 karta.png", "A 19627-2023")</f>
        <v/>
      </c>
      <c r="V87">
        <f>HYPERLINK("https://klasma.github.io/Logging_0484/klagomål/A 19627-2023 FSC-klagomål.docx", "A 19627-2023")</f>
        <v/>
      </c>
      <c r="W87">
        <f>HYPERLINK("https://klasma.github.io/Logging_0484/klagomålsmail/A 19627-2023 FSC-klagomål mail.docx", "A 19627-2023")</f>
        <v/>
      </c>
      <c r="X87">
        <f>HYPERLINK("https://klasma.github.io/Logging_0484/tillsyn/A 19627-2023 tillsynsbegäran.docx", "A 19627-2023")</f>
        <v/>
      </c>
      <c r="Y87">
        <f>HYPERLINK("https://klasma.github.io/Logging_0484/tillsynsmail/A 19627-2023 tillsynsbegäran mail.docx", "A 19627-2023")</f>
        <v/>
      </c>
    </row>
    <row r="88" ht="15" customHeight="1">
      <c r="A88" t="inlineStr">
        <is>
          <t>A 23637-2023</t>
        </is>
      </c>
      <c r="B88" s="1" t="n">
        <v>45077</v>
      </c>
      <c r="C88" s="1" t="n">
        <v>45512</v>
      </c>
      <c r="D88" t="inlineStr">
        <is>
          <t>SÖDERMANLANDS LÄN</t>
        </is>
      </c>
      <c r="E88" t="inlineStr">
        <is>
          <t>ESKILSTUNA</t>
        </is>
      </c>
      <c r="G88" t="n">
        <v>15.8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Violett fingersvamp</t>
        </is>
      </c>
      <c r="S88">
        <f>HYPERLINK("https://klasma.github.io/Logging_0484/artfynd/A 23637-2023 artfynd.xlsx", "A 23637-2023")</f>
        <v/>
      </c>
      <c r="T88">
        <f>HYPERLINK("https://klasma.github.io/Logging_0484/kartor/A 23637-2023 karta.png", "A 23637-2023")</f>
        <v/>
      </c>
      <c r="V88">
        <f>HYPERLINK("https://klasma.github.io/Logging_0484/klagomål/A 23637-2023 FSC-klagomål.docx", "A 23637-2023")</f>
        <v/>
      </c>
      <c r="W88">
        <f>HYPERLINK("https://klasma.github.io/Logging_0484/klagomålsmail/A 23637-2023 FSC-klagomål mail.docx", "A 23637-2023")</f>
        <v/>
      </c>
      <c r="X88">
        <f>HYPERLINK("https://klasma.github.io/Logging_0484/tillsyn/A 23637-2023 tillsynsbegäran.docx", "A 23637-2023")</f>
        <v/>
      </c>
      <c r="Y88">
        <f>HYPERLINK("https://klasma.github.io/Logging_0484/tillsynsmail/A 23637-2023 tillsynsbegäran mail.docx", "A 23637-2023")</f>
        <v/>
      </c>
    </row>
    <row r="89" ht="15" customHeight="1">
      <c r="A89" t="inlineStr">
        <is>
          <t>A 26114-2023</t>
        </is>
      </c>
      <c r="B89" s="1" t="n">
        <v>45091</v>
      </c>
      <c r="C89" s="1" t="n">
        <v>45512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26114-2023 artfynd.xlsx", "A 26114-2023")</f>
        <v/>
      </c>
      <c r="T89">
        <f>HYPERLINK("https://klasma.github.io/Logging_0484/kartor/A 26114-2023 karta.png", "A 26114-2023")</f>
        <v/>
      </c>
      <c r="V89">
        <f>HYPERLINK("https://klasma.github.io/Logging_0484/klagomål/A 26114-2023 FSC-klagomål.docx", "A 26114-2023")</f>
        <v/>
      </c>
      <c r="W89">
        <f>HYPERLINK("https://klasma.github.io/Logging_0484/klagomålsmail/A 26114-2023 FSC-klagomål mail.docx", "A 26114-2023")</f>
        <v/>
      </c>
      <c r="X89">
        <f>HYPERLINK("https://klasma.github.io/Logging_0484/tillsyn/A 26114-2023 tillsynsbegäran.docx", "A 26114-2023")</f>
        <v/>
      </c>
      <c r="Y89">
        <f>HYPERLINK("https://klasma.github.io/Logging_0484/tillsynsmail/A 26114-2023 tillsynsbegäran mail.docx", "A 26114-2023")</f>
        <v/>
      </c>
    </row>
    <row r="90" ht="15" customHeight="1">
      <c r="A90" t="inlineStr">
        <is>
          <t>A 26133-2023</t>
        </is>
      </c>
      <c r="B90" s="1" t="n">
        <v>45091</v>
      </c>
      <c r="C90" s="1" t="n">
        <v>45512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HYPERLINK("https://klasma.github.io/Logging_0484/artfynd/A 26133-2023 artfynd.xlsx", "A 26133-2023")</f>
        <v/>
      </c>
      <c r="T90">
        <f>HYPERLINK("https://klasma.github.io/Logging_0484/kartor/A 26133-2023 karta.png", "A 26133-2023")</f>
        <v/>
      </c>
      <c r="V90">
        <f>HYPERLINK("https://klasma.github.io/Logging_0484/klagomål/A 26133-2023 FSC-klagomål.docx", "A 26133-2023")</f>
        <v/>
      </c>
      <c r="W90">
        <f>HYPERLINK("https://klasma.github.io/Logging_0484/klagomålsmail/A 26133-2023 FSC-klagomål mail.docx", "A 26133-2023")</f>
        <v/>
      </c>
      <c r="X90">
        <f>HYPERLINK("https://klasma.github.io/Logging_0484/tillsyn/A 26133-2023 tillsynsbegäran.docx", "A 26133-2023")</f>
        <v/>
      </c>
      <c r="Y90">
        <f>HYPERLINK("https://klasma.github.io/Logging_0484/tillsynsmail/A 26133-2023 tillsynsbegäran mail.docx", "A 26133-2023")</f>
        <v/>
      </c>
    </row>
    <row r="91" ht="15" customHeight="1">
      <c r="A91" t="inlineStr">
        <is>
          <t>A 26099-2023</t>
        </is>
      </c>
      <c r="B91" s="1" t="n">
        <v>45091</v>
      </c>
      <c r="C91" s="1" t="n">
        <v>45512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HYPERLINK("https://klasma.github.io/Logging_0484/artfynd/A 26099-2023 artfynd.xlsx", "A 26099-2023")</f>
        <v/>
      </c>
      <c r="T91">
        <f>HYPERLINK("https://klasma.github.io/Logging_0484/kartor/A 26099-2023 karta.png", "A 26099-2023")</f>
        <v/>
      </c>
      <c r="V91">
        <f>HYPERLINK("https://klasma.github.io/Logging_0484/klagomål/A 26099-2023 FSC-klagomål.docx", "A 26099-2023")</f>
        <v/>
      </c>
      <c r="W91">
        <f>HYPERLINK("https://klasma.github.io/Logging_0484/klagomålsmail/A 26099-2023 FSC-klagomål mail.docx", "A 26099-2023")</f>
        <v/>
      </c>
      <c r="X91">
        <f>HYPERLINK("https://klasma.github.io/Logging_0484/tillsyn/A 26099-2023 tillsynsbegäran.docx", "A 26099-2023")</f>
        <v/>
      </c>
      <c r="Y91">
        <f>HYPERLINK("https://klasma.github.io/Logging_0484/tillsynsmail/A 26099-2023 tillsynsbegäran mail.docx", "A 26099-2023")</f>
        <v/>
      </c>
      <c r="Z91">
        <f>HYPERLINK("https://klasma.github.io/Logging_0484/fåglar/A 26099-2023 prioriterade fågelarter.docx", "A 26099-2023")</f>
        <v/>
      </c>
    </row>
    <row r="92" ht="15" customHeight="1">
      <c r="A92" t="inlineStr">
        <is>
          <t>A 27580-2023</t>
        </is>
      </c>
      <c r="B92" s="1" t="n">
        <v>45097</v>
      </c>
      <c r="C92" s="1" t="n">
        <v>45512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HYPERLINK("https://klasma.github.io/Logging_0484/artfynd/A 27580-2023 artfynd.xlsx", "A 27580-2023")</f>
        <v/>
      </c>
      <c r="T92">
        <f>HYPERLINK("https://klasma.github.io/Logging_0484/kartor/A 27580-2023 karta.png", "A 27580-2023")</f>
        <v/>
      </c>
      <c r="V92">
        <f>HYPERLINK("https://klasma.github.io/Logging_0484/klagomål/A 27580-2023 FSC-klagomål.docx", "A 27580-2023")</f>
        <v/>
      </c>
      <c r="W92">
        <f>HYPERLINK("https://klasma.github.io/Logging_0484/klagomålsmail/A 27580-2023 FSC-klagomål mail.docx", "A 27580-2023")</f>
        <v/>
      </c>
      <c r="X92">
        <f>HYPERLINK("https://klasma.github.io/Logging_0484/tillsyn/A 27580-2023 tillsynsbegäran.docx", "A 27580-2023")</f>
        <v/>
      </c>
      <c r="Y92">
        <f>HYPERLINK("https://klasma.github.io/Logging_0484/tillsynsmail/A 27580-2023 tillsynsbegäran mail.docx", "A 27580-2023")</f>
        <v/>
      </c>
    </row>
    <row r="93" ht="15" customHeight="1">
      <c r="A93" t="inlineStr">
        <is>
          <t>A 30975-2023</t>
        </is>
      </c>
      <c r="B93" s="1" t="n">
        <v>45103</v>
      </c>
      <c r="C93" s="1" t="n">
        <v>45512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HYPERLINK("https://klasma.github.io/Logging_0484/artfynd/A 30975-2023 artfynd.xlsx", "A 30975-2023")</f>
        <v/>
      </c>
      <c r="T93">
        <f>HYPERLINK("https://klasma.github.io/Logging_0484/kartor/A 30975-2023 karta.png", "A 30975-2023")</f>
        <v/>
      </c>
      <c r="V93">
        <f>HYPERLINK("https://klasma.github.io/Logging_0484/klagomål/A 30975-2023 FSC-klagomål.docx", "A 30975-2023")</f>
        <v/>
      </c>
      <c r="W93">
        <f>HYPERLINK("https://klasma.github.io/Logging_0484/klagomålsmail/A 30975-2023 FSC-klagomål mail.docx", "A 30975-2023")</f>
        <v/>
      </c>
      <c r="X93">
        <f>HYPERLINK("https://klasma.github.io/Logging_0484/tillsyn/A 30975-2023 tillsynsbegäran.docx", "A 30975-2023")</f>
        <v/>
      </c>
      <c r="Y93">
        <f>HYPERLINK("https://klasma.github.io/Logging_0484/tillsynsmail/A 30975-2023 tillsynsbegäran mail.docx", "A 30975-2023")</f>
        <v/>
      </c>
    </row>
    <row r="94" ht="15" customHeight="1">
      <c r="A94" t="inlineStr">
        <is>
          <t>A 29647-2023</t>
        </is>
      </c>
      <c r="B94" s="1" t="n">
        <v>45107</v>
      </c>
      <c r="C94" s="1" t="n">
        <v>45512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HYPERLINK("https://klasma.github.io/Logging_0484/artfynd/A 29647-2023 artfynd.xlsx", "A 29647-2023")</f>
        <v/>
      </c>
      <c r="T94">
        <f>HYPERLINK("https://klasma.github.io/Logging_0484/kartor/A 29647-2023 karta.png", "A 29647-2023")</f>
        <v/>
      </c>
      <c r="V94">
        <f>HYPERLINK("https://klasma.github.io/Logging_0484/klagomål/A 29647-2023 FSC-klagomål.docx", "A 29647-2023")</f>
        <v/>
      </c>
      <c r="W94">
        <f>HYPERLINK("https://klasma.github.io/Logging_0484/klagomålsmail/A 29647-2023 FSC-klagomål mail.docx", "A 29647-2023")</f>
        <v/>
      </c>
      <c r="X94">
        <f>HYPERLINK("https://klasma.github.io/Logging_0484/tillsyn/A 29647-2023 tillsynsbegäran.docx", "A 29647-2023")</f>
        <v/>
      </c>
      <c r="Y94">
        <f>HYPERLINK("https://klasma.github.io/Logging_0484/tillsynsmail/A 29647-2023 tillsynsbegäran mail.docx", "A 29647-2023")</f>
        <v/>
      </c>
      <c r="Z94">
        <f>HYPERLINK("https://klasma.github.io/Logging_0484/fåglar/A 29647-2023 prioriterade fågelarter.docx", "A 29647-2023")</f>
        <v/>
      </c>
    </row>
    <row r="95" ht="15" customHeight="1">
      <c r="A95" t="inlineStr">
        <is>
          <t>A 31987-2023</t>
        </is>
      </c>
      <c r="B95" s="1" t="n">
        <v>45119</v>
      </c>
      <c r="C95" s="1" t="n">
        <v>45512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HYPERLINK("https://klasma.github.io/Logging_0484/artfynd/A 31987-2023 artfynd.xlsx", "A 31987-2023")</f>
        <v/>
      </c>
      <c r="T95">
        <f>HYPERLINK("https://klasma.github.io/Logging_0484/kartor/A 31987-2023 karta.png", "A 31987-2023")</f>
        <v/>
      </c>
      <c r="V95">
        <f>HYPERLINK("https://klasma.github.io/Logging_0484/klagomål/A 31987-2023 FSC-klagomål.docx", "A 31987-2023")</f>
        <v/>
      </c>
      <c r="W95">
        <f>HYPERLINK("https://klasma.github.io/Logging_0484/klagomålsmail/A 31987-2023 FSC-klagomål mail.docx", "A 31987-2023")</f>
        <v/>
      </c>
      <c r="X95">
        <f>HYPERLINK("https://klasma.github.io/Logging_0484/tillsyn/A 31987-2023 tillsynsbegäran.docx", "A 31987-2023")</f>
        <v/>
      </c>
      <c r="Y95">
        <f>HYPERLINK("https://klasma.github.io/Logging_0484/tillsynsmail/A 31987-2023 tillsynsbegäran mail.docx", "A 31987-2023")</f>
        <v/>
      </c>
    </row>
    <row r="96" ht="15" customHeight="1">
      <c r="A96" t="inlineStr">
        <is>
          <t>A 32314-2023</t>
        </is>
      </c>
      <c r="B96" s="1" t="n">
        <v>45120</v>
      </c>
      <c r="C96" s="1" t="n">
        <v>45512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Grovticka</t>
        </is>
      </c>
      <c r="S96">
        <f>HYPERLINK("https://klasma.github.io/Logging_0484/artfynd/A 32314-2023 artfynd.xlsx", "A 32314-2023")</f>
        <v/>
      </c>
      <c r="T96">
        <f>HYPERLINK("https://klasma.github.io/Logging_0484/kartor/A 32314-2023 karta.png", "A 32314-2023")</f>
        <v/>
      </c>
      <c r="V96">
        <f>HYPERLINK("https://klasma.github.io/Logging_0484/klagomål/A 32314-2023 FSC-klagomål.docx", "A 32314-2023")</f>
        <v/>
      </c>
      <c r="W96">
        <f>HYPERLINK("https://klasma.github.io/Logging_0484/klagomålsmail/A 32314-2023 FSC-klagomål mail.docx", "A 32314-2023")</f>
        <v/>
      </c>
      <c r="X96">
        <f>HYPERLINK("https://klasma.github.io/Logging_0484/tillsyn/A 32314-2023 tillsynsbegäran.docx", "A 32314-2023")</f>
        <v/>
      </c>
      <c r="Y96">
        <f>HYPERLINK("https://klasma.github.io/Logging_0484/tillsynsmail/A 32314-2023 tillsynsbegäran mail.docx", "A 32314-2023")</f>
        <v/>
      </c>
    </row>
    <row r="97" ht="15" customHeight="1">
      <c r="A97" t="inlineStr">
        <is>
          <t>A 34717-2023</t>
        </is>
      </c>
      <c r="B97" s="1" t="n">
        <v>45141</v>
      </c>
      <c r="C97" s="1" t="n">
        <v>45512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Triplax rufipes</t>
        </is>
      </c>
      <c r="S97">
        <f>HYPERLINK("https://klasma.github.io/Logging_0484/artfynd/A 34717-2023 artfynd.xlsx", "A 34717-2023")</f>
        <v/>
      </c>
      <c r="T97">
        <f>HYPERLINK("https://klasma.github.io/Logging_0484/kartor/A 34717-2023 karta.png", "A 34717-2023")</f>
        <v/>
      </c>
      <c r="V97">
        <f>HYPERLINK("https://klasma.github.io/Logging_0484/klagomål/A 34717-2023 FSC-klagomål.docx", "A 34717-2023")</f>
        <v/>
      </c>
      <c r="W97">
        <f>HYPERLINK("https://klasma.github.io/Logging_0484/klagomålsmail/A 34717-2023 FSC-klagomål mail.docx", "A 34717-2023")</f>
        <v/>
      </c>
      <c r="X97">
        <f>HYPERLINK("https://klasma.github.io/Logging_0484/tillsyn/A 34717-2023 tillsynsbegäran.docx", "A 34717-2023")</f>
        <v/>
      </c>
      <c r="Y97">
        <f>HYPERLINK("https://klasma.github.io/Logging_0484/tillsynsmail/A 34717-2023 tillsynsbegäran mail.docx", "A 34717-2023")</f>
        <v/>
      </c>
    </row>
    <row r="98" ht="15" customHeight="1">
      <c r="A98" t="inlineStr">
        <is>
          <t>A 46596-2023</t>
        </is>
      </c>
      <c r="B98" s="1" t="n">
        <v>45198</v>
      </c>
      <c r="C98" s="1" t="n">
        <v>45512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HYPERLINK("https://klasma.github.io/Logging_0484/artfynd/A 46596-2023 artfynd.xlsx", "A 46596-2023")</f>
        <v/>
      </c>
      <c r="T98">
        <f>HYPERLINK("https://klasma.github.io/Logging_0484/kartor/A 46596-2023 karta.png", "A 46596-2023")</f>
        <v/>
      </c>
      <c r="V98">
        <f>HYPERLINK("https://klasma.github.io/Logging_0484/klagomål/A 46596-2023 FSC-klagomål.docx", "A 46596-2023")</f>
        <v/>
      </c>
      <c r="W98">
        <f>HYPERLINK("https://klasma.github.io/Logging_0484/klagomålsmail/A 46596-2023 FSC-klagomål mail.docx", "A 46596-2023")</f>
        <v/>
      </c>
      <c r="X98">
        <f>HYPERLINK("https://klasma.github.io/Logging_0484/tillsyn/A 46596-2023 tillsynsbegäran.docx", "A 46596-2023")</f>
        <v/>
      </c>
      <c r="Y98">
        <f>HYPERLINK("https://klasma.github.io/Logging_0484/tillsynsmail/A 46596-2023 tillsynsbegäran mail.docx", "A 46596-2023")</f>
        <v/>
      </c>
    </row>
    <row r="99" ht="15" customHeight="1">
      <c r="A99" t="inlineStr">
        <is>
          <t>A 15547-2024</t>
        </is>
      </c>
      <c r="B99" s="1" t="n">
        <v>45401</v>
      </c>
      <c r="C99" s="1" t="n">
        <v>45512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HYPERLINK("https://klasma.github.io/Logging_0484/artfynd/A 15547-2024 artfynd.xlsx", "A 15547-2024")</f>
        <v/>
      </c>
      <c r="T99">
        <f>HYPERLINK("https://klasma.github.io/Logging_0484/kartor/A 15547-2024 karta.png", "A 15547-2024")</f>
        <v/>
      </c>
      <c r="V99">
        <f>HYPERLINK("https://klasma.github.io/Logging_0484/klagomål/A 15547-2024 FSC-klagomål.docx", "A 15547-2024")</f>
        <v/>
      </c>
      <c r="W99">
        <f>HYPERLINK("https://klasma.github.io/Logging_0484/klagomålsmail/A 15547-2024 FSC-klagomål mail.docx", "A 15547-2024")</f>
        <v/>
      </c>
      <c r="X99">
        <f>HYPERLINK("https://klasma.github.io/Logging_0484/tillsyn/A 15547-2024 tillsynsbegäran.docx", "A 15547-2024")</f>
        <v/>
      </c>
      <c r="Y99">
        <f>HYPERLINK("https://klasma.github.io/Logging_0484/tillsynsmail/A 15547-2024 tillsynsbegäran mail.docx", "A 15547-2024")</f>
        <v/>
      </c>
      <c r="Z99">
        <f>HYPERLINK("https://klasma.github.io/Logging_0484/fåglar/A 15547-2024 prioriterade fågelarter.docx", "A 15547-2024")</f>
        <v/>
      </c>
    </row>
    <row r="100" ht="15" customHeight="1">
      <c r="A100" t="inlineStr">
        <is>
          <t>A 15543-2024</t>
        </is>
      </c>
      <c r="B100" s="1" t="n">
        <v>45401</v>
      </c>
      <c r="C100" s="1" t="n">
        <v>45512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15543-2024 artfynd.xlsx", "A 15543-2024")</f>
        <v/>
      </c>
      <c r="T100">
        <f>HYPERLINK("https://klasma.github.io/Logging_0484/kartor/A 15543-2024 karta.png", "A 15543-2024")</f>
        <v/>
      </c>
      <c r="V100">
        <f>HYPERLINK("https://klasma.github.io/Logging_0484/klagomål/A 15543-2024 FSC-klagomål.docx", "A 15543-2024")</f>
        <v/>
      </c>
      <c r="W100">
        <f>HYPERLINK("https://klasma.github.io/Logging_0484/klagomålsmail/A 15543-2024 FSC-klagomål mail.docx", "A 15543-2024")</f>
        <v/>
      </c>
      <c r="X100">
        <f>HYPERLINK("https://klasma.github.io/Logging_0484/tillsyn/A 15543-2024 tillsynsbegäran.docx", "A 15543-2024")</f>
        <v/>
      </c>
      <c r="Y100">
        <f>HYPERLINK("https://klasma.github.io/Logging_0484/tillsynsmail/A 15543-2024 tillsynsbegäran mail.docx", "A 15543-2024")</f>
        <v/>
      </c>
    </row>
    <row r="101" ht="15" customHeight="1">
      <c r="A101" t="inlineStr">
        <is>
          <t>A 25919-2024</t>
        </is>
      </c>
      <c r="B101" s="1" t="n">
        <v>45467</v>
      </c>
      <c r="C101" s="1" t="n">
        <v>45512</v>
      </c>
      <c r="D101" t="inlineStr">
        <is>
          <t>SÖDERMANLANDS LÄN</t>
        </is>
      </c>
      <c r="E101" t="inlineStr">
        <is>
          <t>ESKILSTUNA</t>
        </is>
      </c>
      <c r="G101" t="n">
        <v>10.1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HYPERLINK("https://klasma.github.io/Logging_0484/artfynd/A 25919-2024 artfynd.xlsx", "A 25919-2024")</f>
        <v/>
      </c>
      <c r="T101">
        <f>HYPERLINK("https://klasma.github.io/Logging_0484/kartor/A 25919-2024 karta.png", "A 25919-2024")</f>
        <v/>
      </c>
      <c r="V101">
        <f>HYPERLINK("https://klasma.github.io/Logging_0484/klagomål/A 25919-2024 FSC-klagomål.docx", "A 25919-2024")</f>
        <v/>
      </c>
      <c r="W101">
        <f>HYPERLINK("https://klasma.github.io/Logging_0484/klagomålsmail/A 25919-2024 FSC-klagomål mail.docx", "A 25919-2024")</f>
        <v/>
      </c>
      <c r="X101">
        <f>HYPERLINK("https://klasma.github.io/Logging_0484/tillsyn/A 25919-2024 tillsynsbegäran.docx", "A 25919-2024")</f>
        <v/>
      </c>
      <c r="Y101">
        <f>HYPERLINK("https://klasma.github.io/Logging_0484/tillsynsmail/A 25919-2024 tillsynsbegäran mail.docx", "A 25919-2024")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45512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45512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45512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45512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45512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45512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45512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45512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45512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45512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45512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45512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45512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45512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45512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45512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45512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45512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45512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45512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45512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45512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45512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45512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45512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45512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45512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45512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45512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45512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45512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45512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45512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45512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45512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45512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45512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45512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45512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45512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45512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45512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45512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45512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45512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45512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45512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45512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45512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45512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45512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45512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45512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45512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45512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45512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45512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45512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45512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45512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45512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45512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45512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45512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45512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45512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45512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45512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45512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45512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45512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45512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45512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45512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45512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45512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45512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45512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45512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45512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45512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45512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45512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45512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45512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45512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45512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45512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45512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45512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45512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45512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45512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45512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45512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45512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45512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45512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45512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45512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45512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45512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45512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45512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45512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45512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45512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45512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45512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45512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45512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45512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45512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45512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45512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45512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45512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45512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45512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45512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45512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45512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45512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45512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45512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45512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45512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45512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45512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45512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45512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45512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45512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45512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45512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45512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45512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45512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45512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45512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45512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45512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45512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45512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45512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45512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45512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45512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45512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45512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45512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45512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45512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45512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45512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45512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45512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45512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45512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45512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45512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45512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45512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45512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45512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45512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45512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45512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45512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45512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45512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45512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45512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45512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45512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45512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45512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45512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45512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45512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45512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45512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45512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45512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45512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45512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45512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45512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45512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45512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45512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45512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45512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45512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45512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45512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45512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45512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45512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45512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45512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45512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45512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45512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45512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45512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45512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45512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45512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45512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45512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45512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45512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45512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45512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45512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45512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45512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45512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45512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45512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45512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45512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45512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45512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45512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45512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45512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45512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45512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45512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45512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45512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45512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45512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45512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45512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45512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45512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45512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45512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45512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45512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45512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45512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45512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45512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45512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45512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45512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45512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45512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45512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45512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45512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45512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45512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45512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45512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45512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45512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45512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45512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45512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45512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45512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45512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45512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45512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45512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45512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45512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45512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45512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45512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45512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45512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45512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45512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45512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45512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45512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45512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45512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45512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45512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45512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45512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45512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45512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45512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45512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45512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45512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45512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45512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45512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45512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45512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45512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45512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45512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45512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45512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45512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45512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45512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45512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45512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45512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45512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45512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45512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45512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45512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45512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45512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45512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45512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45512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45512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45512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45512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45512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45512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45512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45512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45512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45512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45512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45512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45512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45512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45512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45512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45512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45512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45512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45512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45512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45512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45512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45512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45512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45512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45512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45512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45512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45512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45512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45512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45512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45512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45512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45512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45512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45512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45512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45512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45512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45512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45512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45512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45512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45512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45512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45512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45512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45512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45512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45512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45512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45512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45512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45512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45512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45512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45512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45512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45512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45512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45512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45512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45512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45512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45512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45512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45512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45512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45512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45512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45512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45512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45512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45512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45512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45512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45512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45512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45512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45512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45512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45512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45512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45512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45512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45512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45512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45512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45512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45512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45512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45512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45512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45512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45512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45512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45512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45512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45512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45512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45512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45512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45512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45512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45512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45512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45512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45512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45512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45512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45512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45512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45512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45512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45512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45512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45512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45512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45512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45512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45512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45512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45512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45512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45512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45512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45512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45512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45512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45512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45512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45512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45512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45512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45512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45512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45512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45512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45512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45512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45512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45512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45512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45512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45512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45512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45512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45512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45512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45512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45512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45512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45512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45512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45512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45512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45512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45512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45512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45512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45512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45512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45512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45512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45512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45512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45512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45512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45512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45512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45512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45512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45512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45512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45512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45512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45512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45512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45512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45512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45512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45512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45512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45512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45512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45512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45512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45512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45512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45512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45512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45512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45512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45512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45512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45512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45512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45512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45512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45512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45512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45512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45512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45512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45512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45512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45512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45512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45512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45512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45512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45512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45512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45512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45512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45512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45512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45512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45512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45512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45512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45512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45512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45512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45512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45512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45512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45512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45512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45512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45512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45512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45512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45512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45512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45512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45512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45512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45512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45512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45512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45512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45512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45512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45512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45512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45512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45512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45512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45512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45512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45512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45512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45512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45512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45512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45512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45512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45512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45512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45512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45512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45512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45512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45512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45512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45512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45512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45512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45512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45512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45512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45512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45512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45512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45512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45512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45512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45512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45512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45512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45512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45512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45512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45512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45512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45512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45512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45512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45512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45512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45512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45512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45512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45512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45512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45512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45512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45512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45512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45512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45512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45512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45512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45512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45512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45512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45512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45512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45512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45512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45512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45512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45512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45512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45512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45512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45512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45512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45512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45512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45512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45512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45512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45512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45512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45512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45512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45512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45512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45512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45512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45512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45512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45512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45512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45512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45512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45512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45512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45512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45512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45512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45512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45512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45512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45512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45512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45512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45512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45512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45512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45512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45512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45512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45512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45512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45512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45512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45512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45512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45512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45512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45512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45512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45512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45512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45512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45512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45512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45512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45512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45512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45512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45512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45512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45512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45512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45512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45512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45512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45512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45512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45512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45512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45512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45512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45512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45512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45512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45512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45512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45512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45512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45512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45512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45512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45512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45512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45512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45512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45512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45512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45512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45512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45512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45512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45512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45512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45512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45512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45512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45512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45512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45512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45512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45512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45512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45512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45512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45512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45512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45512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45512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45512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45512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45512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45512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45512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45512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45512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45512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45512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45512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45512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45512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45512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45512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45512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45512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45512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45512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45512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45512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45512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45512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45512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45512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45512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45512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45512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45512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45512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45512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45512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45512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45512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45512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45512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45512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45512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45512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45512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45512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45512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45512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45512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45512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45512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45512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45512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45512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45512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45512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45512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45512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45512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45512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45512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45512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45512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45512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45512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45512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45512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45512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45512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45512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45512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45512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45512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45512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45512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45512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45512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45512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45512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45512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45512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45512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45512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45512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45512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45512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45512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45512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45512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45512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45512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45512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45512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45512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45512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45512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45512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45512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45512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45512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45512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45512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45512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45512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45512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45512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45512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45512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45512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45512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45512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45512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45512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45512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45512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45512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45512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45512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45512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45512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45512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45512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45512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45512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45512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45512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45512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45512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45512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45512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45512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45512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45512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45512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45512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45512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45512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45512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45512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45512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45512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45512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45512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45512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45512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45512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45512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45512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45512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45512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45512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45512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45512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45512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45512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45512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45512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45512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45512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45512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45512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45512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45512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45512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45512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45512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45512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45512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45512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45512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45512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45512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45512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45512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45512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45512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45512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29902-2024</t>
        </is>
      </c>
      <c r="B1018" s="1" t="n">
        <v>45487</v>
      </c>
      <c r="C1018" s="1" t="n">
        <v>45512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Kommuner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30732-2024</t>
        </is>
      </c>
      <c r="B1019" s="1" t="n">
        <v>45496</v>
      </c>
      <c r="C1019" s="1" t="n">
        <v>45512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2024-08-08T10:04:19Z</dcterms:created>
  <dcterms:modified xmlns:dcterms="http://purl.org/dc/terms/" xmlns:xsi="http://www.w3.org/2001/XMLSchema-instance" xsi:type="dcterms:W3CDTF">2024-08-08T10:04:20Z</dcterms:modified>
</cp:coreProperties>
</file>