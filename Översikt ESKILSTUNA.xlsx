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46231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46231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46231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46231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46231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46231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46231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46231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46231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46231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46231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46231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46231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28983-2026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46199</v>
      </c>
      <c r="E25" s="1" t="n">
        <v>46231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Motaggsvamp
Rävticka
Trådticka</t>
        </is>
      </c>
      <c r="W25">
        <f>HYPERLINK("https://klasma.github.io/Logging_0484/artfynd/A 28983-2026 artfynd.xlsx", "A 28983-2026")</f>
        <v/>
      </c>
      <c r="X25">
        <f>HYPERLINK("https://klasma.github.io/Logging_0484/kartor/A 28983-2026 karta.png", "A 28983-2026")</f>
        <v/>
      </c>
      <c r="Y25">
        <f>HYPERLINK("https://klasma.github.io/Logging_0484/kartor_geotiff/A 28983-2026 georefererad karta.tif", "A 28983-2026")</f>
        <v/>
      </c>
      <c r="AA25">
        <f>HYPERLINK("https://klasma.github.io/Logging_0484/klagomål/A 28983-2026 FSC-klagomål.docx", "A 28983-2026")</f>
        <v/>
      </c>
      <c r="AB25">
        <f>HYPERLINK("https://klasma.github.io/Logging_0484/klagomålsmail/A 28983-2026 FSC-klagomål mail.docx", "A 28983-2026")</f>
        <v/>
      </c>
      <c r="AC25">
        <f>HYPERLINK("https://klasma.github.io/Logging_0484/tillsyn/A 28983-2026 tillsynsbegäran.docx", "A 28983-2026")</f>
        <v/>
      </c>
      <c r="AD25">
        <f>HYPERLINK("https://klasma.github.io/Logging_0484/tillsynsmail/A 28983-2026 tillsynsbegäran mail.docx", "A 28983-2026")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46231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46231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46231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46231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46231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46231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46231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46231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46231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26095-2026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Svinrot
Spillkråka</t>
        </is>
      </c>
      <c r="W41">
        <f>HYPERLINK("https://klasma.github.io/Logging_0484/artfynd/A 26095-2026 artfynd.xlsx", "A 26095-2026")</f>
        <v/>
      </c>
      <c r="X41">
        <f>HYPERLINK("https://klasma.github.io/Logging_0484/kartor/A 26095-2026 karta.png", "A 26095-2026")</f>
        <v/>
      </c>
      <c r="Y41">
        <f>HYPERLINK("https://klasma.github.io/Logging_0484/kartor_geotiff/A 26095-2026 georefererad karta.tif", "A 26095-2026")</f>
        <v/>
      </c>
      <c r="AA41">
        <f>HYPERLINK("https://klasma.github.io/Logging_0484/klagomål/A 26095-2026 FSC-klagomål.docx", "A 26095-2026")</f>
        <v/>
      </c>
      <c r="AB41">
        <f>HYPERLINK("https://klasma.github.io/Logging_0484/klagomålsmail/A 26095-2026 FSC-klagomål mail.docx", "A 26095-2026")</f>
        <v/>
      </c>
      <c r="AC41">
        <f>HYPERLINK("https://klasma.github.io/Logging_0484/tillsyn/A 26095-2026 tillsynsbegäran.docx", "A 26095-2026")</f>
        <v/>
      </c>
      <c r="AD41">
        <f>HYPERLINK("https://klasma.github.io/Logging_0484/tillsynsmail/A 26095-2026 tillsynsbegäran mail.docx", "A 26095-2026")</f>
        <v/>
      </c>
      <c r="AE41">
        <f>HYPERLINK("https://klasma.github.io/Logging_0484/fåglar/A 26095-2026 prioriterade fågelarter.docx", "A 26095-2026")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Backsippa
Backtimjan</t>
        </is>
      </c>
      <c r="W42">
        <f>HYPERLINK("https://klasma.github.io/Logging_0484/artfynd/A 26105-2026 artfynd.xlsx", "A 26105-2026")</f>
        <v/>
      </c>
      <c r="X42">
        <f>HYPERLINK("https://klasma.github.io/Logging_0484/kartor/A 26105-2026 karta.png", "A 26105-2026")</f>
        <v/>
      </c>
      <c r="Y42">
        <f>HYPERLINK("https://klasma.github.io/Logging_0484/kartor_geotiff/A 26105-2026 georefererad karta.tif", "A 26105-2026")</f>
        <v/>
      </c>
      <c r="AA42">
        <f>HYPERLINK("https://klasma.github.io/Logging_0484/klagomål/A 26105-2026 FSC-klagomål.docx", "A 26105-2026")</f>
        <v/>
      </c>
      <c r="AB42">
        <f>HYPERLINK("https://klasma.github.io/Logging_0484/klagomålsmail/A 26105-2026 FSC-klagomål mail.docx", "A 26105-2026")</f>
        <v/>
      </c>
      <c r="AC42">
        <f>HYPERLINK("https://klasma.github.io/Logging_0484/tillsyn/A 26105-2026 tillsynsbegäran.docx", "A 26105-2026")</f>
        <v/>
      </c>
      <c r="AD42">
        <f>HYPERLINK("https://klasma.github.io/Logging_0484/tillsynsmail/A 26105-2026 tillsynsbegäran mail.docx", "A 26105-2026")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46231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46231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46231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46231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46231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46231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46231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46231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46231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46231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46231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46231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46231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46231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46231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46231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46231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HYPERLINK("https://klasma.github.io/Logging_0484/artfynd/A 12984-2024 artfynd.xlsx", "A 12984-2024")</f>
        <v/>
      </c>
      <c r="X60">
        <f>HYPERLINK("https://klasma.github.io/Logging_0484/kartor/A 12984-2024 karta.png", "A 12984-2024")</f>
        <v/>
      </c>
      <c r="Y60">
        <f>HYPERLINK("https://klasma.github.io/Logging_0484/kartor_geotiff/A 12984-2024 georefererad karta.tif", "A 12984-2024")</f>
        <v/>
      </c>
      <c r="AA60">
        <f>HYPERLINK("https://klasma.github.io/Logging_0484/klagomål/A 12984-2024 FSC-klagomål.docx", "A 12984-2024")</f>
        <v/>
      </c>
      <c r="AB60">
        <f>HYPERLINK("https://klasma.github.io/Logging_0484/klagomålsmail/A 12984-2024 FSC-klagomål mail.docx", "A 12984-2024")</f>
        <v/>
      </c>
      <c r="AC60">
        <f>HYPERLINK("https://klasma.github.io/Logging_0484/tillsyn/A 12984-2024 tillsynsbegäran.docx", "A 12984-2024")</f>
        <v/>
      </c>
      <c r="AD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46231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46231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HYPERLINK("https://klasma.github.io/Logging_0484/artfynd/A 43547-2022 artfynd.xlsx", "A 43547-2022")</f>
        <v/>
      </c>
      <c r="X62">
        <f>HYPERLINK("https://klasma.github.io/Logging_0484/kartor/A 43547-2022 karta.png", "A 43547-2022")</f>
        <v/>
      </c>
      <c r="Y62">
        <f>HYPERLINK("https://klasma.github.io/Logging_0484/kartor_geotiff/A 43547-2022 georefererad karta.tif", "A 43547-2022")</f>
        <v/>
      </c>
      <c r="Z62">
        <f>HYPERLINK("https://klasma.github.io/Logging_0484/knärot/A 43547-2022 karta knärot.png", "A 43547-2022")</f>
        <v/>
      </c>
      <c r="AA62">
        <f>HYPERLINK("https://klasma.github.io/Logging_0484/klagomål/A 43547-2022 FSC-klagomål.docx", "A 43547-2022")</f>
        <v/>
      </c>
      <c r="AB62">
        <f>HYPERLINK("https://klasma.github.io/Logging_0484/klagomålsmail/A 43547-2022 FSC-klagomål mail.docx", "A 43547-2022")</f>
        <v/>
      </c>
      <c r="AC62">
        <f>HYPERLINK("https://klasma.github.io/Logging_0484/tillsyn/A 43547-2022 tillsynsbegäran.docx", "A 43547-2022")</f>
        <v/>
      </c>
      <c r="AD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46231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Grönsångare</t>
        </is>
      </c>
      <c r="W63">
        <f>HYPERLINK("https://klasma.github.io/Logging_0484/artfynd/A 47648-2022 artfynd.xlsx", "A 47648-2022")</f>
        <v/>
      </c>
      <c r="X63">
        <f>HYPERLINK("https://klasma.github.io/Logging_0484/kartor/A 47648-2022 karta.png", "A 47648-2022")</f>
        <v/>
      </c>
      <c r="Y63">
        <f>HYPERLINK("https://klasma.github.io/Logging_0484/kartor_geotiff/A 47648-2022 georefererad karta.tif", "A 47648-2022")</f>
        <v/>
      </c>
      <c r="AA63">
        <f>HYPERLINK("https://klasma.github.io/Logging_0484/klagomål/A 47648-2022 FSC-klagomål.docx", "A 47648-2022")</f>
        <v/>
      </c>
      <c r="AB63">
        <f>HYPERLINK("https://klasma.github.io/Logging_0484/klagomålsmail/A 47648-2022 FSC-klagomål mail.docx", "A 47648-2022")</f>
        <v/>
      </c>
      <c r="AC63">
        <f>HYPERLINK("https://klasma.github.io/Logging_0484/tillsyn/A 47648-2022 tillsynsbegäran.docx", "A 47648-2022")</f>
        <v/>
      </c>
      <c r="AD63">
        <f>HYPERLINK("https://klasma.github.io/Logging_0484/tillsynsmail/A 47648-2022 tillsynsbegäran mail.docx", "A 47648-2022")</f>
        <v/>
      </c>
      <c r="AE63">
        <f>HYPERLINK("https://klasma.github.io/Logging_0484/fåglar/A 47648-2022 prioriterade fågelarter.docx", "A 47648-2022")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46231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8518-2026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46231</v>
      </c>
      <c r="F65" t="inlineStr">
        <is>
          <t>SÖDERMANLANDS LÄN</t>
        </is>
      </c>
      <c r="G65" t="inlineStr">
        <is>
          <t>ESKILSTUNA</t>
        </is>
      </c>
      <c r="I65" t="n">
        <v>8.9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8518-2026 artfynd.xlsx", "A 8518-2026")</f>
        <v/>
      </c>
      <c r="X65">
        <f>HYPERLINK("https://klasma.github.io/Logging_0484/kartor/A 8518-2026 karta.png", "A 8518-2026")</f>
        <v/>
      </c>
      <c r="Y65">
        <f>HYPERLINK("https://klasma.github.io/Logging_0484/kartor_geotiff/A 8518-2026 georefererad karta.tif", "A 8518-2026")</f>
        <v/>
      </c>
      <c r="AA65">
        <f>HYPERLINK("https://klasma.github.io/Logging_0484/klagomål/A 8518-2026 FSC-klagomål.docx", "A 8518-2026")</f>
        <v/>
      </c>
      <c r="AB65">
        <f>HYPERLINK("https://klasma.github.io/Logging_0484/klagomålsmail/A 8518-2026 FSC-klagomål mail.docx", "A 8518-2026")</f>
        <v/>
      </c>
      <c r="AC65">
        <f>HYPERLINK("https://klasma.github.io/Logging_0484/tillsyn/A 8518-2026 tillsynsbegäran.docx", "A 8518-2026")</f>
        <v/>
      </c>
      <c r="AD65">
        <f>HYPERLINK("https://klasma.github.io/Logging_0484/tillsynsmail/A 8518-2026 tillsynsbegäran mail.docx", "A 8518-2026")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46231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15608-2026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46231</v>
      </c>
      <c r="F67" t="inlineStr">
        <is>
          <t>SÖDERMANLANDS LÄN</t>
        </is>
      </c>
      <c r="G67" t="inlineStr">
        <is>
          <t>ESKILSTUNA</t>
        </is>
      </c>
      <c r="I67" t="n">
        <v>9.6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Igelkott</t>
        </is>
      </c>
      <c r="W67">
        <f>HYPERLINK("https://klasma.github.io/Logging_0484/artfynd/A 15608-2026 artfynd.xlsx", "A 15608-2026")</f>
        <v/>
      </c>
      <c r="X67">
        <f>HYPERLINK("https://klasma.github.io/Logging_0484/kartor/A 15608-2026 karta.png", "A 15608-2026")</f>
        <v/>
      </c>
      <c r="Y67">
        <f>HYPERLINK("https://klasma.github.io/Logging_0484/kartor_geotiff/A 15608-2026 georefererad karta.tif", "A 15608-2026")</f>
        <v/>
      </c>
      <c r="AA67">
        <f>HYPERLINK("https://klasma.github.io/Logging_0484/klagomål/A 15608-2026 FSC-klagomål.docx", "A 15608-2026")</f>
        <v/>
      </c>
      <c r="AB67">
        <f>HYPERLINK("https://klasma.github.io/Logging_0484/klagomålsmail/A 15608-2026 FSC-klagomål mail.docx", "A 15608-2026")</f>
        <v/>
      </c>
      <c r="AC67">
        <f>HYPERLINK("https://klasma.github.io/Logging_0484/tillsyn/A 15608-2026 tillsynsbegäran.docx", "A 15608-2026")</f>
        <v/>
      </c>
      <c r="AD67">
        <f>HYPERLINK("https://klasma.github.io/Logging_0484/tillsynsmail/A 15608-2026 tillsynsbegäran mail.docx", "A 15608-2026")</f>
        <v/>
      </c>
    </row>
    <row r="68" ht="15" customHeight="1">
      <c r="A68" t="inlineStr">
        <is>
          <t>A 5203-2025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45691</v>
      </c>
      <c r="E68" s="1" t="n">
        <v>46231</v>
      </c>
      <c r="F68" t="inlineStr">
        <is>
          <t>SÖDERMANLANDS LÄN</t>
        </is>
      </c>
      <c r="G68" t="inlineStr">
        <is>
          <t>ESKILSTUNA</t>
        </is>
      </c>
      <c r="H68" t="inlineStr">
        <is>
          <t>Holmen skog AB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HYPERLINK("https://klasma.github.io/Logging_0484/artfynd/A 5203-2025 artfynd.xlsx", "A 5203-2025")</f>
        <v/>
      </c>
      <c r="X68">
        <f>HYPERLINK("https://klasma.github.io/Logging_0484/kartor/A 5203-2025 karta.png", "A 5203-2025")</f>
        <v/>
      </c>
      <c r="Y68">
        <f>HYPERLINK("https://klasma.github.io/Logging_0484/kartor_geotiff/A 5203-2025 georefererad karta.tif", "A 5203-2025")</f>
        <v/>
      </c>
      <c r="AA68">
        <f>HYPERLINK("https://klasma.github.io/Logging_0484/klagomål/A 5203-2025 FSC-klagomål.docx", "A 5203-2025")</f>
        <v/>
      </c>
      <c r="AB68">
        <f>HYPERLINK("https://klasma.github.io/Logging_0484/klagomålsmail/A 5203-2025 FSC-klagomål mail.docx", "A 5203-2025")</f>
        <v/>
      </c>
      <c r="AC68">
        <f>HYPERLINK("https://klasma.github.io/Logging_0484/tillsyn/A 5203-2025 tillsynsbegäran.docx", "A 5203-2025")</f>
        <v/>
      </c>
      <c r="AD68">
        <f>HYPERLINK("https://klasma.github.io/Logging_0484/tillsynsmail/A 5203-2025 tillsynsbegäran mail.docx", "A 5203-2025")</f>
        <v/>
      </c>
      <c r="AE68">
        <f>HYPERLINK("https://klasma.github.io/Logging_0484/fåglar/A 5203-2025 prioriterade fågelarter.docx", "A 5203-2025")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46231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46231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27892-2026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46191</v>
      </c>
      <c r="E71" s="1" t="n">
        <v>46231</v>
      </c>
      <c r="F71" t="inlineStr">
        <is>
          <t>SÖDERMANLANDS LÄN</t>
        </is>
      </c>
      <c r="G71" t="inlineStr">
        <is>
          <t>ESKILSTUNA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Nattviol</t>
        </is>
      </c>
      <c r="W71">
        <f>HYPERLINK("https://klasma.github.io/Logging_0484/artfynd/A 27892-2026 artfynd.xlsx", "A 27892-2026")</f>
        <v/>
      </c>
      <c r="X71">
        <f>HYPERLINK("https://klasma.github.io/Logging_0484/kartor/A 27892-2026 karta.png", "A 27892-2026")</f>
        <v/>
      </c>
      <c r="Y71">
        <f>HYPERLINK("https://klasma.github.io/Logging_0484/kartor_geotiff/A 27892-2026 georefererad karta.tif", "A 27892-2026")</f>
        <v/>
      </c>
      <c r="AA71">
        <f>HYPERLINK("https://klasma.github.io/Logging_0484/klagomål/A 27892-2026 FSC-klagomål.docx", "A 27892-2026")</f>
        <v/>
      </c>
      <c r="AB71">
        <f>HYPERLINK("https://klasma.github.io/Logging_0484/klagomålsmail/A 27892-2026 FSC-klagomål mail.docx", "A 27892-2026")</f>
        <v/>
      </c>
      <c r="AC71">
        <f>HYPERLINK("https://klasma.github.io/Logging_0484/tillsyn/A 27892-2026 tillsynsbegäran.docx", "A 27892-2026")</f>
        <v/>
      </c>
      <c r="AD71">
        <f>HYPERLINK("https://klasma.github.io/Logging_0484/tillsynsmail/A 27892-2026 tillsynsbegäran mail.docx", "A 27892-2026")</f>
        <v/>
      </c>
    </row>
    <row r="72" ht="15" customHeight="1">
      <c r="A72" t="inlineStr">
        <is>
          <t>A 57349-2021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44483</v>
      </c>
      <c r="E72" s="1" t="n">
        <v>46231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Gullviva</t>
        </is>
      </c>
      <c r="W72">
        <f>HYPERLINK("https://klasma.github.io/Logging_0484/artfynd/A 57349-2021 artfynd.xlsx", "A 57349-2021")</f>
        <v/>
      </c>
      <c r="X72">
        <f>HYPERLINK("https://klasma.github.io/Logging_0484/kartor/A 57349-2021 karta.png", "A 57349-2021")</f>
        <v/>
      </c>
      <c r="Y72">
        <f>HYPERLINK("https://klasma.github.io/Logging_0484/kartor_geotiff/A 57349-2021 georefererad karta.tif", "A 57349-2021")</f>
        <v/>
      </c>
      <c r="AA72">
        <f>HYPERLINK("https://klasma.github.io/Logging_0484/klagomål/A 57349-2021 FSC-klagomål.docx", "A 57349-2021")</f>
        <v/>
      </c>
      <c r="AB72">
        <f>HYPERLINK("https://klasma.github.io/Logging_0484/klagomålsmail/A 57349-2021 FSC-klagomål mail.docx", "A 57349-2021")</f>
        <v/>
      </c>
      <c r="AC72">
        <f>HYPERLINK("https://klasma.github.io/Logging_0484/tillsyn/A 57349-2021 tillsynsbegäran.docx", "A 57349-2021")</f>
        <v/>
      </c>
      <c r="AD72">
        <f>HYPERLINK("https://klasma.github.io/Logging_0484/tillsynsmail/A 57349-2021 tillsynsbegäran mail.docx", "A 57349-2021")</f>
        <v/>
      </c>
    </row>
    <row r="73" ht="15" customHeight="1">
      <c r="A73" t="inlineStr">
        <is>
          <t>A 29047-2026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46199</v>
      </c>
      <c r="E73" s="1" t="n">
        <v>46231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0.4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Kandelabersvamp</t>
        </is>
      </c>
      <c r="W73">
        <f>HYPERLINK("https://klasma.github.io/Logging_0484/artfynd/A 29047-2026 artfynd.xlsx", "A 29047-2026")</f>
        <v/>
      </c>
      <c r="X73">
        <f>HYPERLINK("https://klasma.github.io/Logging_0484/kartor/A 29047-2026 karta.png", "A 29047-2026")</f>
        <v/>
      </c>
      <c r="Y73">
        <f>HYPERLINK("https://klasma.github.io/Logging_0484/kartor_geotiff/A 29047-2026 georefererad karta.tif", "A 29047-2026")</f>
        <v/>
      </c>
      <c r="AA73">
        <f>HYPERLINK("https://klasma.github.io/Logging_0484/klagomål/A 29047-2026 FSC-klagomål.docx", "A 29047-2026")</f>
        <v/>
      </c>
      <c r="AB73">
        <f>HYPERLINK("https://klasma.github.io/Logging_0484/klagomålsmail/A 29047-2026 FSC-klagomål mail.docx", "A 29047-2026")</f>
        <v/>
      </c>
      <c r="AC73">
        <f>HYPERLINK("https://klasma.github.io/Logging_0484/tillsyn/A 29047-2026 tillsynsbegäran.docx", "A 29047-2026")</f>
        <v/>
      </c>
      <c r="AD73">
        <f>HYPERLINK("https://klasma.github.io/Logging_0484/tillsynsmail/A 29047-2026 tillsynsbegäran mail.docx", "A 29047-2026")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46231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46231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46231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52840-2025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46231</v>
      </c>
      <c r="F77" t="inlineStr">
        <is>
          <t>SÖDERMANLANDS LÄN</t>
        </is>
      </c>
      <c r="G77" t="inlineStr">
        <is>
          <t>ESKILSTUNA</t>
        </is>
      </c>
      <c r="I77" t="n">
        <v>1.3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Skrovlig taggsvamp</t>
        </is>
      </c>
      <c r="W77">
        <f>HYPERLINK("https://klasma.github.io/Logging_0484/artfynd/A 52840-2025 artfynd.xlsx", "A 52840-2025")</f>
        <v/>
      </c>
      <c r="X77">
        <f>HYPERLINK("https://klasma.github.io/Logging_0484/kartor/A 52840-2025 karta.png", "A 52840-2025")</f>
        <v/>
      </c>
      <c r="Y77">
        <f>HYPERLINK("https://klasma.github.io/Logging_0484/kartor_geotiff/A 52840-2025 georefererad karta.tif", "A 52840-2025")</f>
        <v/>
      </c>
      <c r="AA77">
        <f>HYPERLINK("https://klasma.github.io/Logging_0484/klagomål/A 52840-2025 FSC-klagomål.docx", "A 52840-2025")</f>
        <v/>
      </c>
      <c r="AB77">
        <f>HYPERLINK("https://klasma.github.io/Logging_0484/klagomålsmail/A 52840-2025 FSC-klagomål mail.docx", "A 52840-2025")</f>
        <v/>
      </c>
      <c r="AC77">
        <f>HYPERLINK("https://klasma.github.io/Logging_0484/tillsyn/A 52840-2025 tillsynsbegäran.docx", "A 52840-2025")</f>
        <v/>
      </c>
      <c r="AD77">
        <f>HYPERLINK("https://klasma.github.io/Logging_0484/tillsynsmail/A 52840-2025 tillsynsbegäran mail.docx", "A 52840-2025")</f>
        <v/>
      </c>
    </row>
    <row r="78" ht="15" customHeight="1">
      <c r="A78" t="inlineStr">
        <is>
          <t>A 29647-2023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46231</v>
      </c>
      <c r="F78" t="inlineStr">
        <is>
          <t>SÖDERMANLANDS LÄN</t>
        </is>
      </c>
      <c r="G78" t="inlineStr">
        <is>
          <t>ESKILSTUNA</t>
        </is>
      </c>
      <c r="H78" t="inlineStr">
        <is>
          <t>Allmännings- och besparingsskogar</t>
        </is>
      </c>
      <c r="I78" t="n">
        <v>0.9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Rödvingetrast</t>
        </is>
      </c>
      <c r="W78">
        <f>HYPERLINK("https://klasma.github.io/Logging_0484/artfynd/A 29647-2023 artfynd.xlsx", "A 29647-2023")</f>
        <v/>
      </c>
      <c r="X78">
        <f>HYPERLINK("https://klasma.github.io/Logging_0484/kartor/A 29647-2023 karta.png", "A 29647-2023")</f>
        <v/>
      </c>
      <c r="Y78">
        <f>HYPERLINK("https://klasma.github.io/Logging_0484/kartor_geotiff/A 29647-2023 georefererad karta.tif", "A 29647-2023")</f>
        <v/>
      </c>
      <c r="AA78">
        <f>HYPERLINK("https://klasma.github.io/Logging_0484/klagomål/A 29647-2023 FSC-klagomål.docx", "A 29647-2023")</f>
        <v/>
      </c>
      <c r="AB78">
        <f>HYPERLINK("https://klasma.github.io/Logging_0484/klagomålsmail/A 29647-2023 FSC-klagomål mail.docx", "A 29647-2023")</f>
        <v/>
      </c>
      <c r="AC78">
        <f>HYPERLINK("https://klasma.github.io/Logging_0484/tillsyn/A 29647-2023 tillsynsbegäran.docx", "A 29647-2023")</f>
        <v/>
      </c>
      <c r="AD78">
        <f>HYPERLINK("https://klasma.github.io/Logging_0484/tillsynsmail/A 29647-2023 tillsynsbegäran mail.docx", "A 29647-2023")</f>
        <v/>
      </c>
      <c r="AE78">
        <f>HYPERLINK("https://klasma.github.io/Logging_0484/fåglar/A 29647-2023 prioriterade fågelarter.docx", "A 29647-2023")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46231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26008-2026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46231</v>
      </c>
      <c r="F80" t="inlineStr">
        <is>
          <t>SÖDERMANLANDS LÄN</t>
        </is>
      </c>
      <c r="G80" t="inlineStr">
        <is>
          <t>ESKILSTUNA</t>
        </is>
      </c>
      <c r="I80" t="n">
        <v>2.8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8</v>
      </c>
      <c r="U80" t="n">
        <v>0</v>
      </c>
      <c r="V80" s="2" t="inlineStr">
        <is>
          <t>Svart trolldruva</t>
        </is>
      </c>
      <c r="W80">
        <f>HYPERLINK("https://klasma.github.io/Logging_0484/artfynd/A 26008-2026 artfynd.xlsx", "A 26008-2026")</f>
        <v/>
      </c>
      <c r="X80">
        <f>HYPERLINK("https://klasma.github.io/Logging_0484/kartor/A 26008-2026 karta.png", "A 26008-2026")</f>
        <v/>
      </c>
      <c r="Y80">
        <f>HYPERLINK("https://klasma.github.io/Logging_0484/kartor_geotiff/A 26008-2026 georefererad karta.tif", "A 26008-2026")</f>
        <v/>
      </c>
      <c r="AA80">
        <f>HYPERLINK("https://klasma.github.io/Logging_0484/klagomål/A 26008-2026 FSC-klagomål.docx", "A 26008-2026")</f>
        <v/>
      </c>
      <c r="AB80">
        <f>HYPERLINK("https://klasma.github.io/Logging_0484/klagomålsmail/A 26008-2026 FSC-klagomål mail.docx", "A 26008-2026")</f>
        <v/>
      </c>
      <c r="AC80">
        <f>HYPERLINK("https://klasma.github.io/Logging_0484/tillsyn/A 26008-2026 tillsynsbegäran.docx", "A 26008-2026")</f>
        <v/>
      </c>
      <c r="AD80">
        <f>HYPERLINK("https://klasma.github.io/Logging_0484/tillsynsmail/A 26008-2026 tillsynsbegäran mail.docx", "A 26008-2026")</f>
        <v/>
      </c>
    </row>
    <row r="81" ht="15" customHeight="1">
      <c r="A81" t="inlineStr">
        <is>
          <t>A 26094-2026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46231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HYPERLINK("https://klasma.github.io/Logging_0484/artfynd/A 26094-2026 artfynd.xlsx", "A 26094-2026")</f>
        <v/>
      </c>
      <c r="X81">
        <f>HYPERLINK("https://klasma.github.io/Logging_0484/kartor/A 26094-2026 karta.png", "A 26094-2026")</f>
        <v/>
      </c>
      <c r="Y81">
        <f>HYPERLINK("https://klasma.github.io/Logging_0484/kartor_geotiff/A 26094-2026 georefererad karta.tif", "A 26094-2026")</f>
        <v/>
      </c>
      <c r="AA81">
        <f>HYPERLINK("https://klasma.github.io/Logging_0484/klagomål/A 26094-2026 FSC-klagomål.docx", "A 26094-2026")</f>
        <v/>
      </c>
      <c r="AB81">
        <f>HYPERLINK("https://klasma.github.io/Logging_0484/klagomålsmail/A 26094-2026 FSC-klagomål mail.docx", "A 26094-2026")</f>
        <v/>
      </c>
      <c r="AC81">
        <f>HYPERLINK("https://klasma.github.io/Logging_0484/tillsyn/A 26094-2026 tillsynsbegäran.docx", "A 26094-2026")</f>
        <v/>
      </c>
      <c r="AD81">
        <f>HYPERLINK("https://klasma.github.io/Logging_0484/tillsynsmail/A 26094-2026 tillsynsbegäran mail.docx", "A 26094-2026")</f>
        <v/>
      </c>
      <c r="AE81">
        <f>HYPERLINK("https://klasma.github.io/Logging_0484/fåglar/A 26094-2026 prioriterade fågelarter.docx", "A 26094-2026")</f>
        <v/>
      </c>
    </row>
    <row r="82" ht="15" customHeight="1">
      <c r="A82" t="inlineStr">
        <is>
          <t>A 30975-2023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46231</v>
      </c>
      <c r="F82" t="inlineStr">
        <is>
          <t>SÖDERMANLANDS LÄN</t>
        </is>
      </c>
      <c r="G82" t="inlineStr">
        <is>
          <t>ESKILSTUNA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Bombmurkla</t>
        </is>
      </c>
      <c r="W82">
        <f>HYPERLINK("https://klasma.github.io/Logging_0484/artfynd/A 30975-2023 artfynd.xlsx", "A 30975-2023")</f>
        <v/>
      </c>
      <c r="X82">
        <f>HYPERLINK("https://klasma.github.io/Logging_0484/kartor/A 30975-2023 karta.png", "A 30975-2023")</f>
        <v/>
      </c>
      <c r="Y82">
        <f>HYPERLINK("https://klasma.github.io/Logging_0484/kartor_geotiff/A 30975-2023 georefererad karta.tif", "A 30975-2023")</f>
        <v/>
      </c>
      <c r="AA82">
        <f>HYPERLINK("https://klasma.github.io/Logging_0484/klagomål/A 30975-2023 FSC-klagomål.docx", "A 30975-2023")</f>
        <v/>
      </c>
      <c r="AB82">
        <f>HYPERLINK("https://klasma.github.io/Logging_0484/klagomålsmail/A 30975-2023 FSC-klagomål mail.docx", "A 30975-2023")</f>
        <v/>
      </c>
      <c r="AC82">
        <f>HYPERLINK("https://klasma.github.io/Logging_0484/tillsyn/A 30975-2023 tillsynsbegäran.docx", "A 30975-2023")</f>
        <v/>
      </c>
      <c r="AD82">
        <f>HYPERLINK("https://klasma.github.io/Logging_0484/tillsynsmail/A 30975-2023 tillsynsbegäran mail.docx", "A 30975-2023")</f>
        <v/>
      </c>
    </row>
    <row r="83" ht="15" customHeight="1">
      <c r="A83" t="inlineStr">
        <is>
          <t>A 50760-2023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46231</v>
      </c>
      <c r="F83" t="inlineStr">
        <is>
          <t>SÖDERMANLANDS LÄN</t>
        </is>
      </c>
      <c r="G83" t="inlineStr">
        <is>
          <t>ESKILSTUNA</t>
        </is>
      </c>
      <c r="I83" t="n">
        <v>4.1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Pärluggla</t>
        </is>
      </c>
      <c r="W83">
        <f>HYPERLINK("https://klasma.github.io/Logging_0484/artfynd/A 50760-2023 artfynd.xlsx", "A 50760-2023")</f>
        <v/>
      </c>
      <c r="X83">
        <f>HYPERLINK("https://klasma.github.io/Logging_0484/kartor/A 50760-2023 karta.png", "A 50760-2023")</f>
        <v/>
      </c>
      <c r="Y83">
        <f>HYPERLINK("https://klasma.github.io/Logging_0484/kartor_geotiff/A 50760-2023 georefererad karta.tif", "A 50760-2023")</f>
        <v/>
      </c>
      <c r="AA83">
        <f>HYPERLINK("https://klasma.github.io/Logging_0484/klagomål/A 50760-2023 FSC-klagomål.docx", "A 50760-2023")</f>
        <v/>
      </c>
      <c r="AB83">
        <f>HYPERLINK("https://klasma.github.io/Logging_0484/klagomålsmail/A 50760-2023 FSC-klagomål mail.docx", "A 50760-2023")</f>
        <v/>
      </c>
      <c r="AC83">
        <f>HYPERLINK("https://klasma.github.io/Logging_0484/tillsyn/A 50760-2023 tillsynsbegäran.docx", "A 50760-2023")</f>
        <v/>
      </c>
      <c r="AD83">
        <f>HYPERLINK("https://klasma.github.io/Logging_0484/tillsynsmail/A 50760-2023 tillsynsbegäran mail.docx", "A 50760-2023")</f>
        <v/>
      </c>
      <c r="AE83">
        <f>HYPERLINK("https://klasma.github.io/Logging_0484/fåglar/A 50760-2023 prioriterade fågelarter.docx", "A 50760-2023")</f>
        <v/>
      </c>
    </row>
    <row r="84" ht="15" customHeight="1">
      <c r="A84" t="inlineStr">
        <is>
          <t>A 55087-2022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46231</v>
      </c>
      <c r="F84" t="inlineStr">
        <is>
          <t>SÖDERMANLANDS LÄN</t>
        </is>
      </c>
      <c r="G84" t="inlineStr">
        <is>
          <t>ESKILSTUNA</t>
        </is>
      </c>
      <c r="I84" t="n">
        <v>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HYPERLINK("https://klasma.github.io/Logging_0484/artfynd/A 55087-2022 artfynd.xlsx", "A 55087-2022")</f>
        <v/>
      </c>
      <c r="X84">
        <f>HYPERLINK("https://klasma.github.io/Logging_0484/kartor/A 55087-2022 karta.png", "A 55087-2022")</f>
        <v/>
      </c>
      <c r="Y84">
        <f>HYPERLINK("https://klasma.github.io/Logging_0484/kartor_geotiff/A 55087-2022 georefererad karta.tif", "A 55087-2022")</f>
        <v/>
      </c>
      <c r="AA84">
        <f>HYPERLINK("https://klasma.github.io/Logging_0484/klagomål/A 55087-2022 FSC-klagomål.docx", "A 55087-2022")</f>
        <v/>
      </c>
      <c r="AB84">
        <f>HYPERLINK("https://klasma.github.io/Logging_0484/klagomålsmail/A 55087-2022 FSC-klagomål mail.docx", "A 55087-2022")</f>
        <v/>
      </c>
      <c r="AC84">
        <f>HYPERLINK("https://klasma.github.io/Logging_0484/tillsyn/A 55087-2022 tillsynsbegäran.docx", "A 55087-2022")</f>
        <v/>
      </c>
      <c r="AD84">
        <f>HYPERLINK("https://klasma.github.io/Logging_0484/tillsynsmail/A 55087-2022 tillsynsbegäran mail.docx", "A 55087-2022")</f>
        <v/>
      </c>
      <c r="AE84">
        <f>HYPERLINK("https://klasma.github.io/Logging_0484/fåglar/A 55087-2022 prioriterade fågelarter.docx", "A 55087-2022")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46231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46231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46231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46231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 sköldmossa</t>
        </is>
      </c>
      <c r="W88">
        <f>HYPERLINK("https://klasma.github.io/Logging_0484/artfynd/A 42012-2021 artfynd.xlsx", "A 42012-2021")</f>
        <v/>
      </c>
      <c r="X88">
        <f>HYPERLINK("https://klasma.github.io/Logging_0484/kartor/A 42012-2021 karta.png", "A 42012-2021")</f>
        <v/>
      </c>
      <c r="Y88">
        <f>HYPERLINK("https://klasma.github.io/Logging_0484/kartor_geotiff/A 42012-2021 georefererad karta.tif", "A 42012-2021")</f>
        <v/>
      </c>
      <c r="AA88">
        <f>HYPERLINK("https://klasma.github.io/Logging_0484/klagomål/A 42012-2021 FSC-klagomål.docx", "A 42012-2021")</f>
        <v/>
      </c>
      <c r="AB88">
        <f>HYPERLINK("https://klasma.github.io/Logging_0484/klagomålsmail/A 42012-2021 FSC-klagomål mail.docx", "A 42012-2021")</f>
        <v/>
      </c>
      <c r="AC88">
        <f>HYPERLINK("https://klasma.github.io/Logging_0484/tillsyn/A 42012-2021 tillsynsbegäran.docx", "A 42012-2021")</f>
        <v/>
      </c>
      <c r="AD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46231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Bronshjon</t>
        </is>
      </c>
      <c r="W89">
        <f>HYPERLINK("https://klasma.github.io/Logging_0484/artfynd/A 48676-2021 artfynd.xlsx", "A 48676-2021")</f>
        <v/>
      </c>
      <c r="X89">
        <f>HYPERLINK("https://klasma.github.io/Logging_0484/kartor/A 48676-2021 karta.png", "A 48676-2021")</f>
        <v/>
      </c>
      <c r="Y89">
        <f>HYPERLINK("https://klasma.github.io/Logging_0484/kartor_geotiff/A 48676-2021 georefererad karta.tif", "A 48676-2021")</f>
        <v/>
      </c>
      <c r="AA89">
        <f>HYPERLINK("https://klasma.github.io/Logging_0484/klagomål/A 48676-2021 FSC-klagomål.docx", "A 48676-2021")</f>
        <v/>
      </c>
      <c r="AB89">
        <f>HYPERLINK("https://klasma.github.io/Logging_0484/klagomålsmail/A 48676-2021 FSC-klagomål mail.docx", "A 48676-2021")</f>
        <v/>
      </c>
      <c r="AC89">
        <f>HYPERLINK("https://klasma.github.io/Logging_0484/tillsyn/A 48676-2021 tillsynsbegäran.docx", "A 48676-2021")</f>
        <v/>
      </c>
      <c r="AD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46231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Violett fingersvamp</t>
        </is>
      </c>
      <c r="W90">
        <f>HYPERLINK("https://klasma.github.io/Logging_0484/artfynd/A 23637-2023 artfynd.xlsx", "A 23637-2023")</f>
        <v/>
      </c>
      <c r="X90">
        <f>HYPERLINK("https://klasma.github.io/Logging_0484/kartor/A 23637-2023 karta.png", "A 23637-2023")</f>
        <v/>
      </c>
      <c r="Y90">
        <f>HYPERLINK("https://klasma.github.io/Logging_0484/kartor_geotiff/A 23637-2023 georefererad karta.tif", "A 23637-2023")</f>
        <v/>
      </c>
      <c r="AA90">
        <f>HYPERLINK("https://klasma.github.io/Logging_0484/klagomål/A 23637-2023 FSC-klagomål.docx", "A 23637-2023")</f>
        <v/>
      </c>
      <c r="AB90">
        <f>HYPERLINK("https://klasma.github.io/Logging_0484/klagomålsmail/A 23637-2023 FSC-klagomål mail.docx", "A 23637-2023")</f>
        <v/>
      </c>
      <c r="AC90">
        <f>HYPERLINK("https://klasma.github.io/Logging_0484/tillsyn/A 23637-2023 tillsynsbegäran.docx", "A 23637-2023")</f>
        <v/>
      </c>
      <c r="AD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46231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HYPERLINK("https://klasma.github.io/Logging_0484/artfynd/A 14327-2023 artfynd.xlsx", "A 14327-2023")</f>
        <v/>
      </c>
      <c r="X91">
        <f>HYPERLINK("https://klasma.github.io/Logging_0484/kartor/A 14327-2023 karta.png", "A 14327-2023")</f>
        <v/>
      </c>
      <c r="Y91">
        <f>HYPERLINK("https://klasma.github.io/Logging_0484/kartor_geotiff/A 14327-2023 georefererad karta.tif", "A 14327-2023")</f>
        <v/>
      </c>
      <c r="AA91">
        <f>HYPERLINK("https://klasma.github.io/Logging_0484/klagomål/A 14327-2023 FSC-klagomål.docx", "A 14327-2023")</f>
        <v/>
      </c>
      <c r="AB91">
        <f>HYPERLINK("https://klasma.github.io/Logging_0484/klagomålsmail/A 14327-2023 FSC-klagomål mail.docx", "A 14327-2023")</f>
        <v/>
      </c>
      <c r="AC91">
        <f>HYPERLINK("https://klasma.github.io/Logging_0484/tillsyn/A 14327-2023 tillsynsbegäran.docx", "A 14327-2023")</f>
        <v/>
      </c>
      <c r="AD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46231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46231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46231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46231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46231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46231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46231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46231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59271-2021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46231</v>
      </c>
      <c r="F100" t="inlineStr">
        <is>
          <t>SÖDERMANLANDS LÄN</t>
        </is>
      </c>
      <c r="G100" t="inlineStr">
        <is>
          <t>ESKILSTUNA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46231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46231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46231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46231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46231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46231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46231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46231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46231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46231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46231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46231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46231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46231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46231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46231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46231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46231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46231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46231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38263-2021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44405</v>
      </c>
      <c r="E121" s="1" t="n">
        <v>46231</v>
      </c>
      <c r="F121" t="inlineStr">
        <is>
          <t>SÖDERMANLANDS LÄN</t>
        </is>
      </c>
      <c r="G121" t="inlineStr">
        <is>
          <t>ESKILSTUNA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46231</v>
      </c>
      <c r="F122" t="inlineStr">
        <is>
          <t>SÖDERMANLANDS LÄN</t>
        </is>
      </c>
      <c r="G122" t="inlineStr">
        <is>
          <t>ESKILSTUNA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46231</v>
      </c>
      <c r="F123" t="inlineStr">
        <is>
          <t>SÖDERMANLANDS LÄN</t>
        </is>
      </c>
      <c r="G123" t="inlineStr">
        <is>
          <t>ESKILSTUNA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47965-2021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44449</v>
      </c>
      <c r="E124" s="1" t="n">
        <v>46231</v>
      </c>
      <c r="F124" t="inlineStr">
        <is>
          <t>SÖDERMANLANDS LÄN</t>
        </is>
      </c>
      <c r="G124" t="inlineStr">
        <is>
          <t>ESKILSTUNA</t>
        </is>
      </c>
      <c r="H124" t="inlineStr">
        <is>
          <t>Holmen skog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46231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46231</v>
      </c>
      <c r="F126" t="inlineStr">
        <is>
          <t>SÖDERMANLANDS LÄN</t>
        </is>
      </c>
      <c r="G126" t="inlineStr">
        <is>
          <t>ESKILSTUNA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44468</v>
      </c>
      <c r="E127" s="1" t="n">
        <v>46231</v>
      </c>
      <c r="F127" t="inlineStr">
        <is>
          <t>SÖDERMANLANDS LÄN</t>
        </is>
      </c>
      <c r="G127" t="inlineStr">
        <is>
          <t>ESKILSTUNA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44784</v>
      </c>
      <c r="E128" s="1" t="n">
        <v>46231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46231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46231</v>
      </c>
      <c r="F130" t="inlineStr">
        <is>
          <t>SÖDERMANLANDS LÄN</t>
        </is>
      </c>
      <c r="G130" t="inlineStr">
        <is>
          <t>ESKILSTUNA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71980-2021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46231</v>
      </c>
      <c r="F131" t="inlineStr">
        <is>
          <t>SÖDERMANLANDS LÄN</t>
        </is>
      </c>
      <c r="G131" t="inlineStr">
        <is>
          <t>ESKILSTUNA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46231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46231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46231</v>
      </c>
      <c r="F134" t="inlineStr">
        <is>
          <t>SÖDERMANLANDS LÄN</t>
        </is>
      </c>
      <c r="G134" t="inlineStr">
        <is>
          <t>ESKILSTUNA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70490-2021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46231</v>
      </c>
      <c r="F135" t="inlineStr">
        <is>
          <t>SÖDERMANLANDS LÄN</t>
        </is>
      </c>
      <c r="G135" t="inlineStr">
        <is>
          <t>ESKILSTUNA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46231</v>
      </c>
      <c r="F136" t="inlineStr">
        <is>
          <t>SÖDERMANLANDS LÄN</t>
        </is>
      </c>
      <c r="G136" t="inlineStr">
        <is>
          <t>ESKILSTUNA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46231</v>
      </c>
      <c r="F137" t="inlineStr">
        <is>
          <t>SÖDERMANLANDS LÄN</t>
        </is>
      </c>
      <c r="G137" t="inlineStr">
        <is>
          <t>ESKILSTUNA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44734</v>
      </c>
      <c r="E138" s="1" t="n">
        <v>46231</v>
      </c>
      <c r="F138" t="inlineStr">
        <is>
          <t>SÖDERMANLANDS LÄN</t>
        </is>
      </c>
      <c r="G138" t="inlineStr">
        <is>
          <t>ESKILSTUNA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46231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51486-2021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44461</v>
      </c>
      <c r="E140" s="1" t="n">
        <v>46231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46231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44699</v>
      </c>
      <c r="E142" s="1" t="n">
        <v>46231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Naturvårdsverket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65406-2021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44515</v>
      </c>
      <c r="E143" s="1" t="n">
        <v>46231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Kyrkan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73480-2021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46231</v>
      </c>
      <c r="F144" t="inlineStr">
        <is>
          <t>SÖDERMANLANDS LÄN</t>
        </is>
      </c>
      <c r="G144" t="inlineStr">
        <is>
          <t>ESKILSTUNA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46231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57052-2021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46231</v>
      </c>
      <c r="F146" t="inlineStr">
        <is>
          <t>SÖDERMANLANDS LÄN</t>
        </is>
      </c>
      <c r="G146" t="inlineStr">
        <is>
          <t>ESKILSTUNA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44789</v>
      </c>
      <c r="E147" s="1" t="n">
        <v>46231</v>
      </c>
      <c r="F147" t="inlineStr">
        <is>
          <t>SÖDERMANLANDS LÄN</t>
        </is>
      </c>
      <c r="G147" t="inlineStr">
        <is>
          <t>ESKILSTUNA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46231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46231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46231</v>
      </c>
      <c r="F150" t="inlineStr">
        <is>
          <t>SÖDERMANLANDS LÄN</t>
        </is>
      </c>
      <c r="G150" t="inlineStr">
        <is>
          <t>ESKILSTUNA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46231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44654</v>
      </c>
      <c r="E152" s="1" t="n">
        <v>46231</v>
      </c>
      <c r="F152" t="inlineStr">
        <is>
          <t>SÖDERMANLANDS LÄN</t>
        </is>
      </c>
      <c r="G152" t="inlineStr">
        <is>
          <t>ESKILSTUNA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44449</v>
      </c>
      <c r="E153" s="1" t="n">
        <v>46231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46231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46231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44435</v>
      </c>
      <c r="E156" s="1" t="n">
        <v>46231</v>
      </c>
      <c r="F156" t="inlineStr">
        <is>
          <t>SÖDERMANLANDS LÄN</t>
        </is>
      </c>
      <c r="G156" t="inlineStr">
        <is>
          <t>ESKILSTUNA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46231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46231</v>
      </c>
      <c r="F158" t="inlineStr">
        <is>
          <t>SÖDERMANLANDS LÄN</t>
        </is>
      </c>
      <c r="G158" t="inlineStr">
        <is>
          <t>ESKILSTUNA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44426</v>
      </c>
      <c r="E159" s="1" t="n">
        <v>46231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46231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44643</v>
      </c>
      <c r="E161" s="1" t="n">
        <v>46231</v>
      </c>
      <c r="F161" t="inlineStr">
        <is>
          <t>SÖDERMANLANDS LÄN</t>
        </is>
      </c>
      <c r="G161" t="inlineStr">
        <is>
          <t>ESKILSTUNA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46231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46231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46231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46231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44748</v>
      </c>
      <c r="E166" s="1" t="n">
        <v>46231</v>
      </c>
      <c r="F166" t="inlineStr">
        <is>
          <t>SÖDERMANLANDS LÄN</t>
        </is>
      </c>
      <c r="G166" t="inlineStr">
        <is>
          <t>ESKILSTUNA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46231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15247-2022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44658</v>
      </c>
      <c r="E168" s="1" t="n">
        <v>46231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46231</v>
      </c>
      <c r="F169" t="inlineStr">
        <is>
          <t>SÖDERMANLANDS LÄN</t>
        </is>
      </c>
      <c r="G169" t="inlineStr">
        <is>
          <t>ESKILSTUNA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45334</v>
      </c>
      <c r="E170" s="1" t="n">
        <v>46231</v>
      </c>
      <c r="F170" t="inlineStr">
        <is>
          <t>SÖDERMANLANDS LÄN</t>
        </is>
      </c>
      <c r="G170" t="inlineStr">
        <is>
          <t>ESKILSTUNA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46231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46231</v>
      </c>
      <c r="F172" t="inlineStr">
        <is>
          <t>SÖDERMANLANDS LÄN</t>
        </is>
      </c>
      <c r="G172" t="inlineStr">
        <is>
          <t>ESKILSTUNA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46231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46231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57304-2023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45245</v>
      </c>
      <c r="E175" s="1" t="n">
        <v>46231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46231</v>
      </c>
      <c r="F176" t="inlineStr">
        <is>
          <t>SÖDERMANLANDS LÄN</t>
        </is>
      </c>
      <c r="G176" t="inlineStr">
        <is>
          <t>ESKILSTUNA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46231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46231</v>
      </c>
      <c r="F178" t="inlineStr">
        <is>
          <t>SÖDERMANLANDS LÄN</t>
        </is>
      </c>
      <c r="G178" t="inlineStr">
        <is>
          <t>ESKILSTUNA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46231</v>
      </c>
      <c r="F179" t="inlineStr">
        <is>
          <t>SÖDERMANLANDS LÄN</t>
        </is>
      </c>
      <c r="G179" t="inlineStr">
        <is>
          <t>ESKILSTUNA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46231</v>
      </c>
      <c r="F180" t="inlineStr">
        <is>
          <t>SÖDERMANLANDS LÄN</t>
        </is>
      </c>
      <c r="G180" t="inlineStr">
        <is>
          <t>ESKILSTUNA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45363</v>
      </c>
      <c r="E181" s="1" t="n">
        <v>46231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46231</v>
      </c>
      <c r="F182" t="inlineStr">
        <is>
          <t>SÖDERMANLANDS LÄN</t>
        </is>
      </c>
      <c r="G182" t="inlineStr">
        <is>
          <t>ESKILSTUNA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46231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45464</v>
      </c>
      <c r="E184" s="1" t="n">
        <v>46231</v>
      </c>
      <c r="F184" t="inlineStr">
        <is>
          <t>SÖDERMANLANDS LÄN</t>
        </is>
      </c>
      <c r="G184" t="inlineStr">
        <is>
          <t>ESKILSTUNA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45464</v>
      </c>
      <c r="E185" s="1" t="n">
        <v>46231</v>
      </c>
      <c r="F185" t="inlineStr">
        <is>
          <t>SÖDERMANLANDS LÄN</t>
        </is>
      </c>
      <c r="G185" t="inlineStr">
        <is>
          <t>ESKILSTUNA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44979</v>
      </c>
      <c r="E186" s="1" t="n">
        <v>46231</v>
      </c>
      <c r="F186" t="inlineStr">
        <is>
          <t>SÖDERMANLANDS LÄN</t>
        </is>
      </c>
      <c r="G186" t="inlineStr">
        <is>
          <t>ESKILSTUNA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54216-2022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46231</v>
      </c>
      <c r="F187" t="inlineStr">
        <is>
          <t>SÖDERMANLANDS LÄN</t>
        </is>
      </c>
      <c r="G187" t="inlineStr">
        <is>
          <t>ESKILSTUNA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44883</v>
      </c>
      <c r="E188" s="1" t="n">
        <v>46231</v>
      </c>
      <c r="F188" t="inlineStr">
        <is>
          <t>SÖDERMANLANDS LÄN</t>
        </is>
      </c>
      <c r="G188" t="inlineStr">
        <is>
          <t>ESKILSTUNA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45012</v>
      </c>
      <c r="E189" s="1" t="n">
        <v>46231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Kommuner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46231</v>
      </c>
      <c r="F190" t="inlineStr">
        <is>
          <t>SÖDERMANLANDS LÄN</t>
        </is>
      </c>
      <c r="G190" t="inlineStr">
        <is>
          <t>ESKILSTUNA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46231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46231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65349-2021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44515</v>
      </c>
      <c r="E193" s="1" t="n">
        <v>46231</v>
      </c>
      <c r="F193" t="inlineStr">
        <is>
          <t>SÖDERMANLANDS LÄN</t>
        </is>
      </c>
      <c r="G193" t="inlineStr">
        <is>
          <t>ESKILSTUNA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46231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46231</v>
      </c>
      <c r="F195" t="inlineStr">
        <is>
          <t>SÖDERMANLANDS LÄN</t>
        </is>
      </c>
      <c r="G195" t="inlineStr">
        <is>
          <t>ESKILSTUNA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46231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44837</v>
      </c>
      <c r="E197" s="1" t="n">
        <v>46231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46231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46231</v>
      </c>
      <c r="F199" t="inlineStr">
        <is>
          <t>SÖDERMANLANDS LÄN</t>
        </is>
      </c>
      <c r="G199" t="inlineStr">
        <is>
          <t>ESKILSTUNA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46231</v>
      </c>
      <c r="F200" t="inlineStr">
        <is>
          <t>SÖDERMANLANDS LÄN</t>
        </is>
      </c>
      <c r="G200" t="inlineStr">
        <is>
          <t>ESKILSTUNA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44626</v>
      </c>
      <c r="E201" s="1" t="n">
        <v>46231</v>
      </c>
      <c r="F201" t="inlineStr">
        <is>
          <t>SÖDERMANLANDS LÄN</t>
        </is>
      </c>
      <c r="G201" t="inlineStr">
        <is>
          <t>ESKILSTUNA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46231</v>
      </c>
      <c r="F202" t="inlineStr">
        <is>
          <t>SÖDERMANLANDS LÄN</t>
        </is>
      </c>
      <c r="G202" t="inlineStr">
        <is>
          <t>ESKILSTUNA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44499</v>
      </c>
      <c r="E203" s="1" t="n">
        <v>46231</v>
      </c>
      <c r="F203" t="inlineStr">
        <is>
          <t>SÖDERMANLANDS LÄN</t>
        </is>
      </c>
      <c r="G203" t="inlineStr">
        <is>
          <t>ESKILSTUNA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46231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46231</v>
      </c>
      <c r="F205" t="inlineStr">
        <is>
          <t>SÖDERMANLANDS LÄN</t>
        </is>
      </c>
      <c r="G205" t="inlineStr">
        <is>
          <t>ESKILSTUNA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46231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46231</v>
      </c>
      <c r="F207" t="inlineStr">
        <is>
          <t>SÖDERMANLANDS LÄN</t>
        </is>
      </c>
      <c r="G207" t="inlineStr">
        <is>
          <t>ESKILSTUNA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46231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46231</v>
      </c>
      <c r="F209" t="inlineStr">
        <is>
          <t>SÖDERMANLANDS LÄN</t>
        </is>
      </c>
      <c r="G209" t="inlineStr">
        <is>
          <t>ESKILSTUNA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46231</v>
      </c>
      <c r="F210" t="inlineStr">
        <is>
          <t>SÖDERMANLANDS LÄN</t>
        </is>
      </c>
      <c r="G210" t="inlineStr">
        <is>
          <t>ESKILSTUNA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51801-2025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45950</v>
      </c>
      <c r="E211" s="1" t="n">
        <v>46231</v>
      </c>
      <c r="F211" t="inlineStr">
        <is>
          <t>SÖDERMANLANDS LÄN</t>
        </is>
      </c>
      <c r="G211" t="inlineStr">
        <is>
          <t>ESKILSTUNA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30096-2025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45826</v>
      </c>
      <c r="E212" s="1" t="n">
        <v>46231</v>
      </c>
      <c r="F212" t="inlineStr">
        <is>
          <t>SÖDERMANLANDS LÄN</t>
        </is>
      </c>
      <c r="G212" t="inlineStr">
        <is>
          <t>ESKILSTUNA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46231</v>
      </c>
      <c r="F213" t="inlineStr">
        <is>
          <t>SÖDERMANLANDS LÄN</t>
        </is>
      </c>
      <c r="G213" t="inlineStr">
        <is>
          <t>ESKILSTUNA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46231</v>
      </c>
      <c r="F214" t="inlineStr">
        <is>
          <t>SÖDERMANLANDS LÄN</t>
        </is>
      </c>
      <c r="G214" t="inlineStr">
        <is>
          <t>ESKILSTUNA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46231</v>
      </c>
      <c r="F215" t="inlineStr">
        <is>
          <t>SÖDERMANLANDS LÄN</t>
        </is>
      </c>
      <c r="G215" t="inlineStr">
        <is>
          <t>ESKILSTUNA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46231</v>
      </c>
      <c r="F216" t="inlineStr">
        <is>
          <t>SÖDERMANLANDS LÄN</t>
        </is>
      </c>
      <c r="G216" t="inlineStr">
        <is>
          <t>ESKILSTUNA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46231</v>
      </c>
      <c r="F217" t="inlineStr">
        <is>
          <t>SÖDERMANLANDS LÄN</t>
        </is>
      </c>
      <c r="G217" t="inlineStr">
        <is>
          <t>ESKILSTUNA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46231</v>
      </c>
      <c r="F218" t="inlineStr">
        <is>
          <t>SÖDERMANLANDS LÄN</t>
        </is>
      </c>
      <c r="G218" t="inlineStr">
        <is>
          <t>ESKILSTUNA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46231</v>
      </c>
      <c r="F219" t="inlineStr">
        <is>
          <t>SÖDERMANLANDS LÄN</t>
        </is>
      </c>
      <c r="G219" t="inlineStr">
        <is>
          <t>ESKILSTUNA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44617</v>
      </c>
      <c r="E220" s="1" t="n">
        <v>46231</v>
      </c>
      <c r="F220" t="inlineStr">
        <is>
          <t>SÖDERMANLANDS LÄN</t>
        </is>
      </c>
      <c r="G220" t="inlineStr">
        <is>
          <t>ESKILSTUNA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12547-2022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44638</v>
      </c>
      <c r="E221" s="1" t="n">
        <v>46231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46231</v>
      </c>
      <c r="F222" t="inlineStr">
        <is>
          <t>SÖDERMANLANDS LÄN</t>
        </is>
      </c>
      <c r="G222" t="inlineStr">
        <is>
          <t>ESKILSTUNA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45036</v>
      </c>
      <c r="E223" s="1" t="n">
        <v>46231</v>
      </c>
      <c r="F223" t="inlineStr">
        <is>
          <t>SÖDERMANLANDS LÄN</t>
        </is>
      </c>
      <c r="G223" t="inlineStr">
        <is>
          <t>ESKILSTUNA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46231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46231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46231</v>
      </c>
      <c r="F226" t="inlineStr">
        <is>
          <t>SÖDERMANLANDS LÄN</t>
        </is>
      </c>
      <c r="G226" t="inlineStr">
        <is>
          <t>ESKILSTUNA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61829-2023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45266</v>
      </c>
      <c r="E227" s="1" t="n">
        <v>46231</v>
      </c>
      <c r="F227" t="inlineStr">
        <is>
          <t>SÖDERMANLANDS LÄN</t>
        </is>
      </c>
      <c r="G227" t="inlineStr">
        <is>
          <t>ESKILSTUNA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46231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46231</v>
      </c>
      <c r="F229" t="inlineStr">
        <is>
          <t>SÖDERMANLANDS LÄN</t>
        </is>
      </c>
      <c r="G229" t="inlineStr">
        <is>
          <t>ESKILSTUNA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46231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46231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46231</v>
      </c>
      <c r="F232" t="inlineStr">
        <is>
          <t>SÖDERMANLANDS LÄN</t>
        </is>
      </c>
      <c r="G232" t="inlineStr">
        <is>
          <t>ESKILSTUNA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46231</v>
      </c>
      <c r="F233" t="inlineStr">
        <is>
          <t>SÖDERMANLANDS LÄN</t>
        </is>
      </c>
      <c r="G233" t="inlineStr">
        <is>
          <t>ESKILSTUNA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46231</v>
      </c>
      <c r="F234" t="inlineStr">
        <is>
          <t>SÖDERMANLANDS LÄN</t>
        </is>
      </c>
      <c r="G234" t="inlineStr">
        <is>
          <t>ESKILSTUNA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46231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46231</v>
      </c>
      <c r="F236" t="inlineStr">
        <is>
          <t>SÖDERMANLANDS LÄN</t>
        </is>
      </c>
      <c r="G236" t="inlineStr">
        <is>
          <t>ESKILSTUNA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44956</v>
      </c>
      <c r="E237" s="1" t="n">
        <v>46231</v>
      </c>
      <c r="F237" t="inlineStr">
        <is>
          <t>SÖDERMANLANDS LÄN</t>
        </is>
      </c>
      <c r="G237" t="inlineStr">
        <is>
          <t>ESKILSTUNA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20180-2022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44698</v>
      </c>
      <c r="E238" s="1" t="n">
        <v>46231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44998</v>
      </c>
      <c r="E239" s="1" t="n">
        <v>46231</v>
      </c>
      <c r="F239" t="inlineStr">
        <is>
          <t>SÖDERMANLANDS LÄN</t>
        </is>
      </c>
      <c r="G239" t="inlineStr">
        <is>
          <t>ESKILSTUNA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46231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46231</v>
      </c>
      <c r="F241" t="inlineStr">
        <is>
          <t>SÖDERMANLANDS LÄN</t>
        </is>
      </c>
      <c r="G241" t="inlineStr">
        <is>
          <t>ESKILSTUNA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46231</v>
      </c>
      <c r="F242" t="inlineStr">
        <is>
          <t>SÖDERMANLANDS LÄN</t>
        </is>
      </c>
      <c r="G242" t="inlineStr">
        <is>
          <t>ESKILSTUNA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46231</v>
      </c>
      <c r="F243" t="inlineStr">
        <is>
          <t>SÖDERMANLANDS LÄN</t>
        </is>
      </c>
      <c r="G243" t="inlineStr">
        <is>
          <t>ESKILSTUNA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46231</v>
      </c>
      <c r="F244" t="inlineStr">
        <is>
          <t>SÖDERMANLANDS LÄN</t>
        </is>
      </c>
      <c r="G244" t="inlineStr">
        <is>
          <t>ESKILSTUNA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46231</v>
      </c>
      <c r="F245" t="inlineStr">
        <is>
          <t>SÖDERMANLANDS LÄN</t>
        </is>
      </c>
      <c r="G245" t="inlineStr">
        <is>
          <t>ESKILSTUNA</t>
        </is>
      </c>
      <c r="I245" t="n">
        <v>16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46231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Kyrkan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46231</v>
      </c>
      <c r="F247" t="inlineStr">
        <is>
          <t>SÖDERMANLANDS LÄN</t>
        </is>
      </c>
      <c r="G247" t="inlineStr">
        <is>
          <t>ESKILSTUNA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46231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Kyrkan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46231</v>
      </c>
      <c r="F249" t="inlineStr">
        <is>
          <t>SÖDERMANLANDS LÄN</t>
        </is>
      </c>
      <c r="G249" t="inlineStr">
        <is>
          <t>ESKILSTUNA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46231</v>
      </c>
      <c r="F250" t="inlineStr">
        <is>
          <t>SÖDERMANLANDS LÄN</t>
        </is>
      </c>
      <c r="G250" t="inlineStr">
        <is>
          <t>ESKILSTUNA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46231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Kyrkan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59276-2021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44490</v>
      </c>
      <c r="E252" s="1" t="n">
        <v>46231</v>
      </c>
      <c r="F252" t="inlineStr">
        <is>
          <t>SÖDERMANLANDS LÄN</t>
        </is>
      </c>
      <c r="G252" t="inlineStr">
        <is>
          <t>ESKILSTUNA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44983</v>
      </c>
      <c r="E253" s="1" t="n">
        <v>46231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46231</v>
      </c>
      <c r="F254" t="inlineStr">
        <is>
          <t>SÖDERMANLANDS LÄN</t>
        </is>
      </c>
      <c r="G254" t="inlineStr">
        <is>
          <t>ESKILSTUNA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46231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46231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Sveaskog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46231</v>
      </c>
      <c r="F257" t="inlineStr">
        <is>
          <t>SÖDERMANLANDS LÄN</t>
        </is>
      </c>
      <c r="G257" t="inlineStr">
        <is>
          <t>ESKILSTUNA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46231</v>
      </c>
      <c r="F258" t="inlineStr">
        <is>
          <t>SÖDERMANLANDS LÄN</t>
        </is>
      </c>
      <c r="G258" t="inlineStr">
        <is>
          <t>ESKILSTUNA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45005</v>
      </c>
      <c r="E259" s="1" t="n">
        <v>46231</v>
      </c>
      <c r="F259" t="inlineStr">
        <is>
          <t>SÖDERMANLANDS LÄN</t>
        </is>
      </c>
      <c r="G259" t="inlineStr">
        <is>
          <t>ESKILSTUNA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46108</v>
      </c>
      <c r="E260" s="1" t="n">
        <v>46231</v>
      </c>
      <c r="F260" t="inlineStr">
        <is>
          <t>SÖDERMANLANDS LÄN</t>
        </is>
      </c>
      <c r="G260" t="inlineStr">
        <is>
          <t>ESKILSTUNA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46231</v>
      </c>
      <c r="F261" t="inlineStr">
        <is>
          <t>SÖDERMANLANDS LÄN</t>
        </is>
      </c>
      <c r="G261" t="inlineStr">
        <is>
          <t>ESKILSTUNA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46231</v>
      </c>
      <c r="F262" t="inlineStr">
        <is>
          <t>SÖDERMANLANDS LÄN</t>
        </is>
      </c>
      <c r="G262" t="inlineStr">
        <is>
          <t>ESKILSTUNA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46231</v>
      </c>
      <c r="F263" t="inlineStr">
        <is>
          <t>SÖDERMANLANDS LÄN</t>
        </is>
      </c>
      <c r="G263" t="inlineStr">
        <is>
          <t>ESKILSTUNA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18105-2026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46125</v>
      </c>
      <c r="E264" s="1" t="n">
        <v>46231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27255-2022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44741</v>
      </c>
      <c r="E265" s="1" t="n">
        <v>46231</v>
      </c>
      <c r="F265" t="inlineStr">
        <is>
          <t>SÖDERMANLANDS LÄN</t>
        </is>
      </c>
      <c r="G265" t="inlineStr">
        <is>
          <t>ESKILSTUNA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44499</v>
      </c>
      <c r="E266" s="1" t="n">
        <v>46231</v>
      </c>
      <c r="F266" t="inlineStr">
        <is>
          <t>SÖDERMANLANDS LÄN</t>
        </is>
      </c>
      <c r="G266" t="inlineStr">
        <is>
          <t>ESKILSTUNA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65595-2021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46231</v>
      </c>
      <c r="F267" t="inlineStr">
        <is>
          <t>SÖDERMANLANDS LÄN</t>
        </is>
      </c>
      <c r="G267" t="inlineStr">
        <is>
          <t>ESKILSTUNA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46231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46231</v>
      </c>
      <c r="F269" t="inlineStr">
        <is>
          <t>SÖDERMANLANDS LÄN</t>
        </is>
      </c>
      <c r="G269" t="inlineStr">
        <is>
          <t>ESKILSTUNA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38895-2023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45163</v>
      </c>
      <c r="E270" s="1" t="n">
        <v>46231</v>
      </c>
      <c r="F270" t="inlineStr">
        <is>
          <t>SÖDERMANLANDS LÄN</t>
        </is>
      </c>
      <c r="G270" t="inlineStr">
        <is>
          <t>ESKILSTUNA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13153-2026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46092</v>
      </c>
      <c r="E271" s="1" t="n">
        <v>46231</v>
      </c>
      <c r="F271" t="inlineStr">
        <is>
          <t>SÖDERMANLANDS LÄN</t>
        </is>
      </c>
      <c r="G271" t="inlineStr">
        <is>
          <t>ESKILSTUNA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46231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Allmännings- och besparingsskogar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45910</v>
      </c>
      <c r="E273" s="1" t="n">
        <v>46231</v>
      </c>
      <c r="F273" t="inlineStr">
        <is>
          <t>SÖDERMANLANDS LÄN</t>
        </is>
      </c>
      <c r="G273" t="inlineStr">
        <is>
          <t>ESKILSTUNA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44832</v>
      </c>
      <c r="E274" s="1" t="n">
        <v>46231</v>
      </c>
      <c r="F274" t="inlineStr">
        <is>
          <t>SÖDERMANLANDS LÄN</t>
        </is>
      </c>
      <c r="G274" t="inlineStr">
        <is>
          <t>ESKILSTUNA</t>
        </is>
      </c>
      <c r="I274" t="n">
        <v>19.9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44019-2021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44434</v>
      </c>
      <c r="E275" s="1" t="n">
        <v>46231</v>
      </c>
      <c r="F275" t="inlineStr">
        <is>
          <t>SÖDERMANLANDS LÄN</t>
        </is>
      </c>
      <c r="G275" t="inlineStr">
        <is>
          <t>ESKILSTUNA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46231</v>
      </c>
      <c r="F276" t="inlineStr">
        <is>
          <t>SÖDERMANLANDS LÄN</t>
        </is>
      </c>
      <c r="G276" t="inlineStr">
        <is>
          <t>ESKILSTUNA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46231</v>
      </c>
      <c r="F277" t="inlineStr">
        <is>
          <t>SÖDERMANLANDS LÄN</t>
        </is>
      </c>
      <c r="G277" t="inlineStr">
        <is>
          <t>ESKILSTUNA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46231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46231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46231</v>
      </c>
      <c r="F280" t="inlineStr">
        <is>
          <t>SÖDERMANLANDS LÄN</t>
        </is>
      </c>
      <c r="G280" t="inlineStr">
        <is>
          <t>ESKILSTUNA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55812-2022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46231</v>
      </c>
      <c r="F281" t="inlineStr">
        <is>
          <t>SÖDERMANLANDS LÄN</t>
        </is>
      </c>
      <c r="G281" t="inlineStr">
        <is>
          <t>ESKILSTUNA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68022-2021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44525</v>
      </c>
      <c r="E282" s="1" t="n">
        <v>46231</v>
      </c>
      <c r="F282" t="inlineStr">
        <is>
          <t>SÖDERMANLANDS LÄN</t>
        </is>
      </c>
      <c r="G282" t="inlineStr">
        <is>
          <t>ESKILSTUNA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54598-2021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44473</v>
      </c>
      <c r="E283" s="1" t="n">
        <v>46231</v>
      </c>
      <c r="F283" t="inlineStr">
        <is>
          <t>SÖDERMANLANDS LÄN</t>
        </is>
      </c>
      <c r="G283" t="inlineStr">
        <is>
          <t>ESKILSTUNA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46231</v>
      </c>
      <c r="F284" t="inlineStr">
        <is>
          <t>SÖDERMANLANDS LÄN</t>
        </is>
      </c>
      <c r="G284" t="inlineStr">
        <is>
          <t>ESKILSTUNA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16391-2022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44671</v>
      </c>
      <c r="E285" s="1" t="n">
        <v>46231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46231</v>
      </c>
      <c r="F286" t="inlineStr">
        <is>
          <t>SÖDERMANLANDS LÄN</t>
        </is>
      </c>
      <c r="G286" t="inlineStr">
        <is>
          <t>ESKILSTUNA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52830-2021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44467</v>
      </c>
      <c r="E287" s="1" t="n">
        <v>46231</v>
      </c>
      <c r="F287" t="inlineStr">
        <is>
          <t>SÖDERMANLANDS LÄN</t>
        </is>
      </c>
      <c r="G287" t="inlineStr">
        <is>
          <t>ESKILSTUNA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45945</v>
      </c>
      <c r="E288" s="1" t="n">
        <v>46231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46231</v>
      </c>
      <c r="F289" t="inlineStr">
        <is>
          <t>SÖDERMANLANDS LÄN</t>
        </is>
      </c>
      <c r="G289" t="inlineStr">
        <is>
          <t>ESKILSTUNA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30971-2023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46231</v>
      </c>
      <c r="F290" t="inlineStr">
        <is>
          <t>SÖDERMANLANDS LÄN</t>
        </is>
      </c>
      <c r="G290" t="inlineStr">
        <is>
          <t>ESKILSTUNA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43426-2021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44432</v>
      </c>
      <c r="E291" s="1" t="n">
        <v>46231</v>
      </c>
      <c r="F291" t="inlineStr">
        <is>
          <t>SÖDERMANLANDS LÄN</t>
        </is>
      </c>
      <c r="G291" t="inlineStr">
        <is>
          <t>ESKILSTUNA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46231</v>
      </c>
      <c r="F292" t="inlineStr">
        <is>
          <t>SÖDERMANLANDS LÄN</t>
        </is>
      </c>
      <c r="G292" t="inlineStr">
        <is>
          <t>ESKILSTUNA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45267</v>
      </c>
      <c r="E293" s="1" t="n">
        <v>46231</v>
      </c>
      <c r="F293" t="inlineStr">
        <is>
          <t>SÖDERMANLANDS LÄN</t>
        </is>
      </c>
      <c r="G293" t="inlineStr">
        <is>
          <t>ESKILSTUNA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46231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45587</v>
      </c>
      <c r="E295" s="1" t="n">
        <v>46231</v>
      </c>
      <c r="F295" t="inlineStr">
        <is>
          <t>SÖDERMANLANDS LÄN</t>
        </is>
      </c>
      <c r="G295" t="inlineStr">
        <is>
          <t>ESKILSTUNA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41997-2021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44426</v>
      </c>
      <c r="E296" s="1" t="n">
        <v>46231</v>
      </c>
      <c r="F296" t="inlineStr">
        <is>
          <t>SÖDERMANLANDS LÄN</t>
        </is>
      </c>
      <c r="G296" t="inlineStr">
        <is>
          <t>ESKILSTUNA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44516</v>
      </c>
      <c r="E297" s="1" t="n">
        <v>46231</v>
      </c>
      <c r="F297" t="inlineStr">
        <is>
          <t>SÖDERMANLANDS LÄN</t>
        </is>
      </c>
      <c r="G297" t="inlineStr">
        <is>
          <t>ESKILSTUNA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44916</v>
      </c>
      <c r="E298" s="1" t="n">
        <v>46231</v>
      </c>
      <c r="F298" t="inlineStr">
        <is>
          <t>SÖDERMANLANDS LÄN</t>
        </is>
      </c>
      <c r="G298" t="inlineStr">
        <is>
          <t>ESKILSTUNA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44888</v>
      </c>
      <c r="E299" s="1" t="n">
        <v>46231</v>
      </c>
      <c r="F299" t="inlineStr">
        <is>
          <t>SÖDERMANLANDS LÄN</t>
        </is>
      </c>
      <c r="G299" t="inlineStr">
        <is>
          <t>ESKILSTUNA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44865</v>
      </c>
      <c r="E300" s="1" t="n">
        <v>46231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46231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44701</v>
      </c>
      <c r="E302" s="1" t="n">
        <v>46231</v>
      </c>
      <c r="F302" t="inlineStr">
        <is>
          <t>SÖDERMANLANDS LÄN</t>
        </is>
      </c>
      <c r="G302" t="inlineStr">
        <is>
          <t>ESKILSTUNA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45756</v>
      </c>
      <c r="E303" s="1" t="n">
        <v>46231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44664</v>
      </c>
      <c r="E304" s="1" t="n">
        <v>46231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44729</v>
      </c>
      <c r="E305" s="1" t="n">
        <v>46231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49470-2023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46231</v>
      </c>
      <c r="F306" t="inlineStr">
        <is>
          <t>SÖDERMANLANDS LÄN</t>
        </is>
      </c>
      <c r="G306" t="inlineStr">
        <is>
          <t>ESKILSTUNA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46231</v>
      </c>
      <c r="F307" t="inlineStr">
        <is>
          <t>SÖDERMANLANDS LÄN</t>
        </is>
      </c>
      <c r="G307" t="inlineStr">
        <is>
          <t>ESKILSTUNA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46231</v>
      </c>
      <c r="F308" t="inlineStr">
        <is>
          <t>SÖDERMANLANDS LÄN</t>
        </is>
      </c>
      <c r="G308" t="inlineStr">
        <is>
          <t>ESKILSTUNA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46231</v>
      </c>
      <c r="F309" t="inlineStr">
        <is>
          <t>SÖDERMANLANDS LÄN</t>
        </is>
      </c>
      <c r="G309" t="inlineStr">
        <is>
          <t>ESKILSTUNA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45056</v>
      </c>
      <c r="E310" s="1" t="n">
        <v>46231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46231</v>
      </c>
      <c r="F311" t="inlineStr">
        <is>
          <t>SÖDERMANLANDS LÄN</t>
        </is>
      </c>
      <c r="G311" t="inlineStr">
        <is>
          <t>ESKILSTUNA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45079</v>
      </c>
      <c r="E312" s="1" t="n">
        <v>46231</v>
      </c>
      <c r="F312" t="inlineStr">
        <is>
          <t>SÖDERMANLANDS LÄN</t>
        </is>
      </c>
      <c r="G312" t="inlineStr">
        <is>
          <t>ESKILSTUNA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46231</v>
      </c>
      <c r="F313" t="inlineStr">
        <is>
          <t>SÖDERMANLANDS LÄN</t>
        </is>
      </c>
      <c r="G313" t="inlineStr">
        <is>
          <t>ESKILSTUNA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27779-2026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46191</v>
      </c>
      <c r="E314" s="1" t="n">
        <v>46231</v>
      </c>
      <c r="F314" t="inlineStr">
        <is>
          <t>SÖDERMANLANDS LÄN</t>
        </is>
      </c>
      <c r="G314" t="inlineStr">
        <is>
          <t>ESKILSTUNA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59276-2021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44490</v>
      </c>
      <c r="E315" s="1" t="n">
        <v>46231</v>
      </c>
      <c r="F315" t="inlineStr">
        <is>
          <t>SÖDERMANLANDS LÄN</t>
        </is>
      </c>
      <c r="G315" t="inlineStr">
        <is>
          <t>ESKILSTUNA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46231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46231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Allmännings- och besparingsskogar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46231</v>
      </c>
      <c r="F318" t="inlineStr">
        <is>
          <t>SÖDERMANLANDS LÄN</t>
        </is>
      </c>
      <c r="G318" t="inlineStr">
        <is>
          <t>ESKILSTUNA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55699-2024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46231</v>
      </c>
      <c r="F319" t="inlineStr">
        <is>
          <t>SÖDERMANLANDS LÄN</t>
        </is>
      </c>
      <c r="G319" t="inlineStr">
        <is>
          <t>ESKILSTUNA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44930</v>
      </c>
      <c r="E320" s="1" t="n">
        <v>46231</v>
      </c>
      <c r="F320" t="inlineStr">
        <is>
          <t>SÖDERMANLANDS LÄN</t>
        </is>
      </c>
      <c r="G320" t="inlineStr">
        <is>
          <t>ESKILSTUNA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61170-2021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44497</v>
      </c>
      <c r="E321" s="1" t="n">
        <v>46231</v>
      </c>
      <c r="F321" t="inlineStr">
        <is>
          <t>SÖDERMANLANDS LÄN</t>
        </is>
      </c>
      <c r="G321" t="inlineStr">
        <is>
          <t>ESKILSTUNA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46231</v>
      </c>
      <c r="F322" t="inlineStr">
        <is>
          <t>SÖDERMANLANDS LÄN</t>
        </is>
      </c>
      <c r="G322" t="inlineStr">
        <is>
          <t>ESKILSTUNA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46197</v>
      </c>
      <c r="E323" s="1" t="n">
        <v>46231</v>
      </c>
      <c r="F323" t="inlineStr">
        <is>
          <t>SÖDERMANLANDS LÄN</t>
        </is>
      </c>
      <c r="G323" t="inlineStr">
        <is>
          <t>ESKILSTUNA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46231</v>
      </c>
      <c r="F324" t="inlineStr">
        <is>
          <t>SÖDERMANLANDS LÄN</t>
        </is>
      </c>
      <c r="G324" t="inlineStr">
        <is>
          <t>ESKILSTUNA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46231</v>
      </c>
      <c r="F325" t="inlineStr">
        <is>
          <t>SÖDERMANLANDS LÄN</t>
        </is>
      </c>
      <c r="G325" t="inlineStr">
        <is>
          <t>ESKILSTUNA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1340-2024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45303</v>
      </c>
      <c r="E326" s="1" t="n">
        <v>46231</v>
      </c>
      <c r="F326" t="inlineStr">
        <is>
          <t>SÖDERMANLANDS LÄN</t>
        </is>
      </c>
      <c r="G326" t="inlineStr">
        <is>
          <t>ESKILSTUNA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45608</v>
      </c>
      <c r="E327" s="1" t="n">
        <v>46231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Övriga Aktiebolag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29051-2026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46199</v>
      </c>
      <c r="E328" s="1" t="n">
        <v>46231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46157</v>
      </c>
      <c r="E329" s="1" t="n">
        <v>46231</v>
      </c>
      <c r="F329" t="inlineStr">
        <is>
          <t>SÖDERMANLANDS LÄN</t>
        </is>
      </c>
      <c r="G329" t="inlineStr">
        <is>
          <t>ESKILSTUNA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46157</v>
      </c>
      <c r="E330" s="1" t="n">
        <v>46231</v>
      </c>
      <c r="F330" t="inlineStr">
        <is>
          <t>SÖDERMANLANDS LÄN</t>
        </is>
      </c>
      <c r="G330" t="inlineStr">
        <is>
          <t>ESKILSTUNA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29053-2026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46199</v>
      </c>
      <c r="E331" s="1" t="n">
        <v>46231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46231</v>
      </c>
      <c r="F332" t="inlineStr">
        <is>
          <t>SÖDERMANLANDS LÄN</t>
        </is>
      </c>
      <c r="G332" t="inlineStr">
        <is>
          <t>ESKILSTUNA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46231</v>
      </c>
      <c r="F333" t="inlineStr">
        <is>
          <t>SÖDERMANLANDS LÄN</t>
        </is>
      </c>
      <c r="G333" t="inlineStr">
        <is>
          <t>ESKILSTUNA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46231</v>
      </c>
      <c r="F334" t="inlineStr">
        <is>
          <t>SÖDERMANLANDS LÄN</t>
        </is>
      </c>
      <c r="G334" t="inlineStr">
        <is>
          <t>ESKILSTUNA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46231</v>
      </c>
      <c r="F335" t="inlineStr">
        <is>
          <t>SÖDERMANLANDS LÄN</t>
        </is>
      </c>
      <c r="G335" t="inlineStr">
        <is>
          <t>ESKILSTUNA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70265-2021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44536</v>
      </c>
      <c r="E336" s="1" t="n">
        <v>46231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9711-2025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45715</v>
      </c>
      <c r="E337" s="1" t="n">
        <v>46231</v>
      </c>
      <c r="F337" t="inlineStr">
        <is>
          <t>SÖDERMANLANDS LÄN</t>
        </is>
      </c>
      <c r="G337" t="inlineStr">
        <is>
          <t>ESKILSTUNA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46231</v>
      </c>
      <c r="F338" t="inlineStr">
        <is>
          <t>SÖDERMANLANDS LÄN</t>
        </is>
      </c>
      <c r="G338" t="inlineStr">
        <is>
          <t>ESKILSTUNA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46231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46608-2024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45582</v>
      </c>
      <c r="E340" s="1" t="n">
        <v>46231</v>
      </c>
      <c r="F340" t="inlineStr">
        <is>
          <t>SÖDERMANLANDS LÄN</t>
        </is>
      </c>
      <c r="G340" t="inlineStr">
        <is>
          <t>ESKILSTUNA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45953</v>
      </c>
      <c r="E341" s="1" t="n">
        <v>46231</v>
      </c>
      <c r="F341" t="inlineStr">
        <is>
          <t>SÖDERMANLANDS LÄN</t>
        </is>
      </c>
      <c r="G341" t="inlineStr">
        <is>
          <t>ESKILSTUNA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46231</v>
      </c>
      <c r="F342" t="inlineStr">
        <is>
          <t>SÖDERMANLANDS LÄN</t>
        </is>
      </c>
      <c r="G342" t="inlineStr">
        <is>
          <t>ESKILSTUNA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68020-2021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44525</v>
      </c>
      <c r="E343" s="1" t="n">
        <v>46231</v>
      </c>
      <c r="F343" t="inlineStr">
        <is>
          <t>SÖDERMANLANDS LÄN</t>
        </is>
      </c>
      <c r="G343" t="inlineStr">
        <is>
          <t>ESKILSTUNA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46231</v>
      </c>
      <c r="F344" t="inlineStr">
        <is>
          <t>SÖDERMANLANDS LÄN</t>
        </is>
      </c>
      <c r="G344" t="inlineStr">
        <is>
          <t>ESKILSTUNA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45544</v>
      </c>
      <c r="E345" s="1" t="n">
        <v>46231</v>
      </c>
      <c r="F345" t="inlineStr">
        <is>
          <t>SÖDERMANLANDS LÄN</t>
        </is>
      </c>
      <c r="G345" t="inlineStr">
        <is>
          <t>ESKILSTUNA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45146</v>
      </c>
      <c r="E346" s="1" t="n">
        <v>46231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Kyrkan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45953</v>
      </c>
      <c r="E347" s="1" t="n">
        <v>46231</v>
      </c>
      <c r="F347" t="inlineStr">
        <is>
          <t>SÖDERMANLANDS LÄN</t>
        </is>
      </c>
      <c r="G347" t="inlineStr">
        <is>
          <t>ESKILSTUNA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46231</v>
      </c>
      <c r="F348" t="inlineStr">
        <is>
          <t>SÖDERMANLANDS LÄN</t>
        </is>
      </c>
      <c r="G348" t="inlineStr">
        <is>
          <t>ESKILSTUNA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46164</v>
      </c>
      <c r="E349" s="1" t="n">
        <v>46231</v>
      </c>
      <c r="F349" t="inlineStr">
        <is>
          <t>SÖDERMANLANDS LÄN</t>
        </is>
      </c>
      <c r="G349" t="inlineStr">
        <is>
          <t>ESKILSTUNA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46231</v>
      </c>
      <c r="F350" t="inlineStr">
        <is>
          <t>SÖDERMANLANDS LÄN</t>
        </is>
      </c>
      <c r="G350" t="inlineStr">
        <is>
          <t>ESKILSTUNA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45069</v>
      </c>
      <c r="E351" s="1" t="n">
        <v>46231</v>
      </c>
      <c r="F351" t="inlineStr">
        <is>
          <t>SÖDERMANLANDS LÄN</t>
        </is>
      </c>
      <c r="G351" t="inlineStr">
        <is>
          <t>ESKILSTUNA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10715-2022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44626</v>
      </c>
      <c r="E352" s="1" t="n">
        <v>46231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46231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44927-2023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45190</v>
      </c>
      <c r="E354" s="1" t="n">
        <v>46231</v>
      </c>
      <c r="F354" t="inlineStr">
        <is>
          <t>SÖDERMANLANDS LÄN</t>
        </is>
      </c>
      <c r="G354" t="inlineStr">
        <is>
          <t>ESKILSTUNA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45435</v>
      </c>
      <c r="E355" s="1" t="n">
        <v>46231</v>
      </c>
      <c r="F355" t="inlineStr">
        <is>
          <t>SÖDERMANLANDS LÄN</t>
        </is>
      </c>
      <c r="G355" t="inlineStr">
        <is>
          <t>ESKILSTUNA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22605-2023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45071</v>
      </c>
      <c r="E356" s="1" t="n">
        <v>46231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Kyrkan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46231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46216</v>
      </c>
      <c r="E358" s="1" t="n">
        <v>46231</v>
      </c>
      <c r="F358" t="inlineStr">
        <is>
          <t>SÖDERMANLANDS LÄN</t>
        </is>
      </c>
      <c r="G358" t="inlineStr">
        <is>
          <t>ESKILSTUNA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31131-2026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46216</v>
      </c>
      <c r="E359" s="1" t="n">
        <v>46231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44572</v>
      </c>
      <c r="E360" s="1" t="n">
        <v>46231</v>
      </c>
      <c r="F360" t="inlineStr">
        <is>
          <t>SÖDERMANLANDS LÄN</t>
        </is>
      </c>
      <c r="G360" t="inlineStr">
        <is>
          <t>ESKILSTUNA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44606</v>
      </c>
      <c r="E361" s="1" t="n">
        <v>46231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Kyrkan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46231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46231</v>
      </c>
      <c r="F363" t="inlineStr">
        <is>
          <t>SÖDERMANLANDS LÄN</t>
        </is>
      </c>
      <c r="G363" t="inlineStr">
        <is>
          <t>ESKILSTUNA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46217</v>
      </c>
      <c r="E364" s="1" t="n">
        <v>46231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45643</v>
      </c>
      <c r="E365" s="1" t="n">
        <v>46231</v>
      </c>
      <c r="F365" t="inlineStr">
        <is>
          <t>SÖDERMANLANDS LÄN</t>
        </is>
      </c>
      <c r="G365" t="inlineStr">
        <is>
          <t>ESKILSTUNA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45387</v>
      </c>
      <c r="E366" s="1" t="n">
        <v>46231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Kyrkan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46231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46231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46231</v>
      </c>
      <c r="F369" t="inlineStr">
        <is>
          <t>SÖDERMANLANDS LÄN</t>
        </is>
      </c>
      <c r="G369" t="inlineStr">
        <is>
          <t>ESKILSTUNA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46219</v>
      </c>
      <c r="E370" s="1" t="n">
        <v>46231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Sveaskog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46231</v>
      </c>
      <c r="F371" t="inlineStr">
        <is>
          <t>SÖDERMANLANDS LÄN</t>
        </is>
      </c>
      <c r="G371" t="inlineStr">
        <is>
          <t>ESKILSTUNA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46231</v>
      </c>
      <c r="F372" t="inlineStr">
        <is>
          <t>SÖDERMANLANDS LÄN</t>
        </is>
      </c>
      <c r="G372" t="inlineStr">
        <is>
          <t>ESKILSTUNA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46231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45093</v>
      </c>
      <c r="E374" s="1" t="n">
        <v>46231</v>
      </c>
      <c r="F374" t="inlineStr">
        <is>
          <t>SÖDERMANLANDS LÄN</t>
        </is>
      </c>
      <c r="G374" t="inlineStr">
        <is>
          <t>ESKILSTUNA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46231</v>
      </c>
      <c r="F375" t="inlineStr">
        <is>
          <t>SÖDERMANLANDS LÄN</t>
        </is>
      </c>
      <c r="G375" t="inlineStr">
        <is>
          <t>ESKILSTUNA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46231</v>
      </c>
      <c r="F376" t="inlineStr">
        <is>
          <t>SÖDERMANLANDS LÄN</t>
        </is>
      </c>
      <c r="G376" t="inlineStr">
        <is>
          <t>ESKILSTUNA</t>
        </is>
      </c>
      <c r="I376" t="n">
        <v>15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46231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46231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45979</v>
      </c>
      <c r="E379" s="1" t="n">
        <v>46231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46231</v>
      </c>
      <c r="F380" t="inlineStr">
        <is>
          <t>SÖDERMANLANDS LÄN</t>
        </is>
      </c>
      <c r="G380" t="inlineStr">
        <is>
          <t>ESKILSTUNA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57128-2025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46231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46231</v>
      </c>
      <c r="F382" t="inlineStr">
        <is>
          <t>SÖDERMANLANDS LÄN</t>
        </is>
      </c>
      <c r="G382" t="inlineStr">
        <is>
          <t>ESKILSTUNA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4200-2025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45685</v>
      </c>
      <c r="E383" s="1" t="n">
        <v>46231</v>
      </c>
      <c r="F383" t="inlineStr">
        <is>
          <t>SÖDERMANLANDS LÄN</t>
        </is>
      </c>
      <c r="G383" t="inlineStr">
        <is>
          <t>ESKILSTUNA</t>
        </is>
      </c>
      <c r="I383" t="n">
        <v>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46231</v>
      </c>
      <c r="F384" t="inlineStr">
        <is>
          <t>SÖDERMANLANDS LÄN</t>
        </is>
      </c>
      <c r="G384" t="inlineStr">
        <is>
          <t>ESKILSTUNA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46231</v>
      </c>
      <c r="F385" t="inlineStr">
        <is>
          <t>SÖDERMANLANDS LÄN</t>
        </is>
      </c>
      <c r="G385" t="inlineStr">
        <is>
          <t>ESKILSTUNA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46231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45240</v>
      </c>
      <c r="E387" s="1" t="n">
        <v>46231</v>
      </c>
      <c r="F387" t="inlineStr">
        <is>
          <t>SÖDERMANLANDS LÄN</t>
        </is>
      </c>
      <c r="G387" t="inlineStr">
        <is>
          <t>ESKILSTUNA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25229-2022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44729</v>
      </c>
      <c r="E388" s="1" t="n">
        <v>46231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Allmännings- och besparingsskogar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45266</v>
      </c>
      <c r="E389" s="1" t="n">
        <v>46231</v>
      </c>
      <c r="F389" t="inlineStr">
        <is>
          <t>SÖDERMANLANDS LÄN</t>
        </is>
      </c>
      <c r="G389" t="inlineStr">
        <is>
          <t>ESKILSTUNA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29068-2022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44749</v>
      </c>
      <c r="E390" s="1" t="n">
        <v>46231</v>
      </c>
      <c r="F390" t="inlineStr">
        <is>
          <t>SÖDERMANLANDS LÄN</t>
        </is>
      </c>
      <c r="G390" t="inlineStr">
        <is>
          <t>ESKILSTUNA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1330-2024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45303</v>
      </c>
      <c r="E391" s="1" t="n">
        <v>46231</v>
      </c>
      <c r="F391" t="inlineStr">
        <is>
          <t>SÖDERMANLANDS LÄN</t>
        </is>
      </c>
      <c r="G391" t="inlineStr">
        <is>
          <t>ESKILSTUNA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1334-2024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45303</v>
      </c>
      <c r="E392" s="1" t="n">
        <v>46231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46231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Kommuner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29750-2022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44755</v>
      </c>
      <c r="E394" s="1" t="n">
        <v>46231</v>
      </c>
      <c r="F394" t="inlineStr">
        <is>
          <t>SÖDERMANLANDS LÄN</t>
        </is>
      </c>
      <c r="G394" t="inlineStr">
        <is>
          <t>ESKILSTUNA</t>
        </is>
      </c>
      <c r="I394" t="n">
        <v>20.1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46231</v>
      </c>
      <c r="F395" t="inlineStr">
        <is>
          <t>SÖDERMANLANDS LÄN</t>
        </is>
      </c>
      <c r="G395" t="inlineStr">
        <is>
          <t>ESKILSTUNA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45715</v>
      </c>
      <c r="E396" s="1" t="n">
        <v>46231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30968-2022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44768</v>
      </c>
      <c r="E397" s="1" t="n">
        <v>46231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52663-2023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46231</v>
      </c>
      <c r="F398" t="inlineStr">
        <is>
          <t>SÖDERMANLANDS LÄN</t>
        </is>
      </c>
      <c r="G398" t="inlineStr">
        <is>
          <t>ESKILSTUNA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46231</v>
      </c>
      <c r="F399" t="inlineStr">
        <is>
          <t>SÖDERMANLANDS LÄN</t>
        </is>
      </c>
      <c r="G399" t="inlineStr">
        <is>
          <t>ESKILSTUNA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44966</v>
      </c>
      <c r="E400" s="1" t="n">
        <v>46231</v>
      </c>
      <c r="F400" t="inlineStr">
        <is>
          <t>SÖDERMANLANDS LÄN</t>
        </is>
      </c>
      <c r="G400" t="inlineStr">
        <is>
          <t>ESKILSTUNA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44804</v>
      </c>
      <c r="E401" s="1" t="n">
        <v>46231</v>
      </c>
      <c r="F401" t="inlineStr">
        <is>
          <t>SÖDERMANLANDS LÄN</t>
        </is>
      </c>
      <c r="G401" t="inlineStr">
        <is>
          <t>ESKILSTUNA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61033-2025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46231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44917</v>
      </c>
      <c r="E403" s="1" t="n">
        <v>46231</v>
      </c>
      <c r="F403" t="inlineStr">
        <is>
          <t>SÖDERMANLANDS LÄN</t>
        </is>
      </c>
      <c r="G403" t="inlineStr">
        <is>
          <t>ESKILSTUNA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44998</v>
      </c>
      <c r="E404" s="1" t="n">
        <v>46231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Kommuner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61830-2023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45266</v>
      </c>
      <c r="E405" s="1" t="n">
        <v>46231</v>
      </c>
      <c r="F405" t="inlineStr">
        <is>
          <t>SÖDERMANLANDS LÄN</t>
        </is>
      </c>
      <c r="G405" t="inlineStr">
        <is>
          <t>ESKILSTUNA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46231</v>
      </c>
      <c r="F406" t="inlineStr">
        <is>
          <t>SÖDERMANLANDS LÄN</t>
        </is>
      </c>
      <c r="G406" t="inlineStr">
        <is>
          <t>ESKILSTUNA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36613-2024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45537</v>
      </c>
      <c r="E407" s="1" t="n">
        <v>46231</v>
      </c>
      <c r="F407" t="inlineStr">
        <is>
          <t>SÖDERMANLANDS LÄN</t>
        </is>
      </c>
      <c r="G407" t="inlineStr">
        <is>
          <t>ESKILSTUNA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44582</v>
      </c>
      <c r="E408" s="1" t="n">
        <v>46231</v>
      </c>
      <c r="F408" t="inlineStr">
        <is>
          <t>SÖDERMANLANDS LÄN</t>
        </is>
      </c>
      <c r="G408" t="inlineStr">
        <is>
          <t>ESKILSTUNA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46231</v>
      </c>
      <c r="F409" t="inlineStr">
        <is>
          <t>SÖDERMANLANDS LÄN</t>
        </is>
      </c>
      <c r="G409" t="inlineStr">
        <is>
          <t>ESKILSTUNA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36153-2022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46231</v>
      </c>
      <c r="F410" t="inlineStr">
        <is>
          <t>SÖDERMANLANDS LÄN</t>
        </is>
      </c>
      <c r="G410" t="inlineStr">
        <is>
          <t>ESKILSTUNA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54586-2025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46231</v>
      </c>
      <c r="F411" t="inlineStr">
        <is>
          <t>SÖDERMANLANDS LÄN</t>
        </is>
      </c>
      <c r="G411" t="inlineStr">
        <is>
          <t>ESKILSTUNA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70613-2021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44537</v>
      </c>
      <c r="E412" s="1" t="n">
        <v>46231</v>
      </c>
      <c r="F412" t="inlineStr">
        <is>
          <t>SÖDERMANLANDS LÄN</t>
        </is>
      </c>
      <c r="G412" t="inlineStr">
        <is>
          <t>ESKILSTUNA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44615-2022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44839</v>
      </c>
      <c r="E413" s="1" t="n">
        <v>46231</v>
      </c>
      <c r="F413" t="inlineStr">
        <is>
          <t>SÖDERMANLANDS LÄN</t>
        </is>
      </c>
      <c r="G413" t="inlineStr">
        <is>
          <t>ESKILSTUNA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45763</v>
      </c>
      <c r="E414" s="1" t="n">
        <v>46231</v>
      </c>
      <c r="F414" t="inlineStr">
        <is>
          <t>SÖDERMANLANDS LÄN</t>
        </is>
      </c>
      <c r="G414" t="inlineStr">
        <is>
          <t>ESKILSTUNA</t>
        </is>
      </c>
      <c r="I414" t="n">
        <v>15.6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53374-2022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44874</v>
      </c>
      <c r="E415" s="1" t="n">
        <v>46231</v>
      </c>
      <c r="F415" t="inlineStr">
        <is>
          <t>SÖDERMANLANDS LÄN</t>
        </is>
      </c>
      <c r="G415" t="inlineStr">
        <is>
          <t>ESKILSTUNA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46231</v>
      </c>
      <c r="F416" t="inlineStr">
        <is>
          <t>SÖDERMANLANDS LÄN</t>
        </is>
      </c>
      <c r="G416" t="inlineStr">
        <is>
          <t>ESKILSTUNA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46231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Sveaskog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46231</v>
      </c>
      <c r="F418" t="inlineStr">
        <is>
          <t>SÖDERMANLANDS LÄN</t>
        </is>
      </c>
      <c r="G418" t="inlineStr">
        <is>
          <t>ESKILSTUNA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46231</v>
      </c>
      <c r="F419" t="inlineStr">
        <is>
          <t>SÖDERMANLANDS LÄN</t>
        </is>
      </c>
      <c r="G419" t="inlineStr">
        <is>
          <t>ESKILSTUNA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46231</v>
      </c>
      <c r="F420" t="inlineStr">
        <is>
          <t>SÖDERMANLANDS LÄN</t>
        </is>
      </c>
      <c r="G420" t="inlineStr">
        <is>
          <t>ESKILSTUNA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44819</v>
      </c>
      <c r="E421" s="1" t="n">
        <v>46231</v>
      </c>
      <c r="F421" t="inlineStr">
        <is>
          <t>SÖDERMANLANDS LÄN</t>
        </is>
      </c>
      <c r="G421" t="inlineStr">
        <is>
          <t>ESKILSTUNA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48671-2021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44452</v>
      </c>
      <c r="E422" s="1" t="n">
        <v>46231</v>
      </c>
      <c r="F422" t="inlineStr">
        <is>
          <t>SÖDERMANLANDS LÄN</t>
        </is>
      </c>
      <c r="G422" t="inlineStr">
        <is>
          <t>ESKILSTUNA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44468</v>
      </c>
      <c r="E423" s="1" t="n">
        <v>46231</v>
      </c>
      <c r="F423" t="inlineStr">
        <is>
          <t>SÖDERMANLANDS LÄN</t>
        </is>
      </c>
      <c r="G423" t="inlineStr">
        <is>
          <t>ESKILSTUNA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46231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46231</v>
      </c>
      <c r="F425" t="inlineStr">
        <is>
          <t>SÖDERMANLANDS LÄN</t>
        </is>
      </c>
      <c r="G425" t="inlineStr">
        <is>
          <t>ESKILSTUNA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45006</v>
      </c>
      <c r="E426" s="1" t="n">
        <v>46231</v>
      </c>
      <c r="F426" t="inlineStr">
        <is>
          <t>SÖDERMANLANDS LÄN</t>
        </is>
      </c>
      <c r="G426" t="inlineStr">
        <is>
          <t>ESKILSTUNA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55673-2024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45622</v>
      </c>
      <c r="E427" s="1" t="n">
        <v>46231</v>
      </c>
      <c r="F427" t="inlineStr">
        <is>
          <t>SÖDERMANLANDS LÄN</t>
        </is>
      </c>
      <c r="G427" t="inlineStr">
        <is>
          <t>ESKILSTUNA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46231</v>
      </c>
      <c r="F428" t="inlineStr">
        <is>
          <t>SÖDERMANLANDS LÄN</t>
        </is>
      </c>
      <c r="G428" t="inlineStr">
        <is>
          <t>ESKILSTUNA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45004</v>
      </c>
      <c r="E429" s="1" t="n">
        <v>46231</v>
      </c>
      <c r="F429" t="inlineStr">
        <is>
          <t>SÖDERMANLANDS LÄN</t>
        </is>
      </c>
      <c r="G429" t="inlineStr">
        <is>
          <t>ESKILSTUNA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46872-2022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46231</v>
      </c>
      <c r="F430" t="inlineStr">
        <is>
          <t>SÖDERMANLANDS LÄN</t>
        </is>
      </c>
      <c r="G430" t="inlineStr">
        <is>
          <t>ESKILSTUNA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45198</v>
      </c>
      <c r="E431" s="1" t="n">
        <v>46231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46231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59151-2022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44904</v>
      </c>
      <c r="E433" s="1" t="n">
        <v>46231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44946</v>
      </c>
      <c r="E434" s="1" t="n">
        <v>46231</v>
      </c>
      <c r="F434" t="inlineStr">
        <is>
          <t>SÖDERMANLANDS LÄN</t>
        </is>
      </c>
      <c r="G434" t="inlineStr">
        <is>
          <t>ESKILSTUNA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57541-2022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44889</v>
      </c>
      <c r="E435" s="1" t="n">
        <v>46231</v>
      </c>
      <c r="F435" t="inlineStr">
        <is>
          <t>SÖDERMANLANDS LÄN</t>
        </is>
      </c>
      <c r="G435" t="inlineStr">
        <is>
          <t>ESKILSTUNA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44592</v>
      </c>
      <c r="E436" s="1" t="n">
        <v>46231</v>
      </c>
      <c r="F436" t="inlineStr">
        <is>
          <t>SÖDERMANLANDS LÄN</t>
        </is>
      </c>
      <c r="G436" t="inlineStr">
        <is>
          <t>ESKILSTUNA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46231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Allmännings- och besparingsskogar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44797</v>
      </c>
      <c r="E438" s="1" t="n">
        <v>46231</v>
      </c>
      <c r="F438" t="inlineStr">
        <is>
          <t>SÖDERMANLANDS LÄN</t>
        </is>
      </c>
      <c r="G438" t="inlineStr">
        <is>
          <t>ESKILSTUNA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46231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46231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46231</v>
      </c>
      <c r="F441" t="inlineStr">
        <is>
          <t>SÖDERMANLANDS LÄN</t>
        </is>
      </c>
      <c r="G441" t="inlineStr">
        <is>
          <t>ESKILSTUNA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46231</v>
      </c>
      <c r="F442" t="inlineStr">
        <is>
          <t>SÖDERMANLANDS LÄN</t>
        </is>
      </c>
      <c r="G442" t="inlineStr">
        <is>
          <t>ESKILSTUNA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46231</v>
      </c>
      <c r="F443" t="inlineStr">
        <is>
          <t>SÖDERMANLANDS LÄN</t>
        </is>
      </c>
      <c r="G443" t="inlineStr">
        <is>
          <t>ESKILSTUNA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36648-2022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44804</v>
      </c>
      <c r="E444" s="1" t="n">
        <v>46231</v>
      </c>
      <c r="F444" t="inlineStr">
        <is>
          <t>SÖDERMANLANDS LÄN</t>
        </is>
      </c>
      <c r="G444" t="inlineStr">
        <is>
          <t>ESKILSTUNA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46231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44732</v>
      </c>
      <c r="E446" s="1" t="n">
        <v>46231</v>
      </c>
      <c r="F446" t="inlineStr">
        <is>
          <t>SÖDERMANLANDS LÄN</t>
        </is>
      </c>
      <c r="G446" t="inlineStr">
        <is>
          <t>ESKILSTUNA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46231</v>
      </c>
      <c r="F447" t="inlineStr">
        <is>
          <t>SÖDERMANLANDS LÄN</t>
        </is>
      </c>
      <c r="G447" t="inlineStr">
        <is>
          <t>ESKILSTUNA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45664</v>
      </c>
      <c r="E448" s="1" t="n">
        <v>46231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45266</v>
      </c>
      <c r="E449" s="1" t="n">
        <v>46231</v>
      </c>
      <c r="F449" t="inlineStr">
        <is>
          <t>SÖDERMANLANDS LÄN</t>
        </is>
      </c>
      <c r="G449" t="inlineStr">
        <is>
          <t>ESKILSTUNA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45518</v>
      </c>
      <c r="E450" s="1" t="n">
        <v>46231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Övriga Aktiebolag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46231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46231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1346-2024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45303</v>
      </c>
      <c r="E453" s="1" t="n">
        <v>46231</v>
      </c>
      <c r="F453" t="inlineStr">
        <is>
          <t>SÖDERMANLANDS LÄN</t>
        </is>
      </c>
      <c r="G453" t="inlineStr">
        <is>
          <t>ESKILSTUNA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53098-2022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44873</v>
      </c>
      <c r="E454" s="1" t="n">
        <v>46231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44965</v>
      </c>
      <c r="E455" s="1" t="n">
        <v>46231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46231</v>
      </c>
      <c r="F456" t="inlineStr">
        <is>
          <t>SÖDERMANLANDS LÄN</t>
        </is>
      </c>
      <c r="G456" t="inlineStr">
        <is>
          <t>ESKILSTUNA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46231</v>
      </c>
      <c r="F457" t="inlineStr">
        <is>
          <t>SÖDERMANLANDS LÄN</t>
        </is>
      </c>
      <c r="G457" t="inlineStr">
        <is>
          <t>ESKILSTUNA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46231</v>
      </c>
      <c r="F458" t="inlineStr">
        <is>
          <t>SÖDERMANLANDS LÄN</t>
        </is>
      </c>
      <c r="G458" t="inlineStr">
        <is>
          <t>ESKILSTUNA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46231</v>
      </c>
      <c r="F459" t="inlineStr">
        <is>
          <t>SÖDERMANLANDS LÄN</t>
        </is>
      </c>
      <c r="G459" t="inlineStr">
        <is>
          <t>ESKILSTUNA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44942</v>
      </c>
      <c r="E460" s="1" t="n">
        <v>46231</v>
      </c>
      <c r="F460" t="inlineStr">
        <is>
          <t>SÖDERMANLANDS LÄN</t>
        </is>
      </c>
      <c r="G460" t="inlineStr">
        <is>
          <t>ESKILSTUNA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45514</v>
      </c>
      <c r="E461" s="1" t="n">
        <v>46231</v>
      </c>
      <c r="F461" t="inlineStr">
        <is>
          <t>SÖDERMANLANDS LÄN</t>
        </is>
      </c>
      <c r="G461" t="inlineStr">
        <is>
          <t>ESKILSTUNA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45058</v>
      </c>
      <c r="E462" s="1" t="n">
        <v>46231</v>
      </c>
      <c r="F462" t="inlineStr">
        <is>
          <t>SÖDERMANLANDS LÄN</t>
        </is>
      </c>
      <c r="G462" t="inlineStr">
        <is>
          <t>ESKILSTUNA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33585-2022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44789</v>
      </c>
      <c r="E463" s="1" t="n">
        <v>46231</v>
      </c>
      <c r="F463" t="inlineStr">
        <is>
          <t>SÖDERMANLANDS LÄN</t>
        </is>
      </c>
      <c r="G463" t="inlineStr">
        <is>
          <t>ESKILSTUNA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46231</v>
      </c>
      <c r="F464" t="inlineStr">
        <is>
          <t>SÖDERMANLANDS LÄN</t>
        </is>
      </c>
      <c r="G464" t="inlineStr">
        <is>
          <t>ESKILSTUNA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46231</v>
      </c>
      <c r="F465" t="inlineStr">
        <is>
          <t>SÖDERMANLANDS LÄN</t>
        </is>
      </c>
      <c r="G465" t="inlineStr">
        <is>
          <t>ESKILSTUNA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15592-2023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45020</v>
      </c>
      <c r="E466" s="1" t="n">
        <v>46231</v>
      </c>
      <c r="F466" t="inlineStr">
        <is>
          <t>SÖDERMANLANDS LÄN</t>
        </is>
      </c>
      <c r="G466" t="inlineStr">
        <is>
          <t>ESKILSTUNA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6659-2024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45341</v>
      </c>
      <c r="E467" s="1" t="n">
        <v>46231</v>
      </c>
      <c r="F467" t="inlineStr">
        <is>
          <t>SÖDERMANLANDS LÄN</t>
        </is>
      </c>
      <c r="G467" t="inlineStr">
        <is>
          <t>ESKILSTUNA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46231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46231</v>
      </c>
      <c r="F469" t="inlineStr">
        <is>
          <t>SÖDERMANLANDS LÄN</t>
        </is>
      </c>
      <c r="G469" t="inlineStr">
        <is>
          <t>ESKILSTUNA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46231</v>
      </c>
      <c r="F470" t="inlineStr">
        <is>
          <t>SÖDERMANLANDS LÄN</t>
        </is>
      </c>
      <c r="G470" t="inlineStr">
        <is>
          <t>ESKILSTUNA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45301</v>
      </c>
      <c r="E471" s="1" t="n">
        <v>46231</v>
      </c>
      <c r="F471" t="inlineStr">
        <is>
          <t>SÖDERMANLANDS LÄN</t>
        </is>
      </c>
      <c r="G471" t="inlineStr">
        <is>
          <t>ESKILSTUNA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53181-2024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45611</v>
      </c>
      <c r="E472" s="1" t="n">
        <v>46231</v>
      </c>
      <c r="F472" t="inlineStr">
        <is>
          <t>SÖDERMANLANDS LÄN</t>
        </is>
      </c>
      <c r="G472" t="inlineStr">
        <is>
          <t>ESKILSTUNA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1538-2025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45670</v>
      </c>
      <c r="E473" s="1" t="n">
        <v>46231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70560-2021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44536</v>
      </c>
      <c r="E474" s="1" t="n">
        <v>46231</v>
      </c>
      <c r="F474" t="inlineStr">
        <is>
          <t>SÖDERMANLANDS LÄN</t>
        </is>
      </c>
      <c r="G474" t="inlineStr">
        <is>
          <t>ESKILSTUNA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46231</v>
      </c>
      <c r="F475" t="inlineStr">
        <is>
          <t>SÖDERMANLANDS LÄN</t>
        </is>
      </c>
      <c r="G475" t="inlineStr">
        <is>
          <t>ESKILSTUNA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46231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46231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46231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46231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46231</v>
      </c>
      <c r="F480" t="inlineStr">
        <is>
          <t>SÖDERMANLANDS LÄN</t>
        </is>
      </c>
      <c r="G480" t="inlineStr">
        <is>
          <t>ESKILSTUNA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46231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46231</v>
      </c>
      <c r="F482" t="inlineStr">
        <is>
          <t>SÖDERMANLANDS LÄN</t>
        </is>
      </c>
      <c r="G482" t="inlineStr">
        <is>
          <t>ESKILSTUNA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46231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46231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46231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46231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46231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46231</v>
      </c>
      <c r="F488" t="inlineStr">
        <is>
          <t>SÖDERMANLANDS LÄN</t>
        </is>
      </c>
      <c r="G488" t="inlineStr">
        <is>
          <t>ESKILSTUNA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46231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46231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46231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1333-2020</t>
        </is>
      </c>
      <c r="B492" t="inlineStr">
        <is>
          <t>samrådsanmälan</t>
        </is>
      </c>
      <c r="C492" t="inlineStr">
        <is>
          <t>Åtgärd i nyckelbiotop</t>
        </is>
      </c>
      <c r="D492" s="1" t="n">
        <v>43993</v>
      </c>
      <c r="E492" s="1" t="n">
        <v>46231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383-2023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44959</v>
      </c>
      <c r="E493" s="1" t="n">
        <v>46231</v>
      </c>
      <c r="F493" t="inlineStr">
        <is>
          <t>SÖDERMANLANDS LÄN</t>
        </is>
      </c>
      <c r="G493" t="inlineStr">
        <is>
          <t>ESKILSTUNA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6471-2021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44449</v>
      </c>
      <c r="E494" s="1" t="n">
        <v>46231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3665-2023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45217</v>
      </c>
      <c r="E495" s="1" t="n">
        <v>46231</v>
      </c>
      <c r="F495" t="inlineStr">
        <is>
          <t>SÖDERMANLANDS LÄN</t>
        </is>
      </c>
      <c r="G495" t="inlineStr">
        <is>
          <t>ESKILSTUNA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4583-2023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45282</v>
      </c>
      <c r="E496" s="1" t="n">
        <v>46231</v>
      </c>
      <c r="F496" t="inlineStr">
        <is>
          <t>SÖDERMANLANDS LÄN</t>
        </is>
      </c>
      <c r="G496" t="inlineStr">
        <is>
          <t>ESKILSTUNA</t>
        </is>
      </c>
      <c r="I496" t="n">
        <v>31.4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1601-2025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46231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1602-2025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46231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291-2025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45686</v>
      </c>
      <c r="E499" s="1" t="n">
        <v>46231</v>
      </c>
      <c r="F499" t="inlineStr">
        <is>
          <t>SÖDERMANLANDS LÄN</t>
        </is>
      </c>
      <c r="G499" t="inlineStr">
        <is>
          <t>ESKILSTUNA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2917-2024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45504</v>
      </c>
      <c r="E500" s="1" t="n">
        <v>46231</v>
      </c>
      <c r="F500" t="inlineStr">
        <is>
          <t>SÖDERMANLANDS LÄN</t>
        </is>
      </c>
      <c r="G500" t="inlineStr">
        <is>
          <t>ESKILSTUNA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1920-2025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45826</v>
      </c>
      <c r="E501" s="1" t="n">
        <v>46231</v>
      </c>
      <c r="F501" t="inlineStr">
        <is>
          <t>SÖDERMANLANDS LÄN</t>
        </is>
      </c>
      <c r="G501" t="inlineStr">
        <is>
          <t>ESKILSTUNA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1030-2026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46125</v>
      </c>
      <c r="E502" s="1" t="n">
        <v>46231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1871-2026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46231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46231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2026-07-28T01:51:50Z</dcterms:created>
  <dcterms:modified xmlns:dcterms="http://purl.org/dc/terms/" xmlns:xsi="http://www.w3.org/2001/XMLSchema-instance" xsi:type="dcterms:W3CDTF">2026-07-28T01:51:50Z</dcterms:modified>
</cp:coreProperties>
</file>