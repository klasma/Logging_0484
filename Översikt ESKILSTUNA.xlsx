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46260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46260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46260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46260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46260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46260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46260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46260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40857-2025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45897</v>
      </c>
      <c r="E21" s="1" t="n">
        <v>46260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Kyrkan</t>
        </is>
      </c>
      <c r="I21" t="n">
        <v>10.8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Mindre märgborre
Kungsfågel
Revlummer</t>
        </is>
      </c>
      <c r="W21">
        <f>HYPERLINK("https://klasma.github.io/Logging_0484/artfynd/A 40857-2025 artfynd.xlsx", "A 40857-2025")</f>
        <v/>
      </c>
      <c r="X21">
        <f>HYPERLINK("https://klasma.github.io/Logging_0484/kartor/A 40857-2025 karta.png", "A 40857-2025")</f>
        <v/>
      </c>
      <c r="Y21">
        <f>HYPERLINK("https://klasma.github.io/Logging_0484/kartor_geotiff/A 40857-2025 georefererad karta.tif", "A 40857-2025")</f>
        <v/>
      </c>
      <c r="AA21">
        <f>HYPERLINK("https://klasma.github.io/Logging_0484/klagomål/A 40857-2025 FSC-klagomål.docx", "A 40857-2025")</f>
        <v/>
      </c>
      <c r="AB21">
        <f>HYPERLINK("https://klasma.github.io/Logging_0484/klagomålsmail/A 40857-2025 FSC-klagomål mail.docx", "A 40857-2025")</f>
        <v/>
      </c>
      <c r="AC21">
        <f>HYPERLINK("https://klasma.github.io/Logging_0484/tillsyn/A 40857-2025 tillsynsbegäran.docx", "A 40857-2025")</f>
        <v/>
      </c>
      <c r="AD21">
        <f>HYPERLINK("https://klasma.github.io/Logging_0484/tillsynsmail/A 40857-2025 tillsynsbegäran mail.docx", "A 40857-2025")</f>
        <v/>
      </c>
    </row>
    <row r="22" ht="15" customHeight="1">
      <c r="A22" t="inlineStr">
        <is>
          <t>A 12443-2024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46260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Allmännings- och besparingsskogar</t>
        </is>
      </c>
      <c r="I22" t="n">
        <v>8.9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Blåsippa
Mattlummer
Revlummer</t>
        </is>
      </c>
      <c r="W22">
        <f>HYPERLINK("https://klasma.github.io/Logging_0484/artfynd/A 12443-2024 artfynd.xlsx", "A 12443-2024")</f>
        <v/>
      </c>
      <c r="X22">
        <f>HYPERLINK("https://klasma.github.io/Logging_0484/kartor/A 12443-2024 karta.png", "A 12443-2024")</f>
        <v/>
      </c>
      <c r="Y22">
        <f>HYPERLINK("https://klasma.github.io/Logging_0484/kartor_geotiff/A 12443-2024 georefererad karta.tif", "A 12443-2024")</f>
        <v/>
      </c>
      <c r="AA22">
        <f>HYPERLINK("https://klasma.github.io/Logging_0484/klagomål/A 12443-2024 FSC-klagomål.docx", "A 12443-2024")</f>
        <v/>
      </c>
      <c r="AB22">
        <f>HYPERLINK("https://klasma.github.io/Logging_0484/klagomålsmail/A 12443-2024 FSC-klagomål mail.docx", "A 12443-2024")</f>
        <v/>
      </c>
      <c r="AC22">
        <f>HYPERLINK("https://klasma.github.io/Logging_0484/tillsyn/A 12443-2024 tillsynsbegäran.docx", "A 12443-2024")</f>
        <v/>
      </c>
      <c r="AD22">
        <f>HYPERLINK("https://klasma.github.io/Logging_0484/tillsynsmail/A 12443-2024 tillsynsbegäran mail.docx", "A 12443-2024")</f>
        <v/>
      </c>
    </row>
    <row r="23" ht="15" customHeight="1">
      <c r="A23" t="inlineStr">
        <is>
          <t>A 60926-2025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2.3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Talltita
Älg</t>
        </is>
      </c>
      <c r="W23">
        <f>HYPERLINK("https://klasma.github.io/Logging_0484/artfynd/A 60926-2025 artfynd.xlsx", "A 60926-2025")</f>
        <v/>
      </c>
      <c r="X23">
        <f>HYPERLINK("https://klasma.github.io/Logging_0484/kartor/A 60926-2025 karta.png", "A 60926-2025")</f>
        <v/>
      </c>
      <c r="Y23">
        <f>HYPERLINK("https://klasma.github.io/Logging_0484/kartor_geotiff/A 60926-2025 georefererad karta.tif", "A 60926-2025")</f>
        <v/>
      </c>
      <c r="Z23">
        <f>HYPERLINK("https://klasma.github.io/Logging_0484/knärot/A 60926-2025 karta knärot.png", "A 60926-2025")</f>
        <v/>
      </c>
      <c r="AA23">
        <f>HYPERLINK("https://klasma.github.io/Logging_0484/klagomål/A 60926-2025 FSC-klagomål.docx", "A 60926-2025")</f>
        <v/>
      </c>
      <c r="AB23">
        <f>HYPERLINK("https://klasma.github.io/Logging_0484/klagomålsmail/A 60926-2025 FSC-klagomål mail.docx", "A 60926-2025")</f>
        <v/>
      </c>
      <c r="AC23">
        <f>HYPERLINK("https://klasma.github.io/Logging_0484/tillsyn/A 60926-2025 tillsynsbegäran.docx", "A 60926-2025")</f>
        <v/>
      </c>
      <c r="AD23">
        <f>HYPERLINK("https://klasma.github.io/Logging_0484/tillsynsmail/A 60926-2025 tillsynsbegäran mail.docx", "A 60926-2025")</f>
        <v/>
      </c>
      <c r="AE23">
        <f>HYPERLINK("https://klasma.github.io/Logging_0484/fåglar/A 60926-2025 prioriterade fågelarter.docx", "A 60926-2025")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46260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46260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46260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46260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46260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46260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46260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46260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46260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46260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46260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46260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46260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59822-2025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46260</v>
      </c>
      <c r="F41" t="inlineStr">
        <is>
          <t>SÖDERMANLANDS LÄN</t>
        </is>
      </c>
      <c r="G41" t="inlineStr">
        <is>
          <t>ESKILSTUNA</t>
        </is>
      </c>
      <c r="I41" t="n">
        <v>8.5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Stubbspretmossa
Timmerticka</t>
        </is>
      </c>
      <c r="W41">
        <f>HYPERLINK("https://klasma.github.io/Logging_0484/artfynd/A 59822-2025 artfynd.xlsx", "A 59822-2025")</f>
        <v/>
      </c>
      <c r="X41">
        <f>HYPERLINK("https://klasma.github.io/Logging_0484/kartor/A 59822-2025 karta.png", "A 59822-2025")</f>
        <v/>
      </c>
      <c r="Y41">
        <f>HYPERLINK("https://klasma.github.io/Logging_0484/kartor_geotiff/A 59822-2025 georefererad karta.tif", "A 59822-2025")</f>
        <v/>
      </c>
      <c r="AA41">
        <f>HYPERLINK("https://klasma.github.io/Logging_0484/klagomål/A 59822-2025 FSC-klagomål.docx", "A 59822-2025")</f>
        <v/>
      </c>
      <c r="AB41">
        <f>HYPERLINK("https://klasma.github.io/Logging_0484/klagomålsmail/A 59822-2025 FSC-klagomål mail.docx", "A 59822-2025")</f>
        <v/>
      </c>
      <c r="AC41">
        <f>HYPERLINK("https://klasma.github.io/Logging_0484/tillsyn/A 59822-2025 tillsynsbegäran.docx", "A 59822-2025")</f>
        <v/>
      </c>
      <c r="AD41">
        <f>HYPERLINK("https://klasma.github.io/Logging_0484/tillsynsmail/A 59822-2025 tillsynsbegäran mail.docx", "A 59822-2025")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46260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46260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46260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34986-2025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46260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Svart trolldruva
Spillkråka</t>
        </is>
      </c>
      <c r="W45">
        <f>HYPERLINK("https://klasma.github.io/Logging_0484/artfynd/A 34986-2025 artfynd.xlsx", "A 34986-2025")</f>
        <v/>
      </c>
      <c r="X45">
        <f>HYPERLINK("https://klasma.github.io/Logging_0484/kartor/A 34986-2025 karta.png", "A 34986-2025")</f>
        <v/>
      </c>
      <c r="Y45">
        <f>HYPERLINK("https://klasma.github.io/Logging_0484/kartor_geotiff/A 34986-2025 georefererad karta.tif", "A 34986-2025")</f>
        <v/>
      </c>
      <c r="AA45">
        <f>HYPERLINK("https://klasma.github.io/Logging_0484/klagomål/A 34986-2025 FSC-klagomål.docx", "A 34986-2025")</f>
        <v/>
      </c>
      <c r="AB45">
        <f>HYPERLINK("https://klasma.github.io/Logging_0484/klagomålsmail/A 34986-2025 FSC-klagomål mail.docx", "A 34986-2025")</f>
        <v/>
      </c>
      <c r="AC45">
        <f>HYPERLINK("https://klasma.github.io/Logging_0484/tillsyn/A 34986-2025 tillsynsbegäran.docx", "A 34986-2025")</f>
        <v/>
      </c>
      <c r="AD45">
        <f>HYPERLINK("https://klasma.github.io/Logging_0484/tillsynsmail/A 34986-2025 tillsynsbegäran mail.docx", "A 34986-2025")</f>
        <v/>
      </c>
      <c r="AE45">
        <f>HYPERLINK("https://klasma.github.io/Logging_0484/fåglar/A 34986-2025 prioriterade fågelarter.docx", "A 34986-2025")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46260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46260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46260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46260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46260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46260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46260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46260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46260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46260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46260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51345-2024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46260</v>
      </c>
      <c r="F60" t="inlineStr">
        <is>
          <t>SÖDERMANLANDS LÄN</t>
        </is>
      </c>
      <c r="G60" t="inlineStr">
        <is>
          <t>ESKILSTUNA</t>
        </is>
      </c>
      <c r="I60" t="n">
        <v>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Revlummer</t>
        </is>
      </c>
      <c r="W60">
        <f>HYPERLINK("https://klasma.github.io/Logging_0484/artfynd/A 51345-2024 artfynd.xlsx", "A 51345-2024")</f>
        <v/>
      </c>
      <c r="X60">
        <f>HYPERLINK("https://klasma.github.io/Logging_0484/kartor/A 51345-2024 karta.png", "A 51345-2024")</f>
        <v/>
      </c>
      <c r="Y60">
        <f>HYPERLINK("https://klasma.github.io/Logging_0484/kartor_geotiff/A 51345-2024 georefererad karta.tif", "A 51345-2024")</f>
        <v/>
      </c>
      <c r="AA60">
        <f>HYPERLINK("https://klasma.github.io/Logging_0484/klagomål/A 51345-2024 FSC-klagomål.docx", "A 51345-2024")</f>
        <v/>
      </c>
      <c r="AB60">
        <f>HYPERLINK("https://klasma.github.io/Logging_0484/klagomålsmail/A 51345-2024 FSC-klagomål mail.docx", "A 51345-2024")</f>
        <v/>
      </c>
      <c r="AC60">
        <f>HYPERLINK("https://klasma.github.io/Logging_0484/tillsyn/A 51345-2024 tillsynsbegäran.docx", "A 51345-2024")</f>
        <v/>
      </c>
      <c r="AD60">
        <f>HYPERLINK("https://klasma.github.io/Logging_0484/tillsynsmail/A 51345-2024 tillsynsbegäran mail.docx", "A 51345-2024")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46260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46260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50760-2023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46260</v>
      </c>
      <c r="F63" t="inlineStr">
        <is>
          <t>SÖDERMANLANDS LÄN</t>
        </is>
      </c>
      <c r="G63" t="inlineStr">
        <is>
          <t>ESKILSTUNA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Pärluggla</t>
        </is>
      </c>
      <c r="W63">
        <f>HYPERLINK("https://klasma.github.io/Logging_0484/artfynd/A 50760-2023 artfynd.xlsx", "A 50760-2023")</f>
        <v/>
      </c>
      <c r="X63">
        <f>HYPERLINK("https://klasma.github.io/Logging_0484/kartor/A 50760-2023 karta.png", "A 50760-2023")</f>
        <v/>
      </c>
      <c r="Y63">
        <f>HYPERLINK("https://klasma.github.io/Logging_0484/kartor_geotiff/A 50760-2023 georefererad karta.tif", "A 50760-2023")</f>
        <v/>
      </c>
      <c r="AA63">
        <f>HYPERLINK("https://klasma.github.io/Logging_0484/klagomål/A 50760-2023 FSC-klagomål.docx", "A 50760-2023")</f>
        <v/>
      </c>
      <c r="AB63">
        <f>HYPERLINK("https://klasma.github.io/Logging_0484/klagomålsmail/A 50760-2023 FSC-klagomål mail.docx", "A 50760-2023")</f>
        <v/>
      </c>
      <c r="AC63">
        <f>HYPERLINK("https://klasma.github.io/Logging_0484/tillsyn/A 50760-2023 tillsynsbegäran.docx", "A 50760-2023")</f>
        <v/>
      </c>
      <c r="AD63">
        <f>HYPERLINK("https://klasma.github.io/Logging_0484/tillsynsmail/A 50760-2023 tillsynsbegäran mail.docx", "A 50760-2023")</f>
        <v/>
      </c>
      <c r="AE63">
        <f>HYPERLINK("https://klasma.github.io/Logging_0484/fåglar/A 50760-2023 prioriterade fågelarter.docx", "A 50760-2023")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46260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46260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46260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46260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46260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46260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31056-2025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46260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HYPERLINK("https://klasma.github.io/Logging_0484/artfynd/A 31056-2025 artfynd.xlsx", "A 31056-2025")</f>
        <v/>
      </c>
      <c r="X70">
        <f>HYPERLINK("https://klasma.github.io/Logging_0484/kartor/A 31056-2025 karta.png", "A 31056-2025")</f>
        <v/>
      </c>
      <c r="Y70">
        <f>HYPERLINK("https://klasma.github.io/Logging_0484/kartor_geotiff/A 31056-2025 georefererad karta.tif", "A 31056-2025")</f>
        <v/>
      </c>
      <c r="AA70">
        <f>HYPERLINK("https://klasma.github.io/Logging_0484/klagomål/A 31056-2025 FSC-klagomål.docx", "A 31056-2025")</f>
        <v/>
      </c>
      <c r="AB70">
        <f>HYPERLINK("https://klasma.github.io/Logging_0484/klagomålsmail/A 31056-2025 FSC-klagomål mail.docx", "A 31056-2025")</f>
        <v/>
      </c>
      <c r="AC70">
        <f>HYPERLINK("https://klasma.github.io/Logging_0484/tillsyn/A 31056-2025 tillsynsbegäran.docx", "A 31056-2025")</f>
        <v/>
      </c>
      <c r="AD70">
        <f>HYPERLINK("https://klasma.github.io/Logging_0484/tillsynsmail/A 31056-2025 tillsynsbegäran mail.docx", "A 31056-2025")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46260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46260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36216-2025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45867</v>
      </c>
      <c r="E73" s="1" t="n">
        <v>46260</v>
      </c>
      <c r="F73" t="inlineStr">
        <is>
          <t>SÖDERMANLANDS LÄN</t>
        </is>
      </c>
      <c r="G73" t="inlineStr">
        <is>
          <t>ESKILSTUNA</t>
        </is>
      </c>
      <c r="I73" t="n">
        <v>18.7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Blomkålssvamp</t>
        </is>
      </c>
      <c r="W73">
        <f>HYPERLINK("https://klasma.github.io/Logging_0484/artfynd/A 36216-2025 artfynd.xlsx", "A 36216-2025")</f>
        <v/>
      </c>
      <c r="X73">
        <f>HYPERLINK("https://klasma.github.io/Logging_0484/kartor/A 36216-2025 karta.png", "A 36216-2025")</f>
        <v/>
      </c>
      <c r="Y73">
        <f>HYPERLINK("https://klasma.github.io/Logging_0484/kartor_geotiff/A 36216-2025 georefererad karta.tif", "A 36216-2025")</f>
        <v/>
      </c>
      <c r="AA73">
        <f>HYPERLINK("https://klasma.github.io/Logging_0484/klagomål/A 36216-2025 FSC-klagomål.docx", "A 36216-2025")</f>
        <v/>
      </c>
      <c r="AB73">
        <f>HYPERLINK("https://klasma.github.io/Logging_0484/klagomålsmail/A 36216-2025 FSC-klagomål mail.docx", "A 36216-2025")</f>
        <v/>
      </c>
      <c r="AC73">
        <f>HYPERLINK("https://klasma.github.io/Logging_0484/tillsyn/A 36216-2025 tillsynsbegäran.docx", "A 36216-2025")</f>
        <v/>
      </c>
      <c r="AD73">
        <f>HYPERLINK("https://klasma.github.io/Logging_0484/tillsynsmail/A 36216-2025 tillsynsbegäran mail.docx", "A 36216-2025")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46260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46260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46260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HYPERLINK("https://klasma.github.io/Logging_0484/artfynd/A 26097-2026 artfynd.xlsx", "A 26097-2026")</f>
        <v/>
      </c>
      <c r="X76">
        <f>HYPERLINK("https://klasma.github.io/Logging_0484/kartor/A 26097-2026 karta.png", "A 26097-2026")</f>
        <v/>
      </c>
      <c r="Y76">
        <f>HYPERLINK("https://klasma.github.io/Logging_0484/kartor_geotiff/A 26097-2026 georefererad karta.tif", "A 26097-2026")</f>
        <v/>
      </c>
      <c r="AA76">
        <f>HYPERLINK("https://klasma.github.io/Logging_0484/klagomål/A 26097-2026 FSC-klagomål.docx", "A 26097-2026")</f>
        <v/>
      </c>
      <c r="AB76">
        <f>HYPERLINK("https://klasma.github.io/Logging_0484/klagomålsmail/A 26097-2026 FSC-klagomål mail.docx", "A 26097-2026")</f>
        <v/>
      </c>
      <c r="AC76">
        <f>HYPERLINK("https://klasma.github.io/Logging_0484/tillsyn/A 26097-2026 tillsynsbegäran.docx", "A 26097-2026")</f>
        <v/>
      </c>
      <c r="AD76">
        <f>HYPERLINK("https://klasma.github.io/Logging_0484/tillsynsmail/A 26097-2026 tillsynsbegäran mail.docx", "A 26097-2026")</f>
        <v/>
      </c>
    </row>
    <row r="77" ht="15" customHeight="1">
      <c r="A77" t="inlineStr">
        <is>
          <t>A 26008-2026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46260</v>
      </c>
      <c r="F77" t="inlineStr">
        <is>
          <t>SÖDERMANLANDS LÄN</t>
        </is>
      </c>
      <c r="G77" t="inlineStr">
        <is>
          <t>ESKILSTUNA</t>
        </is>
      </c>
      <c r="I77" t="n">
        <v>2.8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8</v>
      </c>
      <c r="U77" t="n">
        <v>0</v>
      </c>
      <c r="V77" s="2" t="inlineStr">
        <is>
          <t>Svart trolldruva</t>
        </is>
      </c>
      <c r="W77">
        <f>HYPERLINK("https://klasma.github.io/Logging_0484/artfynd/A 26008-2026 artfynd.xlsx", "A 26008-2026")</f>
        <v/>
      </c>
      <c r="X77">
        <f>HYPERLINK("https://klasma.github.io/Logging_0484/kartor/A 26008-2026 karta.png", "A 26008-2026")</f>
        <v/>
      </c>
      <c r="Y77">
        <f>HYPERLINK("https://klasma.github.io/Logging_0484/kartor_geotiff/A 26008-2026 georefererad karta.tif", "A 26008-2026")</f>
        <v/>
      </c>
      <c r="AA77">
        <f>HYPERLINK("https://klasma.github.io/Logging_0484/klagomål/A 26008-2026 FSC-klagomål.docx", "A 26008-2026")</f>
        <v/>
      </c>
      <c r="AB77">
        <f>HYPERLINK("https://klasma.github.io/Logging_0484/klagomålsmail/A 26008-2026 FSC-klagomål mail.docx", "A 26008-2026")</f>
        <v/>
      </c>
      <c r="AC77">
        <f>HYPERLINK("https://klasma.github.io/Logging_0484/tillsyn/A 26008-2026 tillsynsbegäran.docx", "A 26008-2026")</f>
        <v/>
      </c>
      <c r="AD77">
        <f>HYPERLINK("https://klasma.github.io/Logging_0484/tillsynsmail/A 26008-2026 tillsynsbegäran mail.docx", "A 26008-2026")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46260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HYPERLINK("https://klasma.github.io/Logging_0484/artfynd/A 26094-2026 artfynd.xlsx", "A 26094-2026")</f>
        <v/>
      </c>
      <c r="X78">
        <f>HYPERLINK("https://klasma.github.io/Logging_0484/kartor/A 26094-2026 karta.png", "A 26094-2026")</f>
        <v/>
      </c>
      <c r="Y78">
        <f>HYPERLINK("https://klasma.github.io/Logging_0484/kartor_geotiff/A 26094-2026 georefererad karta.tif", "A 26094-2026")</f>
        <v/>
      </c>
      <c r="AA78">
        <f>HYPERLINK("https://klasma.github.io/Logging_0484/klagomål/A 26094-2026 FSC-klagomål.docx", "A 26094-2026")</f>
        <v/>
      </c>
      <c r="AB78">
        <f>HYPERLINK("https://klasma.github.io/Logging_0484/klagomålsmail/A 26094-2026 FSC-klagomål mail.docx", "A 26094-2026")</f>
        <v/>
      </c>
      <c r="AC78">
        <f>HYPERLINK("https://klasma.github.io/Logging_0484/tillsyn/A 26094-2026 tillsynsbegäran.docx", "A 26094-2026")</f>
        <v/>
      </c>
      <c r="AD78">
        <f>HYPERLINK("https://klasma.github.io/Logging_0484/tillsynsmail/A 26094-2026 tillsynsbegäran mail.docx", "A 26094-2026")</f>
        <v/>
      </c>
      <c r="AE78">
        <f>HYPERLINK("https://klasma.github.io/Logging_0484/fåglar/A 26094-2026 prioriterade fågelarter.docx", "A 26094-2026")</f>
        <v/>
      </c>
    </row>
    <row r="79" ht="15" customHeight="1">
      <c r="A79" t="inlineStr">
        <is>
          <t>A 27892-2026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46191</v>
      </c>
      <c r="E79" s="1" t="n">
        <v>46260</v>
      </c>
      <c r="F79" t="inlineStr">
        <is>
          <t>SÖDERMANLANDS LÄN</t>
        </is>
      </c>
      <c r="G79" t="inlineStr">
        <is>
          <t>ESKILSTUNA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Nattviol</t>
        </is>
      </c>
      <c r="W79">
        <f>HYPERLINK("https://klasma.github.io/Logging_0484/artfynd/A 27892-2026 artfynd.xlsx", "A 27892-2026")</f>
        <v/>
      </c>
      <c r="X79">
        <f>HYPERLINK("https://klasma.github.io/Logging_0484/kartor/A 27892-2026 karta.png", "A 27892-2026")</f>
        <v/>
      </c>
      <c r="Y79">
        <f>HYPERLINK("https://klasma.github.io/Logging_0484/kartor_geotiff/A 27892-2026 georefererad karta.tif", "A 27892-2026")</f>
        <v/>
      </c>
      <c r="AA79">
        <f>HYPERLINK("https://klasma.github.io/Logging_0484/klagomål/A 27892-2026 FSC-klagomål.docx", "A 27892-2026")</f>
        <v/>
      </c>
      <c r="AB79">
        <f>HYPERLINK("https://klasma.github.io/Logging_0484/klagomålsmail/A 27892-2026 FSC-klagomål mail.docx", "A 27892-2026")</f>
        <v/>
      </c>
      <c r="AC79">
        <f>HYPERLINK("https://klasma.github.io/Logging_0484/tillsyn/A 27892-2026 tillsynsbegäran.docx", "A 27892-2026")</f>
        <v/>
      </c>
      <c r="AD79">
        <f>HYPERLINK("https://klasma.github.io/Logging_0484/tillsynsmail/A 27892-2026 tillsynsbegäran mail.docx", "A 27892-2026")</f>
        <v/>
      </c>
    </row>
    <row r="80" ht="15" customHeight="1">
      <c r="A80" t="inlineStr">
        <is>
          <t>A 29647-2023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46260</v>
      </c>
      <c r="F80" t="inlineStr">
        <is>
          <t>SÖDERMANLANDS LÄN</t>
        </is>
      </c>
      <c r="G80" t="inlineStr">
        <is>
          <t>ESKILSTUNA</t>
        </is>
      </c>
      <c r="H80" t="inlineStr">
        <is>
          <t>Allmännings- och besparingsskogar</t>
        </is>
      </c>
      <c r="I80" t="n">
        <v>0.9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29647-2023 artfynd.xlsx", "A 29647-2023")</f>
        <v/>
      </c>
      <c r="X80">
        <f>HYPERLINK("https://klasma.github.io/Logging_0484/kartor/A 29647-2023 karta.png", "A 29647-2023")</f>
        <v/>
      </c>
      <c r="Y80">
        <f>HYPERLINK("https://klasma.github.io/Logging_0484/kartor_geotiff/A 29647-2023 georefererad karta.tif", "A 29647-2023")</f>
        <v/>
      </c>
      <c r="AA80">
        <f>HYPERLINK("https://klasma.github.io/Logging_0484/klagomål/A 29647-2023 FSC-klagomål.docx", "A 29647-2023")</f>
        <v/>
      </c>
      <c r="AB80">
        <f>HYPERLINK("https://klasma.github.io/Logging_0484/klagomålsmail/A 29647-2023 FSC-klagomål mail.docx", "A 29647-2023")</f>
        <v/>
      </c>
      <c r="AC80">
        <f>HYPERLINK("https://klasma.github.io/Logging_0484/tillsyn/A 29647-2023 tillsynsbegäran.docx", "A 29647-2023")</f>
        <v/>
      </c>
      <c r="AD80">
        <f>HYPERLINK("https://klasma.github.io/Logging_0484/tillsynsmail/A 29647-2023 tillsynsbegäran mail.docx", "A 29647-2023")</f>
        <v/>
      </c>
      <c r="AE80">
        <f>HYPERLINK("https://klasma.github.io/Logging_0484/fåglar/A 29647-2023 prioriterade fågelarter.docx", "A 29647-2023")</f>
        <v/>
      </c>
    </row>
    <row r="81" ht="15" customHeight="1">
      <c r="A81" t="inlineStr">
        <is>
          <t>A 48676-2021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44452</v>
      </c>
      <c r="E81" s="1" t="n">
        <v>46260</v>
      </c>
      <c r="F81" t="inlineStr">
        <is>
          <t>SÖDERMANLANDS LÄN</t>
        </is>
      </c>
      <c r="G81" t="inlineStr">
        <is>
          <t>ESKILSTUNA</t>
        </is>
      </c>
      <c r="I81" t="n">
        <v>8.4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Bronshjon</t>
        </is>
      </c>
      <c r="W81">
        <f>HYPERLINK("https://klasma.github.io/Logging_0484/artfynd/A 48676-2021 artfynd.xlsx", "A 48676-2021")</f>
        <v/>
      </c>
      <c r="X81">
        <f>HYPERLINK("https://klasma.github.io/Logging_0484/kartor/A 48676-2021 karta.png", "A 48676-2021")</f>
        <v/>
      </c>
      <c r="Y81">
        <f>HYPERLINK("https://klasma.github.io/Logging_0484/kartor_geotiff/A 48676-2021 georefererad karta.tif", "A 48676-2021")</f>
        <v/>
      </c>
      <c r="AA81">
        <f>HYPERLINK("https://klasma.github.io/Logging_0484/klagomål/A 48676-2021 FSC-klagomål.docx", "A 48676-2021")</f>
        <v/>
      </c>
      <c r="AB81">
        <f>HYPERLINK("https://klasma.github.io/Logging_0484/klagomålsmail/A 48676-2021 FSC-klagomål mail.docx", "A 48676-2021")</f>
        <v/>
      </c>
      <c r="AC81">
        <f>HYPERLINK("https://klasma.github.io/Logging_0484/tillsyn/A 48676-2021 tillsynsbegäran.docx", "A 48676-2021")</f>
        <v/>
      </c>
      <c r="AD81">
        <f>HYPERLINK("https://klasma.github.io/Logging_0484/tillsynsmail/A 48676-2021 tillsynsbegäran mail.docx", "A 48676-2021")</f>
        <v/>
      </c>
    </row>
    <row r="82" ht="15" customHeight="1">
      <c r="A82" t="inlineStr">
        <is>
          <t>A 29047-2026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46199</v>
      </c>
      <c r="E82" s="1" t="n">
        <v>46260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Kandelabersvamp</t>
        </is>
      </c>
      <c r="W82">
        <f>HYPERLINK("https://klasma.github.io/Logging_0484/artfynd/A 29047-2026 artfynd.xlsx", "A 29047-2026")</f>
        <v/>
      </c>
      <c r="X82">
        <f>HYPERLINK("https://klasma.github.io/Logging_0484/kartor/A 29047-2026 karta.png", "A 29047-2026")</f>
        <v/>
      </c>
      <c r="Y82">
        <f>HYPERLINK("https://klasma.github.io/Logging_0484/kartor_geotiff/A 29047-2026 georefererad karta.tif", "A 29047-2026")</f>
        <v/>
      </c>
      <c r="AA82">
        <f>HYPERLINK("https://klasma.github.io/Logging_0484/klagomål/A 29047-2026 FSC-klagomål.docx", "A 29047-2026")</f>
        <v/>
      </c>
      <c r="AB82">
        <f>HYPERLINK("https://klasma.github.io/Logging_0484/klagomålsmail/A 29047-2026 FSC-klagomål mail.docx", "A 29047-2026")</f>
        <v/>
      </c>
      <c r="AC82">
        <f>HYPERLINK("https://klasma.github.io/Logging_0484/tillsyn/A 29047-2026 tillsynsbegäran.docx", "A 29047-2026")</f>
        <v/>
      </c>
      <c r="AD82">
        <f>HYPERLINK("https://klasma.github.io/Logging_0484/tillsynsmail/A 29047-2026 tillsynsbegäran mail.docx", "A 29047-2026")</f>
        <v/>
      </c>
    </row>
    <row r="83" ht="15" customHeight="1">
      <c r="A83" t="inlineStr">
        <is>
          <t>A 33004-2026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46244</v>
      </c>
      <c r="E83" s="1" t="n">
        <v>46260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Kommuner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33004-2026 artfynd.xlsx", "A 33004-2026")</f>
        <v/>
      </c>
      <c r="X83">
        <f>HYPERLINK("https://klasma.github.io/Logging_0484/kartor/A 33004-2026 karta.png", "A 33004-2026")</f>
        <v/>
      </c>
      <c r="Y83">
        <f>HYPERLINK("https://klasma.github.io/Logging_0484/kartor_geotiff/A 33004-2026 georefererad karta.tif", "A 33004-2026")</f>
        <v/>
      </c>
      <c r="AA83">
        <f>HYPERLINK("https://klasma.github.io/Logging_0484/klagomål/A 33004-2026 FSC-klagomål.docx", "A 33004-2026")</f>
        <v/>
      </c>
      <c r="AB83">
        <f>HYPERLINK("https://klasma.github.io/Logging_0484/klagomålsmail/A 33004-2026 FSC-klagomål mail.docx", "A 33004-2026")</f>
        <v/>
      </c>
      <c r="AC83">
        <f>HYPERLINK("https://klasma.github.io/Logging_0484/tillsyn/A 33004-2026 tillsynsbegäran.docx", "A 33004-2026")</f>
        <v/>
      </c>
      <c r="AD83">
        <f>HYPERLINK("https://klasma.github.io/Logging_0484/tillsynsmail/A 33004-2026 tillsynsbegäran mail.docx", "A 33004-2026")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46260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46260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46260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Grönsångare</t>
        </is>
      </c>
      <c r="W86">
        <f>HYPERLINK("https://klasma.github.io/Logging_0484/artfynd/A 47648-2022 artfynd.xlsx", "A 47648-2022")</f>
        <v/>
      </c>
      <c r="X86">
        <f>HYPERLINK("https://klasma.github.io/Logging_0484/kartor/A 47648-2022 karta.png", "A 47648-2022")</f>
        <v/>
      </c>
      <c r="Y86">
        <f>HYPERLINK("https://klasma.github.io/Logging_0484/kartor_geotiff/A 47648-2022 georefererad karta.tif", "A 47648-2022")</f>
        <v/>
      </c>
      <c r="AA86">
        <f>HYPERLINK("https://klasma.github.io/Logging_0484/klagomål/A 47648-2022 FSC-klagomål.docx", "A 47648-2022")</f>
        <v/>
      </c>
      <c r="AB86">
        <f>HYPERLINK("https://klasma.github.io/Logging_0484/klagomålsmail/A 47648-2022 FSC-klagomål mail.docx", "A 47648-2022")</f>
        <v/>
      </c>
      <c r="AC86">
        <f>HYPERLINK("https://klasma.github.io/Logging_0484/tillsyn/A 47648-2022 tillsynsbegäran.docx", "A 47648-2022")</f>
        <v/>
      </c>
      <c r="AD86">
        <f>HYPERLINK("https://klasma.github.io/Logging_0484/tillsynsmail/A 47648-2022 tillsynsbegäran mail.docx", "A 47648-2022")</f>
        <v/>
      </c>
      <c r="AE86">
        <f>HYPERLINK("https://klasma.github.io/Logging_0484/fåglar/A 47648-2022 prioriterade fågelarter.docx", "A 47648-2022")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46260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46260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46260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46260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46260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46260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46260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46260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46260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46260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46260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46260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46260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46260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46260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46260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46260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46260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46260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46260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46260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46260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46260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46260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46260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46260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46260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46260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46260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46260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46260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46260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46260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46260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46260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46260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46260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46260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46260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46260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46260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46260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46260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46260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46260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46260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46260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46260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46260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46260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46260</v>
      </c>
      <c r="F137" t="inlineStr">
        <is>
          <t>SÖDERMANLANDS LÄN</t>
        </is>
      </c>
      <c r="G137" t="inlineStr">
        <is>
          <t>ESKILSTUNA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65406-2021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46260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Kyrkan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46260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46260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46260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46260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46260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46260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46260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46260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46260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46260</v>
      </c>
      <c r="F148" t="inlineStr">
        <is>
          <t>SÖDERMANLANDS LÄN</t>
        </is>
      </c>
      <c r="G148" t="inlineStr">
        <is>
          <t>ESKILSTUNA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44435</v>
      </c>
      <c r="E149" s="1" t="n">
        <v>46260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46260</v>
      </c>
      <c r="F150" t="inlineStr">
        <is>
          <t>SÖDERMANLANDS LÄN</t>
        </is>
      </c>
      <c r="G150" t="inlineStr">
        <is>
          <t>ESKILSTUNA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46260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46260</v>
      </c>
      <c r="F152" t="inlineStr">
        <is>
          <t>SÖDERMANLANDS LÄN</t>
        </is>
      </c>
      <c r="G152" t="inlineStr">
        <is>
          <t>ESKILSTUNA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46260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46260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46260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46260</v>
      </c>
      <c r="F156" t="inlineStr">
        <is>
          <t>SÖDERMANLANDS LÄN</t>
        </is>
      </c>
      <c r="G156" t="inlineStr">
        <is>
          <t>ESKILSTUNA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46260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70191-2021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46260</v>
      </c>
      <c r="F158" t="inlineStr">
        <is>
          <t>SÖDERMANLANDS LÄN</t>
        </is>
      </c>
      <c r="G158" t="inlineStr">
        <is>
          <t>ESKILSTUNA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44748</v>
      </c>
      <c r="E159" s="1" t="n">
        <v>46260</v>
      </c>
      <c r="F159" t="inlineStr">
        <is>
          <t>SÖDERMANLANDS LÄN</t>
        </is>
      </c>
      <c r="G159" t="inlineStr">
        <is>
          <t>ESKILSTUNA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46260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46260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46260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46260</v>
      </c>
      <c r="F163" t="inlineStr">
        <is>
          <t>SÖDERMANLANDS LÄN</t>
        </is>
      </c>
      <c r="G163" t="inlineStr">
        <is>
          <t>ESKILSTUNA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45005</v>
      </c>
      <c r="E164" s="1" t="n">
        <v>46260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44755</v>
      </c>
      <c r="E165" s="1" t="n">
        <v>46260</v>
      </c>
      <c r="F165" t="inlineStr">
        <is>
          <t>SÖDERMANLANDS LÄN</t>
        </is>
      </c>
      <c r="G165" t="inlineStr">
        <is>
          <t>ESKILSTUNA</t>
        </is>
      </c>
      <c r="I165" t="n">
        <v>20.1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46260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46260</v>
      </c>
      <c r="F167" t="inlineStr">
        <is>
          <t>SÖDERMANLANDS LÄN</t>
        </is>
      </c>
      <c r="G167" t="inlineStr">
        <is>
          <t>ESKILSTUNA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44946</v>
      </c>
      <c r="E168" s="1" t="n">
        <v>46260</v>
      </c>
      <c r="F168" t="inlineStr">
        <is>
          <t>SÖDERMANLANDS LÄN</t>
        </is>
      </c>
      <c r="G168" t="inlineStr">
        <is>
          <t>ESKILSTUNA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46260</v>
      </c>
      <c r="F169" t="inlineStr">
        <is>
          <t>SÖDERMANLANDS LÄN</t>
        </is>
      </c>
      <c r="G169" t="inlineStr">
        <is>
          <t>ESKILSTUNA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46260</v>
      </c>
      <c r="F170" t="inlineStr">
        <is>
          <t>SÖDERMANLANDS LÄN</t>
        </is>
      </c>
      <c r="G170" t="inlineStr">
        <is>
          <t>ESKILSTUNA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46260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46260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Kommuner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38075-2024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46260</v>
      </c>
      <c r="F173" t="inlineStr">
        <is>
          <t>SÖDERMANLANDS LÄN</t>
        </is>
      </c>
      <c r="G173" t="inlineStr">
        <is>
          <t>ESKILSTUNA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15592-2023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45020</v>
      </c>
      <c r="E174" s="1" t="n">
        <v>46260</v>
      </c>
      <c r="F174" t="inlineStr">
        <is>
          <t>SÖDERMANLANDS LÄN</t>
        </is>
      </c>
      <c r="G174" t="inlineStr">
        <is>
          <t>ESKILSTUNA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46260</v>
      </c>
      <c r="F175" t="inlineStr">
        <is>
          <t>SÖDERMANLANDS LÄN</t>
        </is>
      </c>
      <c r="G175" t="inlineStr">
        <is>
          <t>ESKILSTUNA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65595-2021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46260</v>
      </c>
      <c r="F176" t="inlineStr">
        <is>
          <t>SÖDERMANLANDS LÄN</t>
        </is>
      </c>
      <c r="G176" t="inlineStr">
        <is>
          <t>ESKILSTUNA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46260</v>
      </c>
      <c r="F177" t="inlineStr">
        <is>
          <t>SÖDERMANLANDS LÄN</t>
        </is>
      </c>
      <c r="G177" t="inlineStr">
        <is>
          <t>ESKILSTUNA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46260</v>
      </c>
      <c r="F178" t="inlineStr">
        <is>
          <t>SÖDERMANLANDS LÄN</t>
        </is>
      </c>
      <c r="G178" t="inlineStr">
        <is>
          <t>ESKILSTUNA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46260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46260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46260</v>
      </c>
      <c r="F181" t="inlineStr">
        <is>
          <t>SÖDERMANLANDS LÄN</t>
        </is>
      </c>
      <c r="G181" t="inlineStr">
        <is>
          <t>ESKILSTUNA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46260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44434</v>
      </c>
      <c r="E183" s="1" t="n">
        <v>46260</v>
      </c>
      <c r="F183" t="inlineStr">
        <is>
          <t>SÖDERMANLANDS LÄN</t>
        </is>
      </c>
      <c r="G183" t="inlineStr">
        <is>
          <t>ESKILSTUNA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46260</v>
      </c>
      <c r="F184" t="inlineStr">
        <is>
          <t>SÖDERMANLANDS LÄN</t>
        </is>
      </c>
      <c r="G184" t="inlineStr">
        <is>
          <t>ESKILSTUNA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45301</v>
      </c>
      <c r="E185" s="1" t="n">
        <v>46260</v>
      </c>
      <c r="F185" t="inlineStr">
        <is>
          <t>SÖDERMANLANDS LÄN</t>
        </is>
      </c>
      <c r="G185" t="inlineStr">
        <is>
          <t>ESKILSTUNA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46260</v>
      </c>
      <c r="F186" t="inlineStr">
        <is>
          <t>SÖDERMANLANDS LÄN</t>
        </is>
      </c>
      <c r="G186" t="inlineStr">
        <is>
          <t>ESKILSTUNA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30968-2022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44768</v>
      </c>
      <c r="E187" s="1" t="n">
        <v>46260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Sveaskog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46260</v>
      </c>
      <c r="F188" t="inlineStr">
        <is>
          <t>SÖDERMANLANDS LÄN</t>
        </is>
      </c>
      <c r="G188" t="inlineStr">
        <is>
          <t>ESKILSTUNA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45007</v>
      </c>
      <c r="E189" s="1" t="n">
        <v>46260</v>
      </c>
      <c r="F189" t="inlineStr">
        <is>
          <t>SÖDERMANLANDS LÄN</t>
        </is>
      </c>
      <c r="G189" t="inlineStr">
        <is>
          <t>ESKILSTUNA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46260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44582</v>
      </c>
      <c r="E191" s="1" t="n">
        <v>46260</v>
      </c>
      <c r="F191" t="inlineStr">
        <is>
          <t>SÖDERMANLANDS LÄN</t>
        </is>
      </c>
      <c r="G191" t="inlineStr">
        <is>
          <t>ESKILSTUNA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38895-2023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45163</v>
      </c>
      <c r="E192" s="1" t="n">
        <v>46260</v>
      </c>
      <c r="F192" t="inlineStr">
        <is>
          <t>SÖDERMANLANDS LÄN</t>
        </is>
      </c>
      <c r="G192" t="inlineStr">
        <is>
          <t>ESKILSTUNA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46260</v>
      </c>
      <c r="F193" t="inlineStr">
        <is>
          <t>SÖDERMANLANDS LÄN</t>
        </is>
      </c>
      <c r="G193" t="inlineStr">
        <is>
          <t>ESKILSTUNA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46260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68020-2021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46260</v>
      </c>
      <c r="F195" t="inlineStr">
        <is>
          <t>SÖDERMANLANDS LÄN</t>
        </is>
      </c>
      <c r="G195" t="inlineStr">
        <is>
          <t>ESKILSTUNA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44804</v>
      </c>
      <c r="E196" s="1" t="n">
        <v>46260</v>
      </c>
      <c r="F196" t="inlineStr">
        <is>
          <t>SÖDERMANLANDS LÄN</t>
        </is>
      </c>
      <c r="G196" t="inlineStr">
        <is>
          <t>ESKILSTUNA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44844</v>
      </c>
      <c r="E197" s="1" t="n">
        <v>46260</v>
      </c>
      <c r="F197" t="inlineStr">
        <is>
          <t>SÖDERMANLANDS LÄN</t>
        </is>
      </c>
      <c r="G197" t="inlineStr">
        <is>
          <t>ESKILSTUNA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46260</v>
      </c>
      <c r="F198" t="inlineStr">
        <is>
          <t>SÖDERMANLANDS LÄN</t>
        </is>
      </c>
      <c r="G198" t="inlineStr">
        <is>
          <t>ESKILSTUNA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44883</v>
      </c>
      <c r="E199" s="1" t="n">
        <v>46260</v>
      </c>
      <c r="F199" t="inlineStr">
        <is>
          <t>SÖDERMANLANDS LÄN</t>
        </is>
      </c>
      <c r="G199" t="inlineStr">
        <is>
          <t>ESKILSTUNA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45708</v>
      </c>
      <c r="E200" s="1" t="n">
        <v>46260</v>
      </c>
      <c r="F200" t="inlineStr">
        <is>
          <t>SÖDERMANLANDS LÄN</t>
        </is>
      </c>
      <c r="G200" t="inlineStr">
        <is>
          <t>ESKILSTUNA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61830-2023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45266</v>
      </c>
      <c r="E201" s="1" t="n">
        <v>46260</v>
      </c>
      <c r="F201" t="inlineStr">
        <is>
          <t>SÖDERMANLANDS LÄN</t>
        </is>
      </c>
      <c r="G201" t="inlineStr">
        <is>
          <t>ESKILSTUNA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46260</v>
      </c>
      <c r="F202" t="inlineStr">
        <is>
          <t>SÖDERMANLANDS LÄN</t>
        </is>
      </c>
      <c r="G202" t="inlineStr">
        <is>
          <t>ESKILSTUNA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45365</v>
      </c>
      <c r="E203" s="1" t="n">
        <v>46260</v>
      </c>
      <c r="F203" t="inlineStr">
        <is>
          <t>SÖDERMANLANDS LÄN</t>
        </is>
      </c>
      <c r="G203" t="inlineStr">
        <is>
          <t>ESKILSTUNA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46260</v>
      </c>
      <c r="F204" t="inlineStr">
        <is>
          <t>SÖDERMANLANDS LÄN</t>
        </is>
      </c>
      <c r="G204" t="inlineStr">
        <is>
          <t>ESKILSTUNA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46260</v>
      </c>
      <c r="F205" t="inlineStr">
        <is>
          <t>SÖDERMANLANDS LÄN</t>
        </is>
      </c>
      <c r="G205" t="inlineStr">
        <is>
          <t>ESKILSTUNA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46260</v>
      </c>
      <c r="F206" t="inlineStr">
        <is>
          <t>SÖDERMANLANDS LÄN</t>
        </is>
      </c>
      <c r="G206" t="inlineStr">
        <is>
          <t>ESKILSTUNA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44626</v>
      </c>
      <c r="E207" s="1" t="n">
        <v>46260</v>
      </c>
      <c r="F207" t="inlineStr">
        <is>
          <t>SÖDERMANLANDS LÄN</t>
        </is>
      </c>
      <c r="G207" t="inlineStr">
        <is>
          <t>ESKILSTUNA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46260</v>
      </c>
      <c r="F208" t="inlineStr">
        <is>
          <t>SÖDERMANLANDS LÄN</t>
        </is>
      </c>
      <c r="G208" t="inlineStr">
        <is>
          <t>ESKILSTUNA</t>
        </is>
      </c>
      <c r="I208" t="n">
        <v>15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46260</v>
      </c>
      <c r="F209" t="inlineStr">
        <is>
          <t>SÖDERMANLANDS LÄN</t>
        </is>
      </c>
      <c r="G209" t="inlineStr">
        <is>
          <t>ESKILSTUNA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70265-2021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46260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46260</v>
      </c>
      <c r="F211" t="inlineStr">
        <is>
          <t>SÖDERMANLANDS LÄN</t>
        </is>
      </c>
      <c r="G211" t="inlineStr">
        <is>
          <t>ESKILSTUNA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46260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46260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45685</v>
      </c>
      <c r="E214" s="1" t="n">
        <v>46260</v>
      </c>
      <c r="F214" t="inlineStr">
        <is>
          <t>SÖDERMANLANDS LÄN</t>
        </is>
      </c>
      <c r="G214" t="inlineStr">
        <is>
          <t>ESKILSTUNA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51801-2025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46260</v>
      </c>
      <c r="F215" t="inlineStr">
        <is>
          <t>SÖDERMANLANDS LÄN</t>
        </is>
      </c>
      <c r="G215" t="inlineStr">
        <is>
          <t>ESKILSTUNA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46260</v>
      </c>
      <c r="F216" t="inlineStr">
        <is>
          <t>SÖDERMANLANDS LÄN</t>
        </is>
      </c>
      <c r="G216" t="inlineStr">
        <is>
          <t>ESKILSTUNA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46260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46260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46260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46260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46260</v>
      </c>
      <c r="F221" t="inlineStr">
        <is>
          <t>SÖDERMANLANDS LÄN</t>
        </is>
      </c>
      <c r="G221" t="inlineStr">
        <is>
          <t>ESKILSTUNA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65614-2021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46260</v>
      </c>
      <c r="F222" t="inlineStr">
        <is>
          <t>SÖDERMANLANDS LÄN</t>
        </is>
      </c>
      <c r="G222" t="inlineStr">
        <is>
          <t>ESKILSTUNA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46260</v>
      </c>
      <c r="F223" t="inlineStr">
        <is>
          <t>SÖDERMANLANDS LÄN</t>
        </is>
      </c>
      <c r="G223" t="inlineStr">
        <is>
          <t>ESKILSTUNA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46260</v>
      </c>
      <c r="F224" t="inlineStr">
        <is>
          <t>SÖDERMANLANDS LÄN</t>
        </is>
      </c>
      <c r="G224" t="inlineStr">
        <is>
          <t>ESKILSTUNA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46260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44915</v>
      </c>
      <c r="E226" s="1" t="n">
        <v>46260</v>
      </c>
      <c r="F226" t="inlineStr">
        <is>
          <t>SÖDERMANLANDS LÄN</t>
        </is>
      </c>
      <c r="G226" t="inlineStr">
        <is>
          <t>ESKILSTUNA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44983</v>
      </c>
      <c r="E227" s="1" t="n">
        <v>46260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46260</v>
      </c>
      <c r="F228" t="inlineStr">
        <is>
          <t>SÖDERMANLANDS LÄN</t>
        </is>
      </c>
      <c r="G228" t="inlineStr">
        <is>
          <t>ESKILSTUNA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46260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46260</v>
      </c>
      <c r="F230" t="inlineStr">
        <is>
          <t>SÖDERMANLANDS LÄN</t>
        </is>
      </c>
      <c r="G230" t="inlineStr">
        <is>
          <t>ESKILSTUNA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46260</v>
      </c>
      <c r="F231" t="inlineStr">
        <is>
          <t>SÖDERMANLANDS LÄN</t>
        </is>
      </c>
      <c r="G231" t="inlineStr">
        <is>
          <t>ESKILSTUNA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57304-2023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45245</v>
      </c>
      <c r="E232" s="1" t="n">
        <v>46260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46260</v>
      </c>
      <c r="F233" t="inlineStr">
        <is>
          <t>SÖDERMANLANDS LÄN</t>
        </is>
      </c>
      <c r="G233" t="inlineStr">
        <is>
          <t>ESKILSTUNA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46260</v>
      </c>
      <c r="F234" t="inlineStr">
        <is>
          <t>SÖDERMANLANDS LÄN</t>
        </is>
      </c>
      <c r="G234" t="inlineStr">
        <is>
          <t>ESKILSTUNA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46085</v>
      </c>
      <c r="E235" s="1" t="n">
        <v>46260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46260</v>
      </c>
      <c r="F236" t="inlineStr">
        <is>
          <t>SÖDERMANLANDS LÄN</t>
        </is>
      </c>
      <c r="G236" t="inlineStr">
        <is>
          <t>ESKILSTUNA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45271</v>
      </c>
      <c r="E237" s="1" t="n">
        <v>46260</v>
      </c>
      <c r="F237" t="inlineStr">
        <is>
          <t>SÖDERMANLANDS LÄN</t>
        </is>
      </c>
      <c r="G237" t="inlineStr">
        <is>
          <t>ESKILSTUNA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44930</v>
      </c>
      <c r="E238" s="1" t="n">
        <v>46260</v>
      </c>
      <c r="F238" t="inlineStr">
        <is>
          <t>SÖDERMANLANDS LÄN</t>
        </is>
      </c>
      <c r="G238" t="inlineStr">
        <is>
          <t>ESKILSTUNA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44858</v>
      </c>
      <c r="E239" s="1" t="n">
        <v>46260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45079</v>
      </c>
      <c r="E240" s="1" t="n">
        <v>46260</v>
      </c>
      <c r="F240" t="inlineStr">
        <is>
          <t>SÖDERMANLANDS LÄN</t>
        </is>
      </c>
      <c r="G240" t="inlineStr">
        <is>
          <t>ESKILSTUNA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46260</v>
      </c>
      <c r="F241" t="inlineStr">
        <is>
          <t>SÖDERMANLANDS LÄN</t>
        </is>
      </c>
      <c r="G241" t="inlineStr">
        <is>
          <t>ESKILSTUNA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46260</v>
      </c>
      <c r="F242" t="inlineStr">
        <is>
          <t>SÖDERMANLANDS LÄN</t>
        </is>
      </c>
      <c r="G242" t="inlineStr">
        <is>
          <t>ESKILSTUNA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45049</v>
      </c>
      <c r="E243" s="1" t="n">
        <v>46260</v>
      </c>
      <c r="F243" t="inlineStr">
        <is>
          <t>SÖDERMANLANDS LÄN</t>
        </is>
      </c>
      <c r="G243" t="inlineStr">
        <is>
          <t>ESKILSTUNA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46260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45464</v>
      </c>
      <c r="E245" s="1" t="n">
        <v>46260</v>
      </c>
      <c r="F245" t="inlineStr">
        <is>
          <t>SÖDERMANLANDS LÄN</t>
        </is>
      </c>
      <c r="G245" t="inlineStr">
        <is>
          <t>ESKILSTUNA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46260</v>
      </c>
      <c r="F246" t="inlineStr">
        <is>
          <t>SÖDERMANLANDS LÄN</t>
        </is>
      </c>
      <c r="G246" t="inlineStr">
        <is>
          <t>ESKILSTUNA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30096-2025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45826</v>
      </c>
      <c r="E247" s="1" t="n">
        <v>46260</v>
      </c>
      <c r="F247" t="inlineStr">
        <is>
          <t>SÖDERMANLANDS LÄN</t>
        </is>
      </c>
      <c r="G247" t="inlineStr">
        <is>
          <t>ESKILSTUNA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46260</v>
      </c>
      <c r="F248" t="inlineStr">
        <is>
          <t>SÖDERMANLANDS LÄN</t>
        </is>
      </c>
      <c r="G248" t="inlineStr">
        <is>
          <t>ESKILSTUNA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1538-2025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45670</v>
      </c>
      <c r="E249" s="1" t="n">
        <v>46260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46260</v>
      </c>
      <c r="F250" t="inlineStr">
        <is>
          <t>SÖDERMANLANDS LÄN</t>
        </is>
      </c>
      <c r="G250" t="inlineStr">
        <is>
          <t>ESKILSTUNA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46260</v>
      </c>
      <c r="F251" t="inlineStr">
        <is>
          <t>SÖDERMANLANDS LÄN</t>
        </is>
      </c>
      <c r="G251" t="inlineStr">
        <is>
          <t>ESKILSTUNA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46260</v>
      </c>
      <c r="F252" t="inlineStr">
        <is>
          <t>SÖDERMANLANDS LÄN</t>
        </is>
      </c>
      <c r="G252" t="inlineStr">
        <is>
          <t>ESKILSTUNA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46260</v>
      </c>
      <c r="F253" t="inlineStr">
        <is>
          <t>SÖDERMANLANDS LÄN</t>
        </is>
      </c>
      <c r="G253" t="inlineStr">
        <is>
          <t>ESKILSTUNA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46260</v>
      </c>
      <c r="F254" t="inlineStr">
        <is>
          <t>SÖDERMANLANDS LÄN</t>
        </is>
      </c>
      <c r="G254" t="inlineStr">
        <is>
          <t>ESKILSTUNA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46260</v>
      </c>
      <c r="F255" t="inlineStr">
        <is>
          <t>SÖDERMANLANDS LÄN</t>
        </is>
      </c>
      <c r="G255" t="inlineStr">
        <is>
          <t>ESKILSTUNA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46260</v>
      </c>
      <c r="F256" t="inlineStr">
        <is>
          <t>SÖDERMANLANDS LÄN</t>
        </is>
      </c>
      <c r="G256" t="inlineStr">
        <is>
          <t>ESKILSTUNA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44881</v>
      </c>
      <c r="E257" s="1" t="n">
        <v>46260</v>
      </c>
      <c r="F257" t="inlineStr">
        <is>
          <t>SÖDERMANLANDS LÄN</t>
        </is>
      </c>
      <c r="G257" t="inlineStr">
        <is>
          <t>ESKILSTUNA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46260</v>
      </c>
      <c r="F258" t="inlineStr">
        <is>
          <t>SÖDERMANLANDS LÄN</t>
        </is>
      </c>
      <c r="G258" t="inlineStr">
        <is>
          <t>ESKILSTUNA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46260</v>
      </c>
      <c r="F259" t="inlineStr">
        <is>
          <t>SÖDERMANLANDS LÄN</t>
        </is>
      </c>
      <c r="G259" t="inlineStr">
        <is>
          <t>ESKILSTUNA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46260</v>
      </c>
      <c r="F260" t="inlineStr">
        <is>
          <t>SÖDERMANLANDS LÄN</t>
        </is>
      </c>
      <c r="G260" t="inlineStr">
        <is>
          <t>ESKILSTUNA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46260</v>
      </c>
      <c r="F261" t="inlineStr">
        <is>
          <t>SÖDERMANLANDS LÄN</t>
        </is>
      </c>
      <c r="G261" t="inlineStr">
        <is>
          <t>ESKILSTUNA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46260</v>
      </c>
      <c r="F262" t="inlineStr">
        <is>
          <t>SÖDERMANLANDS LÄN</t>
        </is>
      </c>
      <c r="G262" t="inlineStr">
        <is>
          <t>ESKILSTUNA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44799</v>
      </c>
      <c r="E263" s="1" t="n">
        <v>46260</v>
      </c>
      <c r="F263" t="inlineStr">
        <is>
          <t>SÖDERMANLANDS LÄN</t>
        </is>
      </c>
      <c r="G263" t="inlineStr">
        <is>
          <t>ESKILSTUNA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46260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46260</v>
      </c>
      <c r="F265" t="inlineStr">
        <is>
          <t>SÖDERMANLANDS LÄN</t>
        </is>
      </c>
      <c r="G265" t="inlineStr">
        <is>
          <t>ESKILSTUNA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46608-2024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45582</v>
      </c>
      <c r="E266" s="1" t="n">
        <v>46260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44616</v>
      </c>
      <c r="E267" s="1" t="n">
        <v>46260</v>
      </c>
      <c r="F267" t="inlineStr">
        <is>
          <t>SÖDERMANLANDS LÄN</t>
        </is>
      </c>
      <c r="G267" t="inlineStr">
        <is>
          <t>ESKILSTUNA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18105-2026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46125</v>
      </c>
      <c r="E268" s="1" t="n">
        <v>46260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46260</v>
      </c>
      <c r="F269" t="inlineStr">
        <is>
          <t>SÖDERMANLANDS LÄN</t>
        </is>
      </c>
      <c r="G269" t="inlineStr">
        <is>
          <t>ESKILSTUNA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46260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13153-2026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46092</v>
      </c>
      <c r="E271" s="1" t="n">
        <v>46260</v>
      </c>
      <c r="F271" t="inlineStr">
        <is>
          <t>SÖDERMANLANDS LÄN</t>
        </is>
      </c>
      <c r="G271" t="inlineStr">
        <is>
          <t>ESKILSTUNA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46260</v>
      </c>
      <c r="F272" t="inlineStr">
        <is>
          <t>SÖDERMANLANDS LÄN</t>
        </is>
      </c>
      <c r="G272" t="inlineStr">
        <is>
          <t>ESKILSTUNA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46260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45918</v>
      </c>
      <c r="E274" s="1" t="n">
        <v>46260</v>
      </c>
      <c r="F274" t="inlineStr">
        <is>
          <t>SÖDERMANLANDS LÄN</t>
        </is>
      </c>
      <c r="G274" t="inlineStr">
        <is>
          <t>ESKILSTUNA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46260</v>
      </c>
      <c r="F275" t="inlineStr">
        <is>
          <t>SÖDERMANLANDS LÄN</t>
        </is>
      </c>
      <c r="G275" t="inlineStr">
        <is>
          <t>ESKILSTUNA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46260</v>
      </c>
      <c r="F276" t="inlineStr">
        <is>
          <t>SÖDERMANLANDS LÄN</t>
        </is>
      </c>
      <c r="G276" t="inlineStr">
        <is>
          <t>ESKILSTUNA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46260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44634</v>
      </c>
      <c r="E278" s="1" t="n">
        <v>46260</v>
      </c>
      <c r="F278" t="inlineStr">
        <is>
          <t>SÖDERMANLANDS LÄN</t>
        </is>
      </c>
      <c r="G278" t="inlineStr">
        <is>
          <t>ESKILSTUNA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46260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46260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46260</v>
      </c>
      <c r="F281" t="inlineStr">
        <is>
          <t>SÖDERMANLANDS LÄN</t>
        </is>
      </c>
      <c r="G281" t="inlineStr">
        <is>
          <t>ESKILSTUNA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46260</v>
      </c>
      <c r="F282" t="inlineStr">
        <is>
          <t>SÖDERMANLANDS LÄN</t>
        </is>
      </c>
      <c r="G282" t="inlineStr">
        <is>
          <t>ESKILSTUNA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46260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46260</v>
      </c>
      <c r="F284" t="inlineStr">
        <is>
          <t>SÖDERMANLANDS LÄN</t>
        </is>
      </c>
      <c r="G284" t="inlineStr">
        <is>
          <t>ESKILSTUNA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46260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50484-2025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45945</v>
      </c>
      <c r="E286" s="1" t="n">
        <v>46260</v>
      </c>
      <c r="F286" t="inlineStr">
        <is>
          <t>SÖDERMANLANDS LÄN</t>
        </is>
      </c>
      <c r="G286" t="inlineStr">
        <is>
          <t>ESKILSTUNA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46260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46260</v>
      </c>
      <c r="F288" t="inlineStr">
        <is>
          <t>SÖDERMANLANDS LÄN</t>
        </is>
      </c>
      <c r="G288" t="inlineStr">
        <is>
          <t>ESKILSTUNA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46260</v>
      </c>
      <c r="F289" t="inlineStr">
        <is>
          <t>SÖDERMANLANDS LÄN</t>
        </is>
      </c>
      <c r="G289" t="inlineStr">
        <is>
          <t>ESKILSTUNA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46260</v>
      </c>
      <c r="F290" t="inlineStr">
        <is>
          <t>SÖDERMANLANDS LÄN</t>
        </is>
      </c>
      <c r="G290" t="inlineStr">
        <is>
          <t>ESKILSTUNA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46260</v>
      </c>
      <c r="F291" t="inlineStr">
        <is>
          <t>SÖDERMANLANDS LÄN</t>
        </is>
      </c>
      <c r="G291" t="inlineStr">
        <is>
          <t>ESKILSTUNA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46260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46260</v>
      </c>
      <c r="F293" t="inlineStr">
        <is>
          <t>SÖDERMANLANDS LÄN</t>
        </is>
      </c>
      <c r="G293" t="inlineStr">
        <is>
          <t>ESKILSTUNA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46260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46260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46260</v>
      </c>
      <c r="F296" t="inlineStr">
        <is>
          <t>SÖDERMANLANDS LÄN</t>
        </is>
      </c>
      <c r="G296" t="inlineStr">
        <is>
          <t>ESKILSTUNA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46260</v>
      </c>
      <c r="F297" t="inlineStr">
        <is>
          <t>SÖDERMANLANDS LÄN</t>
        </is>
      </c>
      <c r="G297" t="inlineStr">
        <is>
          <t>ESKILSTUNA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46260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46260</v>
      </c>
      <c r="F299" t="inlineStr">
        <is>
          <t>SÖDERMANLANDS LÄN</t>
        </is>
      </c>
      <c r="G299" t="inlineStr">
        <is>
          <t>ESKILSTUNA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36565-2022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44804</v>
      </c>
      <c r="E300" s="1" t="n">
        <v>46260</v>
      </c>
      <c r="F300" t="inlineStr">
        <is>
          <t>SÖDERMANLANDS LÄN</t>
        </is>
      </c>
      <c r="G300" t="inlineStr">
        <is>
          <t>ESKILSTUNA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44701</v>
      </c>
      <c r="E301" s="1" t="n">
        <v>46260</v>
      </c>
      <c r="F301" t="inlineStr">
        <is>
          <t>SÖDERMANLANDS LÄN</t>
        </is>
      </c>
      <c r="G301" t="inlineStr">
        <is>
          <t>ESKILSTUNA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46260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46260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46260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Kommuner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46260</v>
      </c>
      <c r="F305" t="inlineStr">
        <is>
          <t>SÖDERMANLANDS LÄN</t>
        </is>
      </c>
      <c r="G305" t="inlineStr">
        <is>
          <t>ESKILSTUNA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46260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45170</v>
      </c>
      <c r="E307" s="1" t="n">
        <v>46260</v>
      </c>
      <c r="F307" t="inlineStr">
        <is>
          <t>SÖDERMANLANDS LÄN</t>
        </is>
      </c>
      <c r="G307" t="inlineStr">
        <is>
          <t>ESKILSTUNA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59151-2022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46260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46260</v>
      </c>
      <c r="F309" t="inlineStr">
        <is>
          <t>SÖDERMANLANDS LÄN</t>
        </is>
      </c>
      <c r="G309" t="inlineStr">
        <is>
          <t>ESKILSTUNA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44626</v>
      </c>
      <c r="E310" s="1" t="n">
        <v>46260</v>
      </c>
      <c r="F310" t="inlineStr">
        <is>
          <t>SÖDERMANLANDS LÄN</t>
        </is>
      </c>
      <c r="G310" t="inlineStr">
        <is>
          <t>ESKILSTUNA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46260</v>
      </c>
      <c r="F311" t="inlineStr">
        <is>
          <t>SÖDERMANLANDS LÄN</t>
        </is>
      </c>
      <c r="G311" t="inlineStr">
        <is>
          <t>ESKILSTUNA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46260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44803</v>
      </c>
      <c r="E313" s="1" t="n">
        <v>46260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44803</v>
      </c>
      <c r="E314" s="1" t="n">
        <v>46260</v>
      </c>
      <c r="F314" t="inlineStr">
        <is>
          <t>SÖDERMANLANDS LÄN</t>
        </is>
      </c>
      <c r="G314" t="inlineStr">
        <is>
          <t>ESKILSTUNA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1340-2024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45303</v>
      </c>
      <c r="E315" s="1" t="n">
        <v>46260</v>
      </c>
      <c r="F315" t="inlineStr">
        <is>
          <t>SÖDERMANLANDS LÄN</t>
        </is>
      </c>
      <c r="G315" t="inlineStr">
        <is>
          <t>ESKILSTUNA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46260</v>
      </c>
      <c r="F316" t="inlineStr">
        <is>
          <t>SÖDERMANLANDS LÄN</t>
        </is>
      </c>
      <c r="G316" t="inlineStr">
        <is>
          <t>ESKILSTUNA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45209</v>
      </c>
      <c r="E317" s="1" t="n">
        <v>46260</v>
      </c>
      <c r="F317" t="inlineStr">
        <is>
          <t>SÖDERMANLANDS LÄN</t>
        </is>
      </c>
      <c r="G317" t="inlineStr">
        <is>
          <t>ESKILSTUNA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45694</v>
      </c>
      <c r="E318" s="1" t="n">
        <v>46260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46260</v>
      </c>
      <c r="F319" t="inlineStr">
        <is>
          <t>SÖDERMANLANDS LÄN</t>
        </is>
      </c>
      <c r="G319" t="inlineStr">
        <is>
          <t>ESKILSTUNA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13280-2023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45004</v>
      </c>
      <c r="E320" s="1" t="n">
        <v>46260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46157</v>
      </c>
      <c r="E321" s="1" t="n">
        <v>46260</v>
      </c>
      <c r="F321" t="inlineStr">
        <is>
          <t>SÖDERMANLANDS LÄN</t>
        </is>
      </c>
      <c r="G321" t="inlineStr">
        <is>
          <t>ESKILSTUNA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9711-2025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45715</v>
      </c>
      <c r="E322" s="1" t="n">
        <v>46260</v>
      </c>
      <c r="F322" t="inlineStr">
        <is>
          <t>SÖDERMANLANDS LÄN</t>
        </is>
      </c>
      <c r="G322" t="inlineStr">
        <is>
          <t>ESKILSTUNA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45750</v>
      </c>
      <c r="E323" s="1" t="n">
        <v>46260</v>
      </c>
      <c r="F323" t="inlineStr">
        <is>
          <t>SÖDERMANLANDS LÄN</t>
        </is>
      </c>
      <c r="G323" t="inlineStr">
        <is>
          <t>ESKILSTUNA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46260</v>
      </c>
      <c r="F324" t="inlineStr">
        <is>
          <t>SÖDERMANLANDS LÄN</t>
        </is>
      </c>
      <c r="G324" t="inlineStr">
        <is>
          <t>ESKILSTUNA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46260</v>
      </c>
      <c r="F325" t="inlineStr">
        <is>
          <t>SÖDERMANLANDS LÄN</t>
        </is>
      </c>
      <c r="G325" t="inlineStr">
        <is>
          <t>ESKILSTUNA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46260</v>
      </c>
      <c r="F326" t="inlineStr">
        <is>
          <t>SÖDERMANLANDS LÄN</t>
        </is>
      </c>
      <c r="G326" t="inlineStr">
        <is>
          <t>ESKILSTUNA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46260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Kyrkan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46260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46260</v>
      </c>
      <c r="F329" t="inlineStr">
        <is>
          <t>SÖDERMANLANDS LÄN</t>
        </is>
      </c>
      <c r="G329" t="inlineStr">
        <is>
          <t>ESKILSTUNA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52203-2025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45953</v>
      </c>
      <c r="E330" s="1" t="n">
        <v>46260</v>
      </c>
      <c r="F330" t="inlineStr">
        <is>
          <t>SÖDERMANLANDS LÄN</t>
        </is>
      </c>
      <c r="G330" t="inlineStr">
        <is>
          <t>ESKILSTUNA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46260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46260</v>
      </c>
      <c r="F332" t="inlineStr">
        <is>
          <t>SÖDERMANLANDS LÄN</t>
        </is>
      </c>
      <c r="G332" t="inlineStr">
        <is>
          <t>ESKILSTUNA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46260</v>
      </c>
      <c r="F333" t="inlineStr">
        <is>
          <t>SÖDERMANLANDS LÄN</t>
        </is>
      </c>
      <c r="G333" t="inlineStr">
        <is>
          <t>ESKILSTUNA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46260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1346-2024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45303</v>
      </c>
      <c r="E335" s="1" t="n">
        <v>46260</v>
      </c>
      <c r="F335" t="inlineStr">
        <is>
          <t>SÖDERMANLANDS LÄN</t>
        </is>
      </c>
      <c r="G335" t="inlineStr">
        <is>
          <t>ESKILSTUNA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20984-2023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45061</v>
      </c>
      <c r="E336" s="1" t="n">
        <v>46260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46260</v>
      </c>
      <c r="F337" t="inlineStr">
        <is>
          <t>SÖDERMANLANDS LÄN</t>
        </is>
      </c>
      <c r="G337" t="inlineStr">
        <is>
          <t>ESKILSTUNA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45756</v>
      </c>
      <c r="E338" s="1" t="n">
        <v>46260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51547-2024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45604</v>
      </c>
      <c r="E339" s="1" t="n">
        <v>46260</v>
      </c>
      <c r="F339" t="inlineStr">
        <is>
          <t>SÖDERMANLANDS LÄN</t>
        </is>
      </c>
      <c r="G339" t="inlineStr">
        <is>
          <t>ESKILSTUNA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46260</v>
      </c>
      <c r="F340" t="inlineStr">
        <is>
          <t>SÖDERMANLANDS LÄN</t>
        </is>
      </c>
      <c r="G340" t="inlineStr">
        <is>
          <t>ESKILSTUNA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25668-2022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44732</v>
      </c>
      <c r="E341" s="1" t="n">
        <v>46260</v>
      </c>
      <c r="F341" t="inlineStr">
        <is>
          <t>SÖDERMANLANDS LÄN</t>
        </is>
      </c>
      <c r="G341" t="inlineStr">
        <is>
          <t>ESKILSTUNA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60533-2024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45643</v>
      </c>
      <c r="E342" s="1" t="n">
        <v>46260</v>
      </c>
      <c r="F342" t="inlineStr">
        <is>
          <t>SÖDERMANLANDS LÄN</t>
        </is>
      </c>
      <c r="G342" t="inlineStr">
        <is>
          <t>ESKILSTUNA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44837</v>
      </c>
      <c r="E343" s="1" t="n">
        <v>46260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46260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Övriga Aktiebolag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46260</v>
      </c>
      <c r="F345" t="inlineStr">
        <is>
          <t>SÖDERMANLANDS LÄN</t>
        </is>
      </c>
      <c r="G345" t="inlineStr">
        <is>
          <t>ESKILSTUNA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46260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44671</v>
      </c>
      <c r="E347" s="1" t="n">
        <v>46260</v>
      </c>
      <c r="F347" t="inlineStr">
        <is>
          <t>SÖDERMANLANDS LÄN</t>
        </is>
      </c>
      <c r="G347" t="inlineStr">
        <is>
          <t>ESKILSTUNA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46260</v>
      </c>
      <c r="F348" t="inlineStr">
        <is>
          <t>SÖDERMANLANDS LÄN</t>
        </is>
      </c>
      <c r="G348" t="inlineStr">
        <is>
          <t>ESKILSTUNA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46260</v>
      </c>
      <c r="F349" t="inlineStr">
        <is>
          <t>SÖDERMANLANDS LÄN</t>
        </is>
      </c>
      <c r="G349" t="inlineStr">
        <is>
          <t>ESKILSTUNA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46260</v>
      </c>
      <c r="F350" t="inlineStr">
        <is>
          <t>SÖDERMANLANDS LÄN</t>
        </is>
      </c>
      <c r="G350" t="inlineStr">
        <is>
          <t>ESKILSTUNA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46177</v>
      </c>
      <c r="E351" s="1" t="n">
        <v>46260</v>
      </c>
      <c r="F351" t="inlineStr">
        <is>
          <t>SÖDERMANLANDS LÄN</t>
        </is>
      </c>
      <c r="G351" t="inlineStr">
        <is>
          <t>ESKILSTUNA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46260</v>
      </c>
      <c r="F352" t="inlineStr">
        <is>
          <t>SÖDERMANLANDS LÄN</t>
        </is>
      </c>
      <c r="G352" t="inlineStr">
        <is>
          <t>ESKILSTUNA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61367-2021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44499</v>
      </c>
      <c r="E353" s="1" t="n">
        <v>46260</v>
      </c>
      <c r="F353" t="inlineStr">
        <is>
          <t>SÖDERMANLANDS LÄN</t>
        </is>
      </c>
      <c r="G353" t="inlineStr">
        <is>
          <t>ESKILSTUNA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46260</v>
      </c>
      <c r="F354" t="inlineStr">
        <is>
          <t>SÖDERMANLANDS LÄN</t>
        </is>
      </c>
      <c r="G354" t="inlineStr">
        <is>
          <t>ESKILSTUNA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53476-2021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44468</v>
      </c>
      <c r="E355" s="1" t="n">
        <v>46260</v>
      </c>
      <c r="F355" t="inlineStr">
        <is>
          <t>SÖDERMANLANDS LÄN</t>
        </is>
      </c>
      <c r="G355" t="inlineStr">
        <is>
          <t>ESKILSTUNA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46260</v>
      </c>
      <c r="F356" t="inlineStr">
        <is>
          <t>SÖDERMANLANDS LÄN</t>
        </is>
      </c>
      <c r="G356" t="inlineStr">
        <is>
          <t>ESKILSTUNA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46260</v>
      </c>
      <c r="F357" t="inlineStr">
        <is>
          <t>SÖDERMANLANDS LÄN</t>
        </is>
      </c>
      <c r="G357" t="inlineStr">
        <is>
          <t>ESKILSTUNA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44572</v>
      </c>
      <c r="E358" s="1" t="n">
        <v>46260</v>
      </c>
      <c r="F358" t="inlineStr">
        <is>
          <t>SÖDERMANLANDS LÄN</t>
        </is>
      </c>
      <c r="G358" t="inlineStr">
        <is>
          <t>ESKILSTUNA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35076-2022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44797</v>
      </c>
      <c r="E359" s="1" t="n">
        <v>46260</v>
      </c>
      <c r="F359" t="inlineStr">
        <is>
          <t>SÖDERMANLANDS LÄN</t>
        </is>
      </c>
      <c r="G359" t="inlineStr">
        <is>
          <t>ESKILSTUNA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46260</v>
      </c>
      <c r="F360" t="inlineStr">
        <is>
          <t>SÖDERMANLANDS LÄN</t>
        </is>
      </c>
      <c r="G360" t="inlineStr">
        <is>
          <t>ESKILSTUNA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46260</v>
      </c>
      <c r="F361" t="inlineStr">
        <is>
          <t>SÖDERMANLANDS LÄN</t>
        </is>
      </c>
      <c r="G361" t="inlineStr">
        <is>
          <t>ESKILSTUNA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27779-2026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46191</v>
      </c>
      <c r="E362" s="1" t="n">
        <v>46260</v>
      </c>
      <c r="F362" t="inlineStr">
        <is>
          <t>SÖDERMANLANDS LÄN</t>
        </is>
      </c>
      <c r="G362" t="inlineStr">
        <is>
          <t>ESKILSTUNA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19502-2024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45429</v>
      </c>
      <c r="E363" s="1" t="n">
        <v>46260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61416-2022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44916</v>
      </c>
      <c r="E364" s="1" t="n">
        <v>46260</v>
      </c>
      <c r="F364" t="inlineStr">
        <is>
          <t>SÖDERMANLANDS LÄN</t>
        </is>
      </c>
      <c r="G364" t="inlineStr">
        <is>
          <t>ESKILSTUNA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42801-2022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44832</v>
      </c>
      <c r="E365" s="1" t="n">
        <v>46260</v>
      </c>
      <c r="F365" t="inlineStr">
        <is>
          <t>SÖDERMANLANDS LÄN</t>
        </is>
      </c>
      <c r="G365" t="inlineStr">
        <is>
          <t>ESKILSTUNA</t>
        </is>
      </c>
      <c r="I365" t="n">
        <v>19.9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46260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46260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46260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Sveaskog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45387</v>
      </c>
      <c r="E369" s="1" t="n">
        <v>46260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46260</v>
      </c>
      <c r="F370" t="inlineStr">
        <is>
          <t>SÖDERMANLANDS LÄN</t>
        </is>
      </c>
      <c r="G370" t="inlineStr">
        <is>
          <t>ESKILSTUNA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44804</v>
      </c>
      <c r="E371" s="1" t="n">
        <v>46260</v>
      </c>
      <c r="F371" t="inlineStr">
        <is>
          <t>SÖDERMANLANDS LÄN</t>
        </is>
      </c>
      <c r="G371" t="inlineStr">
        <is>
          <t>ESKILSTUNA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46238</v>
      </c>
      <c r="E372" s="1" t="n">
        <v>46260</v>
      </c>
      <c r="F372" t="inlineStr">
        <is>
          <t>SÖDERMANLANDS LÄN</t>
        </is>
      </c>
      <c r="G372" t="inlineStr">
        <is>
          <t>ESKILSTUNA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61988-2022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44918</v>
      </c>
      <c r="E373" s="1" t="n">
        <v>46260</v>
      </c>
      <c r="F373" t="inlineStr">
        <is>
          <t>SÖDERMANLANDS LÄN</t>
        </is>
      </c>
      <c r="G373" t="inlineStr">
        <is>
          <t>ESKILSTUNA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45107</v>
      </c>
      <c r="E374" s="1" t="n">
        <v>46260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Allmännings- och besparingsskogar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46238</v>
      </c>
      <c r="E375" s="1" t="n">
        <v>46260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25229-2022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44729</v>
      </c>
      <c r="E376" s="1" t="n">
        <v>46260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Allmännings- och besparingsskogar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45363</v>
      </c>
      <c r="E377" s="1" t="n">
        <v>46260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46239</v>
      </c>
      <c r="E378" s="1" t="n">
        <v>46260</v>
      </c>
      <c r="F378" t="inlineStr">
        <is>
          <t>SÖDERMANLANDS LÄN</t>
        </is>
      </c>
      <c r="G378" t="inlineStr">
        <is>
          <t>ESKILSTUNA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45664</v>
      </c>
      <c r="E379" s="1" t="n">
        <v>46260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46260</v>
      </c>
      <c r="F380" t="inlineStr">
        <is>
          <t>SÖDERMANLANDS LÄN</t>
        </is>
      </c>
      <c r="G380" t="inlineStr">
        <is>
          <t>ESKILSTUNA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46260</v>
      </c>
      <c r="F381" t="inlineStr">
        <is>
          <t>SÖDERMANLANDS LÄN</t>
        </is>
      </c>
      <c r="G381" t="inlineStr">
        <is>
          <t>ESKILSTUNA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46260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46260</v>
      </c>
      <c r="F383" t="inlineStr">
        <is>
          <t>SÖDERMANLANDS LÄN</t>
        </is>
      </c>
      <c r="G383" t="inlineStr">
        <is>
          <t>ESKILSTUNA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46260</v>
      </c>
      <c r="F384" t="inlineStr">
        <is>
          <t>SÖDERMANLANDS LÄN</t>
        </is>
      </c>
      <c r="G384" t="inlineStr">
        <is>
          <t>ESKILSTUNA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48671-2021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44452</v>
      </c>
      <c r="E385" s="1" t="n">
        <v>46260</v>
      </c>
      <c r="F385" t="inlineStr">
        <is>
          <t>SÖDERMANLANDS LÄN</t>
        </is>
      </c>
      <c r="G385" t="inlineStr">
        <is>
          <t>ESKILSTUNA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29053-2026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46199</v>
      </c>
      <c r="E386" s="1" t="n">
        <v>46260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46241</v>
      </c>
      <c r="E387" s="1" t="n">
        <v>46260</v>
      </c>
      <c r="F387" t="inlineStr">
        <is>
          <t>SÖDERMANLANDS LÄN</t>
        </is>
      </c>
      <c r="G387" t="inlineStr">
        <is>
          <t>ESKILSTUNA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46260</v>
      </c>
      <c r="F388" t="inlineStr">
        <is>
          <t>SÖDERMANLANDS LÄN</t>
        </is>
      </c>
      <c r="G388" t="inlineStr">
        <is>
          <t>ESKILSTUNA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29051-2026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46199</v>
      </c>
      <c r="E389" s="1" t="n">
        <v>46260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46260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46260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46245</v>
      </c>
      <c r="E392" s="1" t="n">
        <v>46260</v>
      </c>
      <c r="F392" t="inlineStr">
        <is>
          <t>SÖDERMANLANDS LÄN</t>
        </is>
      </c>
      <c r="G392" t="inlineStr">
        <is>
          <t>ESKILSTUNA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46245</v>
      </c>
      <c r="E393" s="1" t="n">
        <v>46260</v>
      </c>
      <c r="F393" t="inlineStr">
        <is>
          <t>SÖDERMANLANDS LÄN</t>
        </is>
      </c>
      <c r="G393" t="inlineStr">
        <is>
          <t>ESKILSTUNA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32969-2026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46244</v>
      </c>
      <c r="E394" s="1" t="n">
        <v>46260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Kommuner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44956</v>
      </c>
      <c r="E395" s="1" t="n">
        <v>46260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45429</v>
      </c>
      <c r="E396" s="1" t="n">
        <v>46260</v>
      </c>
      <c r="F396" t="inlineStr">
        <is>
          <t>SÖDERMANLANDS LÄN</t>
        </is>
      </c>
      <c r="G396" t="inlineStr">
        <is>
          <t>ESKILSTUNA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46260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44851</v>
      </c>
      <c r="E398" s="1" t="n">
        <v>46260</v>
      </c>
      <c r="F398" t="inlineStr">
        <is>
          <t>SÖDERMANLANDS LÄN</t>
        </is>
      </c>
      <c r="G398" t="inlineStr">
        <is>
          <t>ESKILSTUNA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45069</v>
      </c>
      <c r="E399" s="1" t="n">
        <v>46260</v>
      </c>
      <c r="F399" t="inlineStr">
        <is>
          <t>SÖDERMANLANDS LÄN</t>
        </is>
      </c>
      <c r="G399" t="inlineStr">
        <is>
          <t>ESKILSTUNA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46246</v>
      </c>
      <c r="E400" s="1" t="n">
        <v>46260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44606</v>
      </c>
      <c r="E401" s="1" t="n">
        <v>46260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Kyrkan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46260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46260</v>
      </c>
      <c r="F403" t="inlineStr">
        <is>
          <t>SÖDERMANLANDS LÄN</t>
        </is>
      </c>
      <c r="G403" t="inlineStr">
        <is>
          <t>ESKILSTUNA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46157</v>
      </c>
      <c r="E404" s="1" t="n">
        <v>46260</v>
      </c>
      <c r="F404" t="inlineStr">
        <is>
          <t>SÖDERMANLANDS LÄN</t>
        </is>
      </c>
      <c r="G404" t="inlineStr">
        <is>
          <t>ESKILSTUNA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44998</v>
      </c>
      <c r="E405" s="1" t="n">
        <v>46260</v>
      </c>
      <c r="F405" t="inlineStr">
        <is>
          <t>SÖDERMANLANDS LÄN</t>
        </is>
      </c>
      <c r="G405" t="inlineStr">
        <is>
          <t>ESKILSTUNA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46260</v>
      </c>
      <c r="F406" t="inlineStr">
        <is>
          <t>SÖDERMANLANDS LÄN</t>
        </is>
      </c>
      <c r="G406" t="inlineStr">
        <is>
          <t>ESKILSTUNA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46260</v>
      </c>
      <c r="F407" t="inlineStr">
        <is>
          <t>SÖDERMANLANDS LÄN</t>
        </is>
      </c>
      <c r="G407" t="inlineStr">
        <is>
          <t>ESKILSTUNA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50310-2022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46260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44592</v>
      </c>
      <c r="E409" s="1" t="n">
        <v>46260</v>
      </c>
      <c r="F409" t="inlineStr">
        <is>
          <t>SÖDERMANLANDS LÄN</t>
        </is>
      </c>
      <c r="G409" t="inlineStr">
        <is>
          <t>ESKILSTUNA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45464</v>
      </c>
      <c r="E410" s="1" t="n">
        <v>46260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46260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61829-2023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45266</v>
      </c>
      <c r="E412" s="1" t="n">
        <v>46260</v>
      </c>
      <c r="F412" t="inlineStr">
        <is>
          <t>SÖDERMANLANDS LÄN</t>
        </is>
      </c>
      <c r="G412" t="inlineStr">
        <is>
          <t>ESKILSTUNA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61831-2023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45266</v>
      </c>
      <c r="E413" s="1" t="n">
        <v>46260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44499</v>
      </c>
      <c r="E414" s="1" t="n">
        <v>46260</v>
      </c>
      <c r="F414" t="inlineStr">
        <is>
          <t>SÖDERMANLANDS LÄN</t>
        </is>
      </c>
      <c r="G414" t="inlineStr">
        <is>
          <t>ESKILSTUNA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70560-2021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44536</v>
      </c>
      <c r="E415" s="1" t="n">
        <v>46260</v>
      </c>
      <c r="F415" t="inlineStr">
        <is>
          <t>SÖDERMANLANDS LÄN</t>
        </is>
      </c>
      <c r="G415" t="inlineStr">
        <is>
          <t>ESKILSTUNA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46260</v>
      </c>
      <c r="F416" t="inlineStr">
        <is>
          <t>SÖDERMANLANDS LÄN</t>
        </is>
      </c>
      <c r="G416" t="inlineStr">
        <is>
          <t>ESKILSTUNA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46260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44617</v>
      </c>
      <c r="E418" s="1" t="n">
        <v>46260</v>
      </c>
      <c r="F418" t="inlineStr">
        <is>
          <t>SÖDERMANLANDS LÄN</t>
        </is>
      </c>
      <c r="G418" t="inlineStr">
        <is>
          <t>ESKILSTUNA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46260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26532-2022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46260</v>
      </c>
      <c r="F420" t="inlineStr">
        <is>
          <t>SÖDERMANLANDS LÄN</t>
        </is>
      </c>
      <c r="G420" t="inlineStr">
        <is>
          <t>ESKILSTUNA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46260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44964</v>
      </c>
      <c r="E422" s="1" t="n">
        <v>46260</v>
      </c>
      <c r="F422" t="inlineStr">
        <is>
          <t>SÖDERMANLANDS LÄN</t>
        </is>
      </c>
      <c r="G422" t="inlineStr">
        <is>
          <t>ESKILSTUNA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31131-2026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46216</v>
      </c>
      <c r="E423" s="1" t="n">
        <v>46260</v>
      </c>
      <c r="F423" t="inlineStr">
        <is>
          <t>SÖDERMANLANDS LÄN</t>
        </is>
      </c>
      <c r="G423" t="inlineStr">
        <is>
          <t>ESKILSTUNA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46260</v>
      </c>
      <c r="F424" t="inlineStr">
        <is>
          <t>SÖDERMANLANDS LÄN</t>
        </is>
      </c>
      <c r="G424" t="inlineStr">
        <is>
          <t>ESKILSTUNA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57524-2022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44889</v>
      </c>
      <c r="E425" s="1" t="n">
        <v>46260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46217</v>
      </c>
      <c r="E426" s="1" t="n">
        <v>46260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Kommuner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46217</v>
      </c>
      <c r="E427" s="1" t="n">
        <v>46260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Kommuner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46260</v>
      </c>
      <c r="F428" t="inlineStr">
        <is>
          <t>SÖDERMANLANDS LÄN</t>
        </is>
      </c>
      <c r="G428" t="inlineStr">
        <is>
          <t>ESKILSTUNA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46260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20180-2022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46260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46260</v>
      </c>
      <c r="F431" t="inlineStr">
        <is>
          <t>SÖDERMANLANDS LÄN</t>
        </is>
      </c>
      <c r="G431" t="inlineStr">
        <is>
          <t>ESKILSTUNA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46260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44852</v>
      </c>
      <c r="E433" s="1" t="n">
        <v>46260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46260</v>
      </c>
      <c r="F434" t="inlineStr">
        <is>
          <t>SÖDERMANLANDS LÄN</t>
        </is>
      </c>
      <c r="G434" t="inlineStr">
        <is>
          <t>ESKILSTUNA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44741</v>
      </c>
      <c r="E435" s="1" t="n">
        <v>46260</v>
      </c>
      <c r="F435" t="inlineStr">
        <is>
          <t>SÖDERMANLANDS LÄN</t>
        </is>
      </c>
      <c r="G435" t="inlineStr">
        <is>
          <t>ESKILSTUNA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46260</v>
      </c>
      <c r="F436" t="inlineStr">
        <is>
          <t>SÖDERMANLANDS LÄN</t>
        </is>
      </c>
      <c r="G436" t="inlineStr">
        <is>
          <t>ESKILSTUNA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46260</v>
      </c>
      <c r="F437" t="inlineStr">
        <is>
          <t>SÖDERMANLANDS LÄN</t>
        </is>
      </c>
      <c r="G437" t="inlineStr">
        <is>
          <t>ESKILSTUNA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45329</v>
      </c>
      <c r="E438" s="1" t="n">
        <v>46260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12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44927-2023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45190</v>
      </c>
      <c r="E439" s="1" t="n">
        <v>46260</v>
      </c>
      <c r="F439" t="inlineStr">
        <is>
          <t>SÖDERMANLANDS LÄN</t>
        </is>
      </c>
      <c r="G439" t="inlineStr">
        <is>
          <t>ESKILSTUNA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46260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46881-2022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44851</v>
      </c>
      <c r="E441" s="1" t="n">
        <v>46260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46260</v>
      </c>
      <c r="F442" t="inlineStr">
        <is>
          <t>SÖDERMANLANDS LÄN</t>
        </is>
      </c>
      <c r="G442" t="inlineStr">
        <is>
          <t>ESKILSTUNA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45363</v>
      </c>
      <c r="E443" s="1" t="n">
        <v>46260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46260</v>
      </c>
      <c r="F444" t="inlineStr">
        <is>
          <t>SÖDERMANLANDS LÄN</t>
        </is>
      </c>
      <c r="G444" t="inlineStr">
        <is>
          <t>ESKILSTUNA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65349-2021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44515</v>
      </c>
      <c r="E445" s="1" t="n">
        <v>46260</v>
      </c>
      <c r="F445" t="inlineStr">
        <is>
          <t>SÖDERMANLANDS LÄN</t>
        </is>
      </c>
      <c r="G445" t="inlineStr">
        <is>
          <t>ESKILSTUNA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44664</v>
      </c>
      <c r="E446" s="1" t="n">
        <v>46260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44789</v>
      </c>
      <c r="E447" s="1" t="n">
        <v>46260</v>
      </c>
      <c r="F447" t="inlineStr">
        <is>
          <t>SÖDERMANLANDS LÄN</t>
        </is>
      </c>
      <c r="G447" t="inlineStr">
        <is>
          <t>ESKILSTUNA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46260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46260</v>
      </c>
      <c r="F449" t="inlineStr">
        <is>
          <t>SÖDERMANLANDS LÄN</t>
        </is>
      </c>
      <c r="G449" t="inlineStr">
        <is>
          <t>ESKILSTUNA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46260</v>
      </c>
      <c r="F450" t="inlineStr">
        <is>
          <t>SÖDERMANLANDS LÄN</t>
        </is>
      </c>
      <c r="G450" t="inlineStr">
        <is>
          <t>ESKILSTUNA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44903</v>
      </c>
      <c r="E451" s="1" t="n">
        <v>46260</v>
      </c>
      <c r="F451" t="inlineStr">
        <is>
          <t>SÖDERMANLANDS LÄN</t>
        </is>
      </c>
      <c r="G451" t="inlineStr">
        <is>
          <t>ESKILSTUNA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54598-2021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44473</v>
      </c>
      <c r="E452" s="1" t="n">
        <v>46260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44886</v>
      </c>
      <c r="E453" s="1" t="n">
        <v>46260</v>
      </c>
      <c r="F453" t="inlineStr">
        <is>
          <t>SÖDERMANLANDS LÄN</t>
        </is>
      </c>
      <c r="G453" t="inlineStr">
        <is>
          <t>ESKILSTUNA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44571</v>
      </c>
      <c r="E454" s="1" t="n">
        <v>46260</v>
      </c>
      <c r="F454" t="inlineStr">
        <is>
          <t>SÖDERMANLANDS LÄN</t>
        </is>
      </c>
      <c r="G454" t="inlineStr">
        <is>
          <t>ESKILSTUNA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1330-2024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45303</v>
      </c>
      <c r="E455" s="1" t="n">
        <v>46260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1334-2024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45303</v>
      </c>
      <c r="E456" s="1" t="n">
        <v>46260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45303</v>
      </c>
      <c r="E457" s="1" t="n">
        <v>46260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46260</v>
      </c>
      <c r="F458" t="inlineStr">
        <is>
          <t>SÖDERMANLANDS LÄN</t>
        </is>
      </c>
      <c r="G458" t="inlineStr">
        <is>
          <t>ESKILSTUNA</t>
        </is>
      </c>
      <c r="I458" t="n">
        <v>15.6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26535-2022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46260</v>
      </c>
      <c r="F459" t="inlineStr">
        <is>
          <t>SÖDERMANLANDS LÄN</t>
        </is>
      </c>
      <c r="G459" t="inlineStr">
        <is>
          <t>ESKILSTUNA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45167</v>
      </c>
      <c r="E460" s="1" t="n">
        <v>46260</v>
      </c>
      <c r="F460" t="inlineStr">
        <is>
          <t>SÖDERMANLANDS LÄN</t>
        </is>
      </c>
      <c r="G460" t="inlineStr">
        <is>
          <t>ESKILSTUNA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12547-2022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44638</v>
      </c>
      <c r="E461" s="1" t="n">
        <v>46260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46260</v>
      </c>
      <c r="F462" t="inlineStr">
        <is>
          <t>SÖDERMANLANDS LÄN</t>
        </is>
      </c>
      <c r="G462" t="inlineStr">
        <is>
          <t>ESKILSTUNA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68022-2021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44525</v>
      </c>
      <c r="E463" s="1" t="n">
        <v>46260</v>
      </c>
      <c r="F463" t="inlineStr">
        <is>
          <t>SÖDERMANLANDS LÄN</t>
        </is>
      </c>
      <c r="G463" t="inlineStr">
        <is>
          <t>ESKILSTUNA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61170-2021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44497</v>
      </c>
      <c r="E464" s="1" t="n">
        <v>46260</v>
      </c>
      <c r="F464" t="inlineStr">
        <is>
          <t>SÖDERMANLANDS LÄN</t>
        </is>
      </c>
      <c r="G464" t="inlineStr">
        <is>
          <t>ESKILSTUNA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46260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29068-2022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46260</v>
      </c>
      <c r="F466" t="inlineStr">
        <is>
          <t>SÖDERMANLANDS LÄN</t>
        </is>
      </c>
      <c r="G466" t="inlineStr">
        <is>
          <t>ESKILSTUNA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44946</v>
      </c>
      <c r="E467" s="1" t="n">
        <v>46260</v>
      </c>
      <c r="F467" t="inlineStr">
        <is>
          <t>SÖDERMANLANDS LÄN</t>
        </is>
      </c>
      <c r="G467" t="inlineStr">
        <is>
          <t>ESKILSTUNA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46260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44746</v>
      </c>
      <c r="E469" s="1" t="n">
        <v>46260</v>
      </c>
      <c r="F469" t="inlineStr">
        <is>
          <t>SÖDERMANLANDS LÄN</t>
        </is>
      </c>
      <c r="G469" t="inlineStr">
        <is>
          <t>ESKILSTUNA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20348-2023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46260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22605-2023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45071</v>
      </c>
      <c r="E471" s="1" t="n">
        <v>46260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Kyrkan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45183</v>
      </c>
      <c r="E472" s="1" t="n">
        <v>46260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46260</v>
      </c>
      <c r="F473" t="inlineStr">
        <is>
          <t>SÖDERMANLANDS LÄN</t>
        </is>
      </c>
      <c r="G473" t="inlineStr">
        <is>
          <t>ESKILSTUNA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46260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45737</v>
      </c>
      <c r="E475" s="1" t="n">
        <v>46260</v>
      </c>
      <c r="F475" t="inlineStr">
        <is>
          <t>SÖDERMANLANDS LÄN</t>
        </is>
      </c>
      <c r="G475" t="inlineStr">
        <is>
          <t>ESKILSTUNA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45365</v>
      </c>
      <c r="E476" s="1" t="n">
        <v>46260</v>
      </c>
      <c r="F476" t="inlineStr">
        <is>
          <t>SÖDERMANLANDS LÄN</t>
        </is>
      </c>
      <c r="G476" t="inlineStr">
        <is>
          <t>ESKILSTUNA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46260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9.6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46260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4954-2022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46260</v>
      </c>
      <c r="F479" t="inlineStr">
        <is>
          <t>SÖDERMANLANDS LÄN</t>
        </is>
      </c>
      <c r="G479" t="inlineStr">
        <is>
          <t>ESKILSTUNA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46260</v>
      </c>
      <c r="F480" t="inlineStr">
        <is>
          <t>SÖDERMANLANDS LÄN</t>
        </is>
      </c>
      <c r="G480" t="inlineStr">
        <is>
          <t>ESKILSTUNA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46260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46260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46260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24534-2025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45798</v>
      </c>
      <c r="E484" s="1" t="n">
        <v>46260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24535-2025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46260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24536-2025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45798</v>
      </c>
      <c r="E486" s="1" t="n">
        <v>46260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46260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Allmännings- och besparingsskogar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43489-2024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46260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24537-2025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45798</v>
      </c>
      <c r="E489" s="1" t="n">
        <v>46260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1333-2020</t>
        </is>
      </c>
      <c r="B490" t="inlineStr">
        <is>
          <t>samrådsanmälan</t>
        </is>
      </c>
      <c r="C490" t="inlineStr">
        <is>
          <t>Åtgärd i nyckelbiotop</t>
        </is>
      </c>
      <c r="D490" s="1" t="n">
        <v>43993</v>
      </c>
      <c r="E490" s="1" t="n">
        <v>46260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383-2023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44959</v>
      </c>
      <c r="E491" s="1" t="n">
        <v>46260</v>
      </c>
      <c r="F491" t="inlineStr">
        <is>
          <t>SÖDERMANLANDS LÄN</t>
        </is>
      </c>
      <c r="G491" t="inlineStr">
        <is>
          <t>ESKILSTUNA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6471-2021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44449</v>
      </c>
      <c r="E492" s="1" t="n">
        <v>46260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3665-2023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45217</v>
      </c>
      <c r="E493" s="1" t="n">
        <v>46260</v>
      </c>
      <c r="F493" t="inlineStr">
        <is>
          <t>SÖDERMANLANDS LÄN</t>
        </is>
      </c>
      <c r="G493" t="inlineStr">
        <is>
          <t>ESKILSTUNA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4583-2023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45282</v>
      </c>
      <c r="E494" s="1" t="n">
        <v>46260</v>
      </c>
      <c r="F494" t="inlineStr">
        <is>
          <t>SÖDERMANLANDS LÄN</t>
        </is>
      </c>
      <c r="G494" t="inlineStr">
        <is>
          <t>ESKILSTUNA</t>
        </is>
      </c>
      <c r="I494" t="n">
        <v>31.4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46260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1602-2025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46260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45686</v>
      </c>
      <c r="E497" s="1" t="n">
        <v>46260</v>
      </c>
      <c r="F497" t="inlineStr">
        <is>
          <t>SÖDERMANLANDS LÄN</t>
        </is>
      </c>
      <c r="G497" t="inlineStr">
        <is>
          <t>ESKILSTUNA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2917-2024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45504</v>
      </c>
      <c r="E498" s="1" t="n">
        <v>46260</v>
      </c>
      <c r="F498" t="inlineStr">
        <is>
          <t>SÖDERMANLANDS LÄN</t>
        </is>
      </c>
      <c r="G498" t="inlineStr">
        <is>
          <t>ESKILSTUNA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1920-2025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45826</v>
      </c>
      <c r="E499" s="1" t="n">
        <v>46260</v>
      </c>
      <c r="F499" t="inlineStr">
        <is>
          <t>SÖDERMANLANDS LÄN</t>
        </is>
      </c>
      <c r="G499" t="inlineStr">
        <is>
          <t>ESKILSTUNA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1030-2026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46125</v>
      </c>
      <c r="E500" s="1" t="n">
        <v>46260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46260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>
      <c r="A502" t="inlineStr">
        <is>
          <t>S 1871-2026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46260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2026-08-26T01:49:45Z</dcterms:created>
  <dcterms:modified xmlns:dcterms="http://purl.org/dc/terms/" xmlns:xsi="http://www.w3.org/2001/XMLSchema-instance" xsi:type="dcterms:W3CDTF">2026-08-26T01:49:45Z</dcterms:modified>
</cp:coreProperties>
</file>