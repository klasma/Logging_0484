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46295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46295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46295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46295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46295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46295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46295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46295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46295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46295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46295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46295</v>
      </c>
      <c r="F13" t="inlineStr">
        <is>
          <t>SÖDERMANLANDS LÄN</t>
        </is>
      </c>
      <c r="G13" t="inlineStr">
        <is>
          <t>ESKILSTUNA</t>
        </is>
      </c>
      <c r="H13" t="inlineStr">
        <is>
          <t>Kommuner</t>
        </is>
      </c>
      <c r="I13" t="n">
        <v>1.7</v>
      </c>
      <c r="J13" t="n">
        <v>3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9</v>
      </c>
      <c r="U13" t="n">
        <v>8</v>
      </c>
      <c r="V13" s="2" t="inlineStr">
        <is>
          <t>Älg
Hasselticka
Tibast
Blåsippa
Spillkråka
Vanlig padda</t>
        </is>
      </c>
      <c r="W13">
        <f>HYPERLINK("https://klasma.github.io/Logging_0484/artfynd/A 33004-2026 artfynd.xlsx", "A 33004-2026")</f>
        <v/>
      </c>
      <c r="X13">
        <f>HYPERLINK("https://klasma.github.io/Logging_0484/kartor/A 33004-2026 karta.png", "A 33004-2026")</f>
        <v/>
      </c>
      <c r="Y13">
        <f>HYPERLINK("https://klasma.github.io/Logging_0484/kartor_geotiff/A 33004-2026 georefererad karta.tif", "A 33004-2026")</f>
        <v/>
      </c>
      <c r="AA13">
        <f>HYPERLINK("https://klasma.github.io/Logging_0484/klagomål/A 33004-2026 FSC-klagomål.docx", "A 33004-2026")</f>
        <v/>
      </c>
      <c r="AB13">
        <f>HYPERLINK("https://klasma.github.io/Logging_0484/klagomålsmail/A 33004-2026 FSC-klagomål mail.docx", "A 33004-2026")</f>
        <v/>
      </c>
      <c r="AC13">
        <f>HYPERLINK("https://klasma.github.io/Logging_0484/tillsyn/A 33004-2026 tillsynsbegäran.docx", "A 33004-2026")</f>
        <v/>
      </c>
      <c r="AD13">
        <f>HYPERLINK("https://klasma.github.io/Logging_0484/tillsynsmail/A 33004-2026 tillsynsbegäran mail.docx", "A 33004-2026")</f>
        <v/>
      </c>
      <c r="AE13">
        <f>HYPERLINK("https://klasma.github.io/Logging_0484/fåglar/A 33004-2026 prioriterade fågelarter.docx", "A 33004-2026")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46295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46295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46295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46295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46295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46295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46295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46295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46295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46295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24539-2025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46295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4.8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7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24539-2025 artfynd.xlsx", "A 24539-2025")</f>
        <v/>
      </c>
      <c r="X24">
        <f>HYPERLINK("https://klasma.github.io/Logging_0484/kartor/A 24539-2025 karta.png", "A 24539-2025")</f>
        <v/>
      </c>
      <c r="Y24">
        <f>HYPERLINK("https://klasma.github.io/Logging_0484/kartor_geotiff/A 24539-2025 georefererad karta.tif", "A 24539-2025")</f>
        <v/>
      </c>
      <c r="AA24">
        <f>HYPERLINK("https://klasma.github.io/Logging_0484/klagomål/A 24539-2025 FSC-klagomål.docx", "A 24539-2025")</f>
        <v/>
      </c>
      <c r="AB24">
        <f>HYPERLINK("https://klasma.github.io/Logging_0484/klagomålsmail/A 24539-2025 FSC-klagomål mail.docx", "A 24539-2025")</f>
        <v/>
      </c>
      <c r="AC24">
        <f>HYPERLINK("https://klasma.github.io/Logging_0484/tillsyn/A 24539-2025 tillsynsbegäran.docx", "A 24539-2025")</f>
        <v/>
      </c>
      <c r="AD24">
        <f>HYPERLINK("https://klasma.github.io/Logging_0484/tillsynsmail/A 24539-2025 tillsynsbegäran mail.docx", "A 24539-2025")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46295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40857-2025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45897</v>
      </c>
      <c r="E26" s="1" t="n">
        <v>46295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10.8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Mindre märgborre
Kungsfågel
Revlummer</t>
        </is>
      </c>
      <c r="W26">
        <f>HYPERLINK("https://klasma.github.io/Logging_0484/artfynd/A 40857-2025 artfynd.xlsx", "A 40857-2025")</f>
        <v/>
      </c>
      <c r="X26">
        <f>HYPERLINK("https://klasma.github.io/Logging_0484/kartor/A 40857-2025 karta.png", "A 40857-2025")</f>
        <v/>
      </c>
      <c r="Y26">
        <f>HYPERLINK("https://klasma.github.io/Logging_0484/kartor_geotiff/A 40857-2025 georefererad karta.tif", "A 40857-2025")</f>
        <v/>
      </c>
      <c r="AA26">
        <f>HYPERLINK("https://klasma.github.io/Logging_0484/klagomål/A 40857-2025 FSC-klagomål.docx", "A 40857-2025")</f>
        <v/>
      </c>
      <c r="AB26">
        <f>HYPERLINK("https://klasma.github.io/Logging_0484/klagomålsmail/A 40857-2025 FSC-klagomål mail.docx", "A 40857-2025")</f>
        <v/>
      </c>
      <c r="AC26">
        <f>HYPERLINK("https://klasma.github.io/Logging_0484/tillsyn/A 40857-2025 tillsynsbegäran.docx", "A 40857-2025")</f>
        <v/>
      </c>
      <c r="AD26">
        <f>HYPERLINK("https://klasma.github.io/Logging_0484/tillsynsmail/A 40857-2025 tillsynsbegäran mail.docx", "A 40857-2025")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46295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46295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46295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t="n">
        <v>0</v>
      </c>
      <c r="V29" s="2" t="inlineStr">
        <is>
          <t>Ask
Svart trolldruva
Tibast</t>
        </is>
      </c>
      <c r="W29">
        <f>HYPERLINK("https://klasma.github.io/Logging_0484/artfynd/A 18968-2023 artfynd.xlsx", "A 18968-2023")</f>
        <v/>
      </c>
      <c r="X29">
        <f>HYPERLINK("https://klasma.github.io/Logging_0484/kartor/A 18968-2023 karta.png", "A 18968-2023")</f>
        <v/>
      </c>
      <c r="Y29">
        <f>HYPERLINK("https://klasma.github.io/Logging_0484/kartor_geotiff/A 18968-2023 georefererad karta.tif", "A 18968-2023")</f>
        <v/>
      </c>
      <c r="AA29">
        <f>HYPERLINK("https://klasma.github.io/Logging_0484/klagomål/A 18968-2023 FSC-klagomål.docx", "A 18968-2023")</f>
        <v/>
      </c>
      <c r="AB29">
        <f>HYPERLINK("https://klasma.github.io/Logging_0484/klagomålsmail/A 18968-2023 FSC-klagomål mail.docx", "A 18968-2023")</f>
        <v/>
      </c>
      <c r="AC29">
        <f>HYPERLINK("https://klasma.github.io/Logging_0484/tillsyn/A 18968-2023 tillsynsbegäran.docx", "A 18968-2023")</f>
        <v/>
      </c>
      <c r="AD29">
        <f>HYPERLINK("https://klasma.github.io/Logging_0484/tillsynsmail/A 18968-2023 tillsynsbegäran mail.docx", "A 18968-2023")</f>
        <v/>
      </c>
    </row>
    <row r="30" ht="15" customHeight="1">
      <c r="A30" t="inlineStr">
        <is>
          <t>A 32253-2026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46237</v>
      </c>
      <c r="E30" s="1" t="n">
        <v>46295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0.6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Svinrot
Tibast
Blåsippa</t>
        </is>
      </c>
      <c r="W30">
        <f>HYPERLINK("https://klasma.github.io/Logging_0484/artfynd/A 32253-2026 artfynd.xlsx", "A 32253-2026")</f>
        <v/>
      </c>
      <c r="X30">
        <f>HYPERLINK("https://klasma.github.io/Logging_0484/kartor/A 32253-2026 karta.png", "A 32253-2026")</f>
        <v/>
      </c>
      <c r="Y30">
        <f>HYPERLINK("https://klasma.github.io/Logging_0484/kartor_geotiff/A 32253-2026 georefererad karta.tif", "A 32253-2026")</f>
        <v/>
      </c>
      <c r="AA30">
        <f>HYPERLINK("https://klasma.github.io/Logging_0484/klagomål/A 32253-2026 FSC-klagomål.docx", "A 32253-2026")</f>
        <v/>
      </c>
      <c r="AB30">
        <f>HYPERLINK("https://klasma.github.io/Logging_0484/klagomålsmail/A 32253-2026 FSC-klagomål mail.docx", "A 32253-2026")</f>
        <v/>
      </c>
      <c r="AC30">
        <f>HYPERLINK("https://klasma.github.io/Logging_0484/tillsyn/A 32253-2026 tillsynsbegäran.docx", "A 32253-2026")</f>
        <v/>
      </c>
      <c r="AD30">
        <f>HYPERLINK("https://klasma.github.io/Logging_0484/tillsynsmail/A 32253-2026 tillsynsbegäran mail.docx", "A 32253-2026")</f>
        <v/>
      </c>
    </row>
    <row r="31" ht="15" customHeight="1">
      <c r="A31" t="inlineStr">
        <is>
          <t>A 38967-2026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46286</v>
      </c>
      <c r="E31" s="1" t="n">
        <v>46295</v>
      </c>
      <c r="F31" t="inlineStr">
        <is>
          <t>SÖDERMANLANDS LÄN</t>
        </is>
      </c>
      <c r="G31" t="inlineStr">
        <is>
          <t>ESKILSTUNA</t>
        </is>
      </c>
      <c r="I31" t="n">
        <v>9.5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Älg
Grönpyrola
Revlummer</t>
        </is>
      </c>
      <c r="W31">
        <f>HYPERLINK("https://klasma.github.io/Logging_0484/artfynd/A 38967-2026 artfynd.xlsx", "A 38967-2026")</f>
        <v/>
      </c>
      <c r="X31">
        <f>HYPERLINK("https://klasma.github.io/Logging_0484/kartor/A 38967-2026 karta.png", "A 38967-2026")</f>
        <v/>
      </c>
      <c r="Y31">
        <f>HYPERLINK("https://klasma.github.io/Logging_0484/kartor_geotiff/A 38967-2026 georefererad karta.tif", "A 38967-2026")</f>
        <v/>
      </c>
      <c r="AA31">
        <f>HYPERLINK("https://klasma.github.io/Logging_0484/klagomål/A 38967-2026 FSC-klagomål.docx", "A 38967-2026")</f>
        <v/>
      </c>
      <c r="AB31">
        <f>HYPERLINK("https://klasma.github.io/Logging_0484/klagomålsmail/A 38967-2026 FSC-klagomål mail.docx", "A 38967-2026")</f>
        <v/>
      </c>
      <c r="AC31">
        <f>HYPERLINK("https://klasma.github.io/Logging_0484/tillsyn/A 38967-2026 tillsynsbegäran.docx", "A 38967-2026")</f>
        <v/>
      </c>
      <c r="AD31">
        <f>HYPERLINK("https://klasma.github.io/Logging_0484/tillsynsmail/A 38967-2026 tillsynsbegäran mail.docx", "A 38967-2026")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46295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46295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46295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46295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46295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34986-2025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46295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Svart trolldruva
Spillkråka</t>
        </is>
      </c>
      <c r="W37">
        <f>HYPERLINK("https://klasma.github.io/Logging_0484/artfynd/A 34986-2025 artfynd.xlsx", "A 34986-2025")</f>
        <v/>
      </c>
      <c r="X37">
        <f>HYPERLINK("https://klasma.github.io/Logging_0484/kartor/A 34986-2025 karta.png", "A 34986-2025")</f>
        <v/>
      </c>
      <c r="Y37">
        <f>HYPERLINK("https://klasma.github.io/Logging_0484/kartor_geotiff/A 34986-2025 georefererad karta.tif", "A 34986-2025")</f>
        <v/>
      </c>
      <c r="AA37">
        <f>HYPERLINK("https://klasma.github.io/Logging_0484/klagomål/A 34986-2025 FSC-klagomål.docx", "A 34986-2025")</f>
        <v/>
      </c>
      <c r="AB37">
        <f>HYPERLINK("https://klasma.github.io/Logging_0484/klagomålsmail/A 34986-2025 FSC-klagomål mail.docx", "A 34986-2025")</f>
        <v/>
      </c>
      <c r="AC37">
        <f>HYPERLINK("https://klasma.github.io/Logging_0484/tillsyn/A 34986-2025 tillsynsbegäran.docx", "A 34986-2025")</f>
        <v/>
      </c>
      <c r="AD37">
        <f>HYPERLINK("https://klasma.github.io/Logging_0484/tillsynsmail/A 34986-2025 tillsynsbegäran mail.docx", "A 34986-2025")</f>
        <v/>
      </c>
      <c r="AE37">
        <f>HYPERLINK("https://klasma.github.io/Logging_0484/fåglar/A 34986-2025 prioriterade fågelarter.docx", "A 34986-2025")</f>
        <v/>
      </c>
    </row>
    <row r="38" ht="15" customHeight="1">
      <c r="A38" t="inlineStr">
        <is>
          <t>A 59822-2025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46295</v>
      </c>
      <c r="F38" t="inlineStr">
        <is>
          <t>SÖDERMANLANDS LÄN</t>
        </is>
      </c>
      <c r="G38" t="inlineStr">
        <is>
          <t>ESKILSTUNA</t>
        </is>
      </c>
      <c r="I38" t="n">
        <v>8.5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Stubbspretmossa
Timmerticka</t>
        </is>
      </c>
      <c r="W38">
        <f>HYPERLINK("https://klasma.github.io/Logging_0484/artfynd/A 59822-2025 artfynd.xlsx", "A 59822-2025")</f>
        <v/>
      </c>
      <c r="X38">
        <f>HYPERLINK("https://klasma.github.io/Logging_0484/kartor/A 59822-2025 karta.png", "A 59822-2025")</f>
        <v/>
      </c>
      <c r="Y38">
        <f>HYPERLINK("https://klasma.github.io/Logging_0484/kartor_geotiff/A 59822-2025 georefererad karta.tif", "A 59822-2025")</f>
        <v/>
      </c>
      <c r="AA38">
        <f>HYPERLINK("https://klasma.github.io/Logging_0484/klagomål/A 59822-2025 FSC-klagomål.docx", "A 59822-2025")</f>
        <v/>
      </c>
      <c r="AB38">
        <f>HYPERLINK("https://klasma.github.io/Logging_0484/klagomålsmail/A 59822-2025 FSC-klagomål mail.docx", "A 59822-2025")</f>
        <v/>
      </c>
      <c r="AC38">
        <f>HYPERLINK("https://klasma.github.io/Logging_0484/tillsyn/A 59822-2025 tillsynsbegäran.docx", "A 59822-2025")</f>
        <v/>
      </c>
      <c r="AD38">
        <f>HYPERLINK("https://klasma.github.io/Logging_0484/tillsynsmail/A 59822-2025 tillsynsbegäran mail.docx", "A 59822-2025")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46295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46295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46295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46295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Solvända</t>
        </is>
      </c>
      <c r="W42">
        <f>HYPERLINK("https://klasma.github.io/Logging_0484/artfynd/A 22760-2026 artfynd.xlsx", "A 22760-2026")</f>
        <v/>
      </c>
      <c r="X42">
        <f>HYPERLINK("https://klasma.github.io/Logging_0484/kartor/A 22760-2026 karta.png", "A 22760-2026")</f>
        <v/>
      </c>
      <c r="Y42">
        <f>HYPERLINK("https://klasma.github.io/Logging_0484/kartor_geotiff/A 22760-2026 georefererad karta.tif", "A 22760-2026")</f>
        <v/>
      </c>
      <c r="AA42">
        <f>HYPERLINK("https://klasma.github.io/Logging_0484/klagomål/A 22760-2026 FSC-klagomål.docx", "A 22760-2026")</f>
        <v/>
      </c>
      <c r="AB42">
        <f>HYPERLINK("https://klasma.github.io/Logging_0484/klagomålsmail/A 22760-2026 FSC-klagomål mail.docx", "A 22760-2026")</f>
        <v/>
      </c>
      <c r="AC42">
        <f>HYPERLINK("https://klasma.github.io/Logging_0484/tillsyn/A 22760-2026 tillsynsbegäran.docx", "A 22760-2026")</f>
        <v/>
      </c>
      <c r="AD42">
        <f>HYPERLINK("https://klasma.github.io/Logging_0484/tillsynsmail/A 22760-2026 tillsynsbegäran mail.docx", "A 22760-2026")</f>
        <v/>
      </c>
    </row>
    <row r="43" ht="15" customHeight="1">
      <c r="A43" t="inlineStr">
        <is>
          <t>A 44664-2022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46295</v>
      </c>
      <c r="F43" t="inlineStr">
        <is>
          <t>SÖDERMANLANDS LÄN</t>
        </is>
      </c>
      <c r="G43" t="inlineStr">
        <is>
          <t>ESKILSTUNA</t>
        </is>
      </c>
      <c r="I43" t="n">
        <v>20.8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1</v>
      </c>
      <c r="V43" s="2" t="inlineStr">
        <is>
          <t>Knärot
Blåmossa</t>
        </is>
      </c>
      <c r="W43">
        <f>HYPERLINK("https://klasma.github.io/Logging_0484/artfynd/A 44664-2022 artfynd.xlsx", "A 44664-2022")</f>
        <v/>
      </c>
      <c r="X43">
        <f>HYPERLINK("https://klasma.github.io/Logging_0484/kartor/A 44664-2022 karta.png", "A 44664-2022")</f>
        <v/>
      </c>
      <c r="Y43">
        <f>HYPERLINK("https://klasma.github.io/Logging_0484/kartor_geotiff/A 44664-2022 georefererad karta.tif", "A 44664-2022")</f>
        <v/>
      </c>
      <c r="Z43">
        <f>HYPERLINK("https://klasma.github.io/Logging_0484/knärot/A 44664-2022 karta knärot.png", "A 44664-2022")</f>
        <v/>
      </c>
      <c r="AA43">
        <f>HYPERLINK("https://klasma.github.io/Logging_0484/klagomål/A 44664-2022 FSC-klagomål.docx", "A 44664-2022")</f>
        <v/>
      </c>
      <c r="AB43">
        <f>HYPERLINK("https://klasma.github.io/Logging_0484/klagomålsmail/A 44664-2022 FSC-klagomål mail.docx", "A 44664-2022")</f>
        <v/>
      </c>
      <c r="AC43">
        <f>HYPERLINK("https://klasma.github.io/Logging_0484/tillsyn/A 44664-2022 tillsynsbegäran.docx", "A 44664-2022")</f>
        <v/>
      </c>
      <c r="AD43">
        <f>HYPERLINK("https://klasma.github.io/Logging_0484/tillsynsmail/A 44664-2022 tillsynsbegäran mail.docx", "A 44664-2022")</f>
        <v/>
      </c>
    </row>
    <row r="44" ht="15" customHeight="1">
      <c r="A44" t="inlineStr">
        <is>
          <t>A 26095-2026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46295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Svinrot
Spillkråka</t>
        </is>
      </c>
      <c r="W44">
        <f>HYPERLINK("https://klasma.github.io/Logging_0484/artfynd/A 26095-2026 artfynd.xlsx", "A 26095-2026")</f>
        <v/>
      </c>
      <c r="X44">
        <f>HYPERLINK("https://klasma.github.io/Logging_0484/kartor/A 26095-2026 karta.png", "A 26095-2026")</f>
        <v/>
      </c>
      <c r="Y44">
        <f>HYPERLINK("https://klasma.github.io/Logging_0484/kartor_geotiff/A 26095-2026 georefererad karta.tif", "A 26095-2026")</f>
        <v/>
      </c>
      <c r="AA44">
        <f>HYPERLINK("https://klasma.github.io/Logging_0484/klagomål/A 26095-2026 FSC-klagomål.docx", "A 26095-2026")</f>
        <v/>
      </c>
      <c r="AB44">
        <f>HYPERLINK("https://klasma.github.io/Logging_0484/klagomålsmail/A 26095-2026 FSC-klagomål mail.docx", "A 26095-2026")</f>
        <v/>
      </c>
      <c r="AC44">
        <f>HYPERLINK("https://klasma.github.io/Logging_0484/tillsyn/A 26095-2026 tillsynsbegäran.docx", "A 26095-2026")</f>
        <v/>
      </c>
      <c r="AD44">
        <f>HYPERLINK("https://klasma.github.io/Logging_0484/tillsynsmail/A 26095-2026 tillsynsbegäran mail.docx", "A 26095-2026")</f>
        <v/>
      </c>
      <c r="AE44">
        <f>HYPERLINK("https://klasma.github.io/Logging_0484/fåglar/A 26095-2026 prioriterade fågelarter.docx", "A 26095-2026")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46295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Backsippa
Backtimjan</t>
        </is>
      </c>
      <c r="W45">
        <f>HYPERLINK("https://klasma.github.io/Logging_0484/artfynd/A 26105-2026 artfynd.xlsx", "A 26105-2026")</f>
        <v/>
      </c>
      <c r="X45">
        <f>HYPERLINK("https://klasma.github.io/Logging_0484/kartor/A 26105-2026 karta.png", "A 26105-2026")</f>
        <v/>
      </c>
      <c r="Y45">
        <f>HYPERLINK("https://klasma.github.io/Logging_0484/kartor_geotiff/A 26105-2026 georefererad karta.tif", "A 26105-2026")</f>
        <v/>
      </c>
      <c r="AA45">
        <f>HYPERLINK("https://klasma.github.io/Logging_0484/klagomål/A 26105-2026 FSC-klagomål.docx", "A 26105-2026")</f>
        <v/>
      </c>
      <c r="AB45">
        <f>HYPERLINK("https://klasma.github.io/Logging_0484/klagomålsmail/A 26105-2026 FSC-klagomål mail.docx", "A 26105-2026")</f>
        <v/>
      </c>
      <c r="AC45">
        <f>HYPERLINK("https://klasma.github.io/Logging_0484/tillsyn/A 26105-2026 tillsynsbegäran.docx", "A 26105-2026")</f>
        <v/>
      </c>
      <c r="AD45">
        <f>HYPERLINK("https://klasma.github.io/Logging_0484/tillsynsmail/A 26105-2026 tillsynsbegäran mail.docx", "A 26105-2026")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46295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46295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61105-2025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46295</v>
      </c>
      <c r="F48" t="inlineStr">
        <is>
          <t>SÖDERMANLANDS LÄN</t>
        </is>
      </c>
      <c r="G48" t="inlineStr">
        <is>
          <t>ESKILSTUNA</t>
        </is>
      </c>
      <c r="H48" t="inlineStr">
        <is>
          <t>Allmännings- och besparingsskogar</t>
        </is>
      </c>
      <c r="I48" t="n">
        <v>1.1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Krusfrö
Tibast</t>
        </is>
      </c>
      <c r="W48">
        <f>HYPERLINK("https://klasma.github.io/Logging_0484/artfynd/A 61105-2025 artfynd.xlsx", "A 61105-2025")</f>
        <v/>
      </c>
      <c r="X48">
        <f>HYPERLINK("https://klasma.github.io/Logging_0484/kartor/A 61105-2025 karta.png", "A 61105-2025")</f>
        <v/>
      </c>
      <c r="Y48">
        <f>HYPERLINK("https://klasma.github.io/Logging_0484/kartor_geotiff/A 61105-2025 georefererad karta.tif", "A 61105-2025")</f>
        <v/>
      </c>
      <c r="AA48">
        <f>HYPERLINK("https://klasma.github.io/Logging_0484/klagomål/A 61105-2025 FSC-klagomål.docx", "A 61105-2025")</f>
        <v/>
      </c>
      <c r="AB48">
        <f>HYPERLINK("https://klasma.github.io/Logging_0484/klagomålsmail/A 61105-2025 FSC-klagomål mail.docx", "A 61105-2025")</f>
        <v/>
      </c>
      <c r="AC48">
        <f>HYPERLINK("https://klasma.github.io/Logging_0484/tillsyn/A 61105-2025 tillsynsbegäran.docx", "A 61105-2025")</f>
        <v/>
      </c>
      <c r="AD48">
        <f>HYPERLINK("https://klasma.github.io/Logging_0484/tillsynsmail/A 61105-2025 tillsynsbegäran mail.docx", "A 61105-2025")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46295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19494-2024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46295</v>
      </c>
      <c r="F50" t="inlineStr">
        <is>
          <t>SÖDERMANLANDS LÄN</t>
        </is>
      </c>
      <c r="G50" t="inlineStr">
        <is>
          <t>ESKILSTUNA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Svart trolldruva
Blåsippa</t>
        </is>
      </c>
      <c r="W50">
        <f>HYPERLINK("https://klasma.github.io/Logging_0484/artfynd/A 19494-2024 artfynd.xlsx", "A 19494-2024")</f>
        <v/>
      </c>
      <c r="X50">
        <f>HYPERLINK("https://klasma.github.io/Logging_0484/kartor/A 19494-2024 karta.png", "A 19494-2024")</f>
        <v/>
      </c>
      <c r="Y50">
        <f>HYPERLINK("https://klasma.github.io/Logging_0484/kartor_geotiff/A 19494-2024 georefererad karta.tif", "A 19494-2024")</f>
        <v/>
      </c>
      <c r="AA50">
        <f>HYPERLINK("https://klasma.github.io/Logging_0484/klagomål/A 19494-2024 FSC-klagomål.docx", "A 19494-2024")</f>
        <v/>
      </c>
      <c r="AB50">
        <f>HYPERLINK("https://klasma.github.io/Logging_0484/klagomålsmail/A 19494-2024 FSC-klagomål mail.docx", "A 19494-2024")</f>
        <v/>
      </c>
      <c r="AC50">
        <f>HYPERLINK("https://klasma.github.io/Logging_0484/tillsyn/A 19494-2024 tillsynsbegäran.docx", "A 19494-2024")</f>
        <v/>
      </c>
      <c r="AD50">
        <f>HYPERLINK("https://klasma.github.io/Logging_0484/tillsynsmail/A 19494-2024 tillsynsbegäran mail.docx", "A 19494-2024")</f>
        <v/>
      </c>
    </row>
    <row r="51" ht="15" customHeight="1">
      <c r="A51" t="inlineStr">
        <is>
          <t>A 51326-2024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46295</v>
      </c>
      <c r="F51" t="inlineStr">
        <is>
          <t>SÖDERMANLANDS LÄN</t>
        </is>
      </c>
      <c r="G51" t="inlineStr">
        <is>
          <t>ESKILSTUNA</t>
        </is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Myskbock
Blåsippa</t>
        </is>
      </c>
      <c r="W51">
        <f>HYPERLINK("https://klasma.github.io/Logging_0484/artfynd/A 51326-2024 artfynd.xlsx", "A 51326-2024")</f>
        <v/>
      </c>
      <c r="X51">
        <f>HYPERLINK("https://klasma.github.io/Logging_0484/kartor/A 51326-2024 karta.png", "A 51326-2024")</f>
        <v/>
      </c>
      <c r="Y51">
        <f>HYPERLINK("https://klasma.github.io/Logging_0484/kartor_geotiff/A 51326-2024 georefererad karta.tif", "A 51326-2024")</f>
        <v/>
      </c>
      <c r="AA51">
        <f>HYPERLINK("https://klasma.github.io/Logging_0484/klagomål/A 51326-2024 FSC-klagomål.docx", "A 51326-2024")</f>
        <v/>
      </c>
      <c r="AB51">
        <f>HYPERLINK("https://klasma.github.io/Logging_0484/klagomålsmail/A 51326-2024 FSC-klagomål mail.docx", "A 51326-2024")</f>
        <v/>
      </c>
      <c r="AC51">
        <f>HYPERLINK("https://klasma.github.io/Logging_0484/tillsyn/A 51326-2024 tillsynsbegäran.docx", "A 51326-2024")</f>
        <v/>
      </c>
      <c r="AD51">
        <f>HYPERLINK("https://klasma.github.io/Logging_0484/tillsynsmail/A 51326-2024 tillsynsbegäran mail.docx", "A 51326-2024")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46295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46295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46295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46295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46295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46295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46295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46295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46295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46295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46295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46295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46295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36216-2025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45867</v>
      </c>
      <c r="E65" s="1" t="n">
        <v>46295</v>
      </c>
      <c r="F65" t="inlineStr">
        <is>
          <t>SÖDERMANLANDS LÄN</t>
        </is>
      </c>
      <c r="G65" t="inlineStr">
        <is>
          <t>ESKILSTUNA</t>
        </is>
      </c>
      <c r="I65" t="n">
        <v>18.7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Blomkålssvamp</t>
        </is>
      </c>
      <c r="W65">
        <f>HYPERLINK("https://klasma.github.io/Logging_0484/artfynd/A 36216-2025 artfynd.xlsx", "A 36216-2025")</f>
        <v/>
      </c>
      <c r="X65">
        <f>HYPERLINK("https://klasma.github.io/Logging_0484/kartor/A 36216-2025 karta.png", "A 36216-2025")</f>
        <v/>
      </c>
      <c r="Y65">
        <f>HYPERLINK("https://klasma.github.io/Logging_0484/kartor_geotiff/A 36216-2025 georefererad karta.tif", "A 36216-2025")</f>
        <v/>
      </c>
      <c r="AA65">
        <f>HYPERLINK("https://klasma.github.io/Logging_0484/klagomål/A 36216-2025 FSC-klagomål.docx", "A 36216-2025")</f>
        <v/>
      </c>
      <c r="AB65">
        <f>HYPERLINK("https://klasma.github.io/Logging_0484/klagomålsmail/A 36216-2025 FSC-klagomål mail.docx", "A 36216-2025")</f>
        <v/>
      </c>
      <c r="AC65">
        <f>HYPERLINK("https://klasma.github.io/Logging_0484/tillsyn/A 36216-2025 tillsynsbegäran.docx", "A 36216-2025")</f>
        <v/>
      </c>
      <c r="AD65">
        <f>HYPERLINK("https://klasma.github.io/Logging_0484/tillsynsmail/A 36216-2025 tillsynsbegäran mail.docx", "A 36216-2025")</f>
        <v/>
      </c>
    </row>
    <row r="66" ht="15" customHeight="1">
      <c r="A66" t="inlineStr">
        <is>
          <t>A 52840-2025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46295</v>
      </c>
      <c r="F66" t="inlineStr">
        <is>
          <t>SÖDERMANLANDS LÄN</t>
        </is>
      </c>
      <c r="G66" t="inlineStr">
        <is>
          <t>ESKILSTUNA</t>
        </is>
      </c>
      <c r="I66" t="n">
        <v>1.3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Skrovlig taggsvamp</t>
        </is>
      </c>
      <c r="W66">
        <f>HYPERLINK("https://klasma.github.io/Logging_0484/artfynd/A 52840-2025 artfynd.xlsx", "A 52840-2025")</f>
        <v/>
      </c>
      <c r="X66">
        <f>HYPERLINK("https://klasma.github.io/Logging_0484/kartor/A 52840-2025 karta.png", "A 52840-2025")</f>
        <v/>
      </c>
      <c r="Y66">
        <f>HYPERLINK("https://klasma.github.io/Logging_0484/kartor_geotiff/A 52840-2025 georefererad karta.tif", "A 52840-2025")</f>
        <v/>
      </c>
      <c r="AA66">
        <f>HYPERLINK("https://klasma.github.io/Logging_0484/klagomål/A 52840-2025 FSC-klagomål.docx", "A 52840-2025")</f>
        <v/>
      </c>
      <c r="AB66">
        <f>HYPERLINK("https://klasma.github.io/Logging_0484/klagomålsmail/A 52840-2025 FSC-klagomål mail.docx", "A 52840-2025")</f>
        <v/>
      </c>
      <c r="AC66">
        <f>HYPERLINK("https://klasma.github.io/Logging_0484/tillsyn/A 52840-2025 tillsynsbegäran.docx", "A 52840-2025")</f>
        <v/>
      </c>
      <c r="AD66">
        <f>HYPERLINK("https://klasma.github.io/Logging_0484/tillsynsmail/A 52840-2025 tillsynsbegäran mail.docx", "A 52840-2025")</f>
        <v/>
      </c>
    </row>
    <row r="67" ht="15" customHeight="1">
      <c r="A67" t="inlineStr">
        <is>
          <t>A 8518-2026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46065</v>
      </c>
      <c r="E67" s="1" t="n">
        <v>46295</v>
      </c>
      <c r="F67" t="inlineStr">
        <is>
          <t>SÖDERMANLANDS LÄN</t>
        </is>
      </c>
      <c r="G67" t="inlineStr">
        <is>
          <t>ESKILSTUNA</t>
        </is>
      </c>
      <c r="I67" t="n">
        <v>8.9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Igelkott</t>
        </is>
      </c>
      <c r="W67">
        <f>HYPERLINK("https://klasma.github.io/Logging_0484/artfynd/A 8518-2026 artfynd.xlsx", "A 8518-2026")</f>
        <v/>
      </c>
      <c r="X67">
        <f>HYPERLINK("https://klasma.github.io/Logging_0484/kartor/A 8518-2026 karta.png", "A 8518-2026")</f>
        <v/>
      </c>
      <c r="Y67">
        <f>HYPERLINK("https://klasma.github.io/Logging_0484/kartor_geotiff/A 8518-2026 georefererad karta.tif", "A 8518-2026")</f>
        <v/>
      </c>
      <c r="AA67">
        <f>HYPERLINK("https://klasma.github.io/Logging_0484/klagomål/A 8518-2026 FSC-klagomål.docx", "A 8518-2026")</f>
        <v/>
      </c>
      <c r="AB67">
        <f>HYPERLINK("https://klasma.github.io/Logging_0484/klagomålsmail/A 8518-2026 FSC-klagomål mail.docx", "A 8518-2026")</f>
        <v/>
      </c>
      <c r="AC67">
        <f>HYPERLINK("https://klasma.github.io/Logging_0484/tillsyn/A 8518-2026 tillsynsbegäran.docx", "A 8518-2026")</f>
        <v/>
      </c>
      <c r="AD67">
        <f>HYPERLINK("https://klasma.github.io/Logging_0484/tillsynsmail/A 8518-2026 tillsynsbegäran mail.docx", "A 8518-2026")</f>
        <v/>
      </c>
    </row>
    <row r="68" ht="15" customHeight="1">
      <c r="A68" t="inlineStr">
        <is>
          <t>A 15608-2026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46295</v>
      </c>
      <c r="F68" t="inlineStr">
        <is>
          <t>SÖDERMANLANDS LÄN</t>
        </is>
      </c>
      <c r="G68" t="inlineStr">
        <is>
          <t>ESKILSTUNA</t>
        </is>
      </c>
      <c r="I68" t="n">
        <v>9.6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15608-2026 artfynd.xlsx", "A 15608-2026")</f>
        <v/>
      </c>
      <c r="X68">
        <f>HYPERLINK("https://klasma.github.io/Logging_0484/kartor/A 15608-2026 karta.png", "A 15608-2026")</f>
        <v/>
      </c>
      <c r="Y68">
        <f>HYPERLINK("https://klasma.github.io/Logging_0484/kartor_geotiff/A 15608-2026 georefererad karta.tif", "A 15608-2026")</f>
        <v/>
      </c>
      <c r="AA68">
        <f>HYPERLINK("https://klasma.github.io/Logging_0484/klagomål/A 15608-2026 FSC-klagomål.docx", "A 15608-2026")</f>
        <v/>
      </c>
      <c r="AB68">
        <f>HYPERLINK("https://klasma.github.io/Logging_0484/klagomålsmail/A 15608-2026 FSC-klagomål mail.docx", "A 15608-2026")</f>
        <v/>
      </c>
      <c r="AC68">
        <f>HYPERLINK("https://klasma.github.io/Logging_0484/tillsyn/A 15608-2026 tillsynsbegäran.docx", "A 15608-2026")</f>
        <v/>
      </c>
      <c r="AD68">
        <f>HYPERLINK("https://klasma.github.io/Logging_0484/tillsynsmail/A 15608-2026 tillsynsbegäran mail.docx", "A 15608-2026")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46295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46295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HYPERLINK("https://klasma.github.io/Logging_0484/artfynd/A 59070-2022 artfynd.xlsx", "A 59070-2022")</f>
        <v/>
      </c>
      <c r="X70">
        <f>HYPERLINK("https://klasma.github.io/Logging_0484/kartor/A 59070-2022 karta.png", "A 59070-2022")</f>
        <v/>
      </c>
      <c r="Y70">
        <f>HYPERLINK("https://klasma.github.io/Logging_0484/kartor_geotiff/A 59070-2022 georefererad karta.tif", "A 59070-2022")</f>
        <v/>
      </c>
      <c r="AA70">
        <f>HYPERLINK("https://klasma.github.io/Logging_0484/klagomål/A 59070-2022 FSC-klagomål.docx", "A 59070-2022")</f>
        <v/>
      </c>
      <c r="AB70">
        <f>HYPERLINK("https://klasma.github.io/Logging_0484/klagomålsmail/A 59070-2022 FSC-klagomål mail.docx", "A 59070-2022")</f>
        <v/>
      </c>
      <c r="AC70">
        <f>HYPERLINK("https://klasma.github.io/Logging_0484/tillsyn/A 59070-2022 tillsynsbegäran.docx", "A 59070-2022")</f>
        <v/>
      </c>
      <c r="AD70">
        <f>HYPERLINK("https://klasma.github.io/Logging_0484/tillsynsmail/A 59070-2022 tillsynsbegäran mail.docx", "A 59070-2022")</f>
        <v/>
      </c>
    </row>
    <row r="71" ht="15" customHeight="1">
      <c r="A71" t="inlineStr">
        <is>
          <t>A 57349-2021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44483</v>
      </c>
      <c r="E71" s="1" t="n">
        <v>46295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Gullviva</t>
        </is>
      </c>
      <c r="W71">
        <f>HYPERLINK("https://klasma.github.io/Logging_0484/artfynd/A 57349-2021 artfynd.xlsx", "A 57349-2021")</f>
        <v/>
      </c>
      <c r="X71">
        <f>HYPERLINK("https://klasma.github.io/Logging_0484/kartor/A 57349-2021 karta.png", "A 57349-2021")</f>
        <v/>
      </c>
      <c r="Y71">
        <f>HYPERLINK("https://klasma.github.io/Logging_0484/kartor_geotiff/A 57349-2021 georefererad karta.tif", "A 57349-2021")</f>
        <v/>
      </c>
      <c r="AA71">
        <f>HYPERLINK("https://klasma.github.io/Logging_0484/klagomål/A 57349-2021 FSC-klagomål.docx", "A 57349-2021")</f>
        <v/>
      </c>
      <c r="AB71">
        <f>HYPERLINK("https://klasma.github.io/Logging_0484/klagomålsmail/A 57349-2021 FSC-klagomål mail.docx", "A 57349-2021")</f>
        <v/>
      </c>
      <c r="AC71">
        <f>HYPERLINK("https://klasma.github.io/Logging_0484/tillsyn/A 57349-2021 tillsynsbegäran.docx", "A 57349-2021")</f>
        <v/>
      </c>
      <c r="AD71">
        <f>HYPERLINK("https://klasma.github.io/Logging_0484/tillsynsmail/A 57349-2021 tillsynsbegäran mail.docx", "A 57349-2021")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46295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68018-2021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46295</v>
      </c>
      <c r="F73" t="inlineStr">
        <is>
          <t>SÖDERMANLANDS LÄN</t>
        </is>
      </c>
      <c r="G73" t="inlineStr">
        <is>
          <t>ESKILSTUNA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Motaggsvamp</t>
        </is>
      </c>
      <c r="W73">
        <f>HYPERLINK("https://klasma.github.io/Logging_0484/artfynd/A 68018-2021 artfynd.xlsx", "A 68018-2021")</f>
        <v/>
      </c>
      <c r="X73">
        <f>HYPERLINK("https://klasma.github.io/Logging_0484/kartor/A 68018-2021 karta.png", "A 68018-2021")</f>
        <v/>
      </c>
      <c r="Y73">
        <f>HYPERLINK("https://klasma.github.io/Logging_0484/kartor_geotiff/A 68018-2021 georefererad karta.tif", "A 68018-2021")</f>
        <v/>
      </c>
      <c r="AA73">
        <f>HYPERLINK("https://klasma.github.io/Logging_0484/klagomål/A 68018-2021 FSC-klagomål.docx", "A 68018-2021")</f>
        <v/>
      </c>
      <c r="AB73">
        <f>HYPERLINK("https://klasma.github.io/Logging_0484/klagomålsmail/A 68018-2021 FSC-klagomål mail.docx", "A 68018-2021")</f>
        <v/>
      </c>
      <c r="AC73">
        <f>HYPERLINK("https://klasma.github.io/Logging_0484/tillsyn/A 68018-2021 tillsynsbegäran.docx", "A 68018-2021")</f>
        <v/>
      </c>
      <c r="AD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46295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29647-2023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46295</v>
      </c>
      <c r="F75" t="inlineStr">
        <is>
          <t>SÖDERMANLANDS LÄN</t>
        </is>
      </c>
      <c r="G75" t="inlineStr">
        <is>
          <t>ESKILSTUNA</t>
        </is>
      </c>
      <c r="H75" t="inlineStr">
        <is>
          <t>Allmännings- och besparingsskogar</t>
        </is>
      </c>
      <c r="I75" t="n">
        <v>0.9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Rödvingetrast</t>
        </is>
      </c>
      <c r="W75">
        <f>HYPERLINK("https://klasma.github.io/Logging_0484/artfynd/A 29647-2023 artfynd.xlsx", "A 29647-2023")</f>
        <v/>
      </c>
      <c r="X75">
        <f>HYPERLINK("https://klasma.github.io/Logging_0484/kartor/A 29647-2023 karta.png", "A 29647-2023")</f>
        <v/>
      </c>
      <c r="Y75">
        <f>HYPERLINK("https://klasma.github.io/Logging_0484/kartor_geotiff/A 29647-2023 georefererad karta.tif", "A 29647-2023")</f>
        <v/>
      </c>
      <c r="AA75">
        <f>HYPERLINK("https://klasma.github.io/Logging_0484/klagomål/A 29647-2023 FSC-klagomål.docx", "A 29647-2023")</f>
        <v/>
      </c>
      <c r="AB75">
        <f>HYPERLINK("https://klasma.github.io/Logging_0484/klagomålsmail/A 29647-2023 FSC-klagomål mail.docx", "A 29647-2023")</f>
        <v/>
      </c>
      <c r="AC75">
        <f>HYPERLINK("https://klasma.github.io/Logging_0484/tillsyn/A 29647-2023 tillsynsbegäran.docx", "A 29647-2023")</f>
        <v/>
      </c>
      <c r="AD75">
        <f>HYPERLINK("https://klasma.github.io/Logging_0484/tillsynsmail/A 29647-2023 tillsynsbegäran mail.docx", "A 29647-2023")</f>
        <v/>
      </c>
      <c r="AE75">
        <f>HYPERLINK("https://klasma.github.io/Logging_0484/fåglar/A 29647-2023 prioriterade fågelarter.docx", "A 29647-2023")</f>
        <v/>
      </c>
    </row>
    <row r="76" ht="15" customHeight="1">
      <c r="A76" t="inlineStr">
        <is>
          <t>A 30975-2023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46295</v>
      </c>
      <c r="F76" t="inlineStr">
        <is>
          <t>SÖDERMANLANDS LÄN</t>
        </is>
      </c>
      <c r="G76" t="inlineStr">
        <is>
          <t>ESKILSTUNA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Bombmurkla</t>
        </is>
      </c>
      <c r="W76">
        <f>HYPERLINK("https://klasma.github.io/Logging_0484/artfynd/A 30975-2023 artfynd.xlsx", "A 30975-2023")</f>
        <v/>
      </c>
      <c r="X76">
        <f>HYPERLINK("https://klasma.github.io/Logging_0484/kartor/A 30975-2023 karta.png", "A 30975-2023")</f>
        <v/>
      </c>
      <c r="Y76">
        <f>HYPERLINK("https://klasma.github.io/Logging_0484/kartor_geotiff/A 30975-2023 georefererad karta.tif", "A 30975-2023")</f>
        <v/>
      </c>
      <c r="AA76">
        <f>HYPERLINK("https://klasma.github.io/Logging_0484/klagomål/A 30975-2023 FSC-klagomål.docx", "A 30975-2023")</f>
        <v/>
      </c>
      <c r="AB76">
        <f>HYPERLINK("https://klasma.github.io/Logging_0484/klagomålsmail/A 30975-2023 FSC-klagomål mail.docx", "A 30975-2023")</f>
        <v/>
      </c>
      <c r="AC76">
        <f>HYPERLINK("https://klasma.github.io/Logging_0484/tillsyn/A 30975-2023 tillsynsbegäran.docx", "A 30975-2023")</f>
        <v/>
      </c>
      <c r="AD76">
        <f>HYPERLINK("https://klasma.github.io/Logging_0484/tillsynsmail/A 30975-2023 tillsynsbegäran mail.docx", "A 30975-2023")</f>
        <v/>
      </c>
    </row>
    <row r="77" ht="15" customHeight="1">
      <c r="A77" t="inlineStr">
        <is>
          <t>A 26097-2026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46295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HYPERLINK("https://klasma.github.io/Logging_0484/artfynd/A 26097-2026 artfynd.xlsx", "A 26097-2026")</f>
        <v/>
      </c>
      <c r="X77">
        <f>HYPERLINK("https://klasma.github.io/Logging_0484/kartor/A 26097-2026 karta.png", "A 26097-2026")</f>
        <v/>
      </c>
      <c r="Y77">
        <f>HYPERLINK("https://klasma.github.io/Logging_0484/kartor_geotiff/A 26097-2026 georefererad karta.tif", "A 26097-2026")</f>
        <v/>
      </c>
      <c r="AA77">
        <f>HYPERLINK("https://klasma.github.io/Logging_0484/klagomål/A 26097-2026 FSC-klagomål.docx", "A 26097-2026")</f>
        <v/>
      </c>
      <c r="AB77">
        <f>HYPERLINK("https://klasma.github.io/Logging_0484/klagomålsmail/A 26097-2026 FSC-klagomål mail.docx", "A 26097-2026")</f>
        <v/>
      </c>
      <c r="AC77">
        <f>HYPERLINK("https://klasma.github.io/Logging_0484/tillsyn/A 26097-2026 tillsynsbegäran.docx", "A 26097-2026")</f>
        <v/>
      </c>
      <c r="AD77">
        <f>HYPERLINK("https://klasma.github.io/Logging_0484/tillsynsmail/A 26097-2026 tillsynsbegäran mail.docx", "A 26097-2026")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46295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t="n">
        <v>0</v>
      </c>
      <c r="V78" s="2" t="inlineStr">
        <is>
          <t>Svart trolldruva</t>
        </is>
      </c>
      <c r="W78">
        <f>HYPERLINK("https://klasma.github.io/Logging_0484/artfynd/A 26008-2026 artfynd.xlsx", "A 26008-2026")</f>
        <v/>
      </c>
      <c r="X78">
        <f>HYPERLINK("https://klasma.github.io/Logging_0484/kartor/A 26008-2026 karta.png", "A 26008-2026")</f>
        <v/>
      </c>
      <c r="Y78">
        <f>HYPERLINK("https://klasma.github.io/Logging_0484/kartor_geotiff/A 26008-2026 georefererad karta.tif", "A 26008-2026")</f>
        <v/>
      </c>
      <c r="AA78">
        <f>HYPERLINK("https://klasma.github.io/Logging_0484/klagomål/A 26008-2026 FSC-klagomål.docx", "A 26008-2026")</f>
        <v/>
      </c>
      <c r="AB78">
        <f>HYPERLINK("https://klasma.github.io/Logging_0484/klagomålsmail/A 26008-2026 FSC-klagomål mail.docx", "A 26008-2026")</f>
        <v/>
      </c>
      <c r="AC78">
        <f>HYPERLINK("https://klasma.github.io/Logging_0484/tillsyn/A 26008-2026 tillsynsbegäran.docx", "A 26008-2026")</f>
        <v/>
      </c>
      <c r="AD78">
        <f>HYPERLINK("https://klasma.github.io/Logging_0484/tillsynsmail/A 26008-2026 tillsynsbegäran mail.docx", "A 26008-2026")</f>
        <v/>
      </c>
    </row>
    <row r="79" ht="15" customHeight="1">
      <c r="A79" t="inlineStr">
        <is>
          <t>A 50760-2023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46295</v>
      </c>
      <c r="F79" t="inlineStr">
        <is>
          <t>SÖDERMANLANDS LÄN</t>
        </is>
      </c>
      <c r="G79" t="inlineStr">
        <is>
          <t>ESKILSTUNA</t>
        </is>
      </c>
      <c r="I79" t="n">
        <v>4.1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Pärluggla</t>
        </is>
      </c>
      <c r="W79">
        <f>HYPERLINK("https://klasma.github.io/Logging_0484/artfynd/A 50760-2023 artfynd.xlsx", "A 50760-2023")</f>
        <v/>
      </c>
      <c r="X79">
        <f>HYPERLINK("https://klasma.github.io/Logging_0484/kartor/A 50760-2023 karta.png", "A 50760-2023")</f>
        <v/>
      </c>
      <c r="Y79">
        <f>HYPERLINK("https://klasma.github.io/Logging_0484/kartor_geotiff/A 50760-2023 georefererad karta.tif", "A 50760-2023")</f>
        <v/>
      </c>
      <c r="AA79">
        <f>HYPERLINK("https://klasma.github.io/Logging_0484/klagomål/A 50760-2023 FSC-klagomål.docx", "A 50760-2023")</f>
        <v/>
      </c>
      <c r="AB79">
        <f>HYPERLINK("https://klasma.github.io/Logging_0484/klagomålsmail/A 50760-2023 FSC-klagomål mail.docx", "A 50760-2023")</f>
        <v/>
      </c>
      <c r="AC79">
        <f>HYPERLINK("https://klasma.github.io/Logging_0484/tillsyn/A 50760-2023 tillsynsbegäran.docx", "A 50760-2023")</f>
        <v/>
      </c>
      <c r="AD79">
        <f>HYPERLINK("https://klasma.github.io/Logging_0484/tillsynsmail/A 50760-2023 tillsynsbegäran mail.docx", "A 50760-2023")</f>
        <v/>
      </c>
      <c r="AE79">
        <f>HYPERLINK("https://klasma.github.io/Logging_0484/fåglar/A 50760-2023 prioriterade fågelarter.docx", "A 50760-2023")</f>
        <v/>
      </c>
    </row>
    <row r="80" ht="15" customHeight="1">
      <c r="A80" t="inlineStr">
        <is>
          <t>A 26094-2026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46295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HYPERLINK("https://klasma.github.io/Logging_0484/artfynd/A 26094-2026 artfynd.xlsx", "A 26094-2026")</f>
        <v/>
      </c>
      <c r="X80">
        <f>HYPERLINK("https://klasma.github.io/Logging_0484/kartor/A 26094-2026 karta.png", "A 26094-2026")</f>
        <v/>
      </c>
      <c r="Y80">
        <f>HYPERLINK("https://klasma.github.io/Logging_0484/kartor_geotiff/A 26094-2026 georefererad karta.tif", "A 26094-2026")</f>
        <v/>
      </c>
      <c r="AA80">
        <f>HYPERLINK("https://klasma.github.io/Logging_0484/klagomål/A 26094-2026 FSC-klagomål.docx", "A 26094-2026")</f>
        <v/>
      </c>
      <c r="AB80">
        <f>HYPERLINK("https://klasma.github.io/Logging_0484/klagomålsmail/A 26094-2026 FSC-klagomål mail.docx", "A 26094-2026")</f>
        <v/>
      </c>
      <c r="AC80">
        <f>HYPERLINK("https://klasma.github.io/Logging_0484/tillsyn/A 26094-2026 tillsynsbegäran.docx", "A 26094-2026")</f>
        <v/>
      </c>
      <c r="AD80">
        <f>HYPERLINK("https://klasma.github.io/Logging_0484/tillsynsmail/A 26094-2026 tillsynsbegäran mail.docx", "A 26094-2026")</f>
        <v/>
      </c>
      <c r="AE80">
        <f>HYPERLINK("https://klasma.github.io/Logging_0484/fåglar/A 26094-2026 prioriterade fågelarter.docx", "A 26094-2026")</f>
        <v/>
      </c>
    </row>
    <row r="81" ht="15" customHeight="1">
      <c r="A81" t="inlineStr">
        <is>
          <t>A 55087-2022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46295</v>
      </c>
      <c r="F81" t="inlineStr">
        <is>
          <t>SÖDERMANLANDS LÄN</t>
        </is>
      </c>
      <c r="G81" t="inlineStr">
        <is>
          <t>ESKILSTUNA</t>
        </is>
      </c>
      <c r="I81" t="n">
        <v>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HYPERLINK("https://klasma.github.io/Logging_0484/artfynd/A 55087-2022 artfynd.xlsx", "A 55087-2022")</f>
        <v/>
      </c>
      <c r="X81">
        <f>HYPERLINK("https://klasma.github.io/Logging_0484/kartor/A 55087-2022 karta.png", "A 55087-2022")</f>
        <v/>
      </c>
      <c r="Y81">
        <f>HYPERLINK("https://klasma.github.io/Logging_0484/kartor_geotiff/A 55087-2022 georefererad karta.tif", "A 55087-2022")</f>
        <v/>
      </c>
      <c r="AA81">
        <f>HYPERLINK("https://klasma.github.io/Logging_0484/klagomål/A 55087-2022 FSC-klagomål.docx", "A 55087-2022")</f>
        <v/>
      </c>
      <c r="AB81">
        <f>HYPERLINK("https://klasma.github.io/Logging_0484/klagomålsmail/A 55087-2022 FSC-klagomål mail.docx", "A 55087-2022")</f>
        <v/>
      </c>
      <c r="AC81">
        <f>HYPERLINK("https://klasma.github.io/Logging_0484/tillsyn/A 55087-2022 tillsynsbegäran.docx", "A 55087-2022")</f>
        <v/>
      </c>
      <c r="AD81">
        <f>HYPERLINK("https://klasma.github.io/Logging_0484/tillsynsmail/A 55087-2022 tillsynsbegäran mail.docx", "A 55087-2022")</f>
        <v/>
      </c>
      <c r="AE81">
        <f>HYPERLINK("https://klasma.github.io/Logging_0484/fåglar/A 55087-2022 prioriterade fågelarter.docx", "A 55087-2022")</f>
        <v/>
      </c>
    </row>
    <row r="82" ht="15" customHeight="1">
      <c r="A82" t="inlineStr">
        <is>
          <t>A 27892-2026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46295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Nattviol</t>
        </is>
      </c>
      <c r="W82">
        <f>HYPERLINK("https://klasma.github.io/Logging_0484/artfynd/A 27892-2026 artfynd.xlsx", "A 27892-2026")</f>
        <v/>
      </c>
      <c r="X82">
        <f>HYPERLINK("https://klasma.github.io/Logging_0484/kartor/A 27892-2026 karta.png", "A 27892-2026")</f>
        <v/>
      </c>
      <c r="Y82">
        <f>HYPERLINK("https://klasma.github.io/Logging_0484/kartor_geotiff/A 27892-2026 georefererad karta.tif", "A 27892-2026")</f>
        <v/>
      </c>
      <c r="AA82">
        <f>HYPERLINK("https://klasma.github.io/Logging_0484/klagomål/A 27892-2026 FSC-klagomål.docx", "A 27892-2026")</f>
        <v/>
      </c>
      <c r="AB82">
        <f>HYPERLINK("https://klasma.github.io/Logging_0484/klagomålsmail/A 27892-2026 FSC-klagomål mail.docx", "A 27892-2026")</f>
        <v/>
      </c>
      <c r="AC82">
        <f>HYPERLINK("https://klasma.github.io/Logging_0484/tillsyn/A 27892-2026 tillsynsbegäran.docx", "A 27892-2026")</f>
        <v/>
      </c>
      <c r="AD82">
        <f>HYPERLINK("https://klasma.github.io/Logging_0484/tillsynsmail/A 27892-2026 tillsynsbegäran mail.docx", "A 27892-2026")</f>
        <v/>
      </c>
    </row>
    <row r="83" ht="15" customHeight="1">
      <c r="A83" t="inlineStr">
        <is>
          <t>A 71976-2021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46295</v>
      </c>
      <c r="F83" t="inlineStr">
        <is>
          <t>SÖDERMANLANDS LÄN</t>
        </is>
      </c>
      <c r="G83" t="inlineStr">
        <is>
          <t>ESKILSTUNA</t>
        </is>
      </c>
      <c r="I83" t="n">
        <v>19.6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Jungfrulin</t>
        </is>
      </c>
      <c r="W83">
        <f>HYPERLINK("https://klasma.github.io/Logging_0484/artfynd/A 71976-2021 artfynd.xlsx", "A 71976-2021")</f>
        <v/>
      </c>
      <c r="X83">
        <f>HYPERLINK("https://klasma.github.io/Logging_0484/kartor/A 71976-2021 karta.png", "A 71976-2021")</f>
        <v/>
      </c>
      <c r="Y83">
        <f>HYPERLINK("https://klasma.github.io/Logging_0484/kartor_geotiff/A 71976-2021 georefererad karta.tif", "A 71976-2021")</f>
        <v/>
      </c>
      <c r="AA83">
        <f>HYPERLINK("https://klasma.github.io/Logging_0484/klagomål/A 71976-2021 FSC-klagomål.docx", "A 71976-2021")</f>
        <v/>
      </c>
      <c r="AB83">
        <f>HYPERLINK("https://klasma.github.io/Logging_0484/klagomålsmail/A 71976-2021 FSC-klagomål mail.docx", "A 71976-2021")</f>
        <v/>
      </c>
      <c r="AC83">
        <f>HYPERLINK("https://klasma.github.io/Logging_0484/tillsyn/A 71976-2021 tillsynsbegäran.docx", "A 71976-2021")</f>
        <v/>
      </c>
      <c r="AD83">
        <f>HYPERLINK("https://klasma.github.io/Logging_0484/tillsynsmail/A 71976-2021 tillsynsbegäran mail.docx", "A 71976-2021")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46295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HYPERLINK("https://klasma.github.io/Logging_0484/artfynd/A 67047-2021 artfynd.xlsx", "A 67047-2021")</f>
        <v/>
      </c>
      <c r="X84">
        <f>HYPERLINK("https://klasma.github.io/Logging_0484/kartor/A 67047-2021 karta.png", "A 67047-2021")</f>
        <v/>
      </c>
      <c r="Y84">
        <f>HYPERLINK("https://klasma.github.io/Logging_0484/kartor_geotiff/A 67047-2021 georefererad karta.tif", "A 67047-2021")</f>
        <v/>
      </c>
      <c r="AA84">
        <f>HYPERLINK("https://klasma.github.io/Logging_0484/klagomål/A 67047-2021 FSC-klagomål.docx", "A 67047-2021")</f>
        <v/>
      </c>
      <c r="AB84">
        <f>HYPERLINK("https://klasma.github.io/Logging_0484/klagomålsmail/A 67047-2021 FSC-klagomål mail.docx", "A 67047-2021")</f>
        <v/>
      </c>
      <c r="AC84">
        <f>HYPERLINK("https://klasma.github.io/Logging_0484/tillsyn/A 67047-2021 tillsynsbegäran.docx", "A 67047-2021")</f>
        <v/>
      </c>
      <c r="AD84">
        <f>HYPERLINK("https://klasma.github.io/Logging_0484/tillsynsmail/A 67047-2021 tillsynsbegäran mail.docx", "A 67047-2021")</f>
        <v/>
      </c>
    </row>
    <row r="85" ht="15" customHeight="1">
      <c r="A85" t="inlineStr">
        <is>
          <t>A 38361-2024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45545</v>
      </c>
      <c r="E85" s="1" t="n">
        <v>46295</v>
      </c>
      <c r="F85" t="inlineStr">
        <is>
          <t>SÖDERMANLANDS LÄN</t>
        </is>
      </c>
      <c r="G85" t="inlineStr">
        <is>
          <t>ESKILSTUNA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Spillkråka</t>
        </is>
      </c>
      <c r="W85">
        <f>HYPERLINK("https://klasma.github.io/Logging_0484/artfynd/A 38361-2024 artfynd.xlsx", "A 38361-2024")</f>
        <v/>
      </c>
      <c r="X85">
        <f>HYPERLINK("https://klasma.github.io/Logging_0484/kartor/A 38361-2024 karta.png", "A 38361-2024")</f>
        <v/>
      </c>
      <c r="Y85">
        <f>HYPERLINK("https://klasma.github.io/Logging_0484/kartor_geotiff/A 38361-2024 georefererad karta.tif", "A 38361-2024")</f>
        <v/>
      </c>
      <c r="AA85">
        <f>HYPERLINK("https://klasma.github.io/Logging_0484/klagomål/A 38361-2024 FSC-klagomål.docx", "A 38361-2024")</f>
        <v/>
      </c>
      <c r="AB85">
        <f>HYPERLINK("https://klasma.github.io/Logging_0484/klagomålsmail/A 38361-2024 FSC-klagomål mail.docx", "A 38361-2024")</f>
        <v/>
      </c>
      <c r="AC85">
        <f>HYPERLINK("https://klasma.github.io/Logging_0484/tillsyn/A 38361-2024 tillsynsbegäran.docx", "A 38361-2024")</f>
        <v/>
      </c>
      <c r="AD85">
        <f>HYPERLINK("https://klasma.github.io/Logging_0484/tillsynsmail/A 38361-2024 tillsynsbegäran mail.docx", "A 38361-2024")</f>
        <v/>
      </c>
      <c r="AE85">
        <f>HYPERLINK("https://klasma.github.io/Logging_0484/fåglar/A 38361-2024 prioriterade fågelarter.docx", "A 38361-2024")</f>
        <v/>
      </c>
    </row>
    <row r="86" ht="15" customHeight="1">
      <c r="A86" t="inlineStr">
        <is>
          <t>A 23637-2023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46295</v>
      </c>
      <c r="F86" t="inlineStr">
        <is>
          <t>SÖDERMANLANDS LÄN</t>
        </is>
      </c>
      <c r="G86" t="inlineStr">
        <is>
          <t>ESKILSTUNA</t>
        </is>
      </c>
      <c r="I86" t="n">
        <v>15.8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Violett fingersvamp</t>
        </is>
      </c>
      <c r="W86">
        <f>HYPERLINK("https://klasma.github.io/Logging_0484/artfynd/A 23637-2023 artfynd.xlsx", "A 23637-2023")</f>
        <v/>
      </c>
      <c r="X86">
        <f>HYPERLINK("https://klasma.github.io/Logging_0484/kartor/A 23637-2023 karta.png", "A 23637-2023")</f>
        <v/>
      </c>
      <c r="Y86">
        <f>HYPERLINK("https://klasma.github.io/Logging_0484/kartor_geotiff/A 23637-2023 georefererad karta.tif", "A 23637-2023")</f>
        <v/>
      </c>
      <c r="AA86">
        <f>HYPERLINK("https://klasma.github.io/Logging_0484/klagomål/A 23637-2023 FSC-klagomål.docx", "A 23637-2023")</f>
        <v/>
      </c>
      <c r="AB86">
        <f>HYPERLINK("https://klasma.github.io/Logging_0484/klagomålsmail/A 23637-2023 FSC-klagomål mail.docx", "A 23637-2023")</f>
        <v/>
      </c>
      <c r="AC86">
        <f>HYPERLINK("https://klasma.github.io/Logging_0484/tillsyn/A 23637-2023 tillsynsbegäran.docx", "A 23637-2023")</f>
        <v/>
      </c>
      <c r="AD86">
        <f>HYPERLINK("https://klasma.github.io/Logging_0484/tillsynsmail/A 23637-2023 tillsynsbegäran mail.docx", "A 23637-2023")</f>
        <v/>
      </c>
    </row>
    <row r="87" ht="15" customHeight="1">
      <c r="A87" t="inlineStr">
        <is>
          <t>A 29047-2026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46199</v>
      </c>
      <c r="E87" s="1" t="n">
        <v>46295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Kandelabersvamp</t>
        </is>
      </c>
      <c r="W87">
        <f>HYPERLINK("https://klasma.github.io/Logging_0484/artfynd/A 29047-2026 artfynd.xlsx", "A 29047-2026")</f>
        <v/>
      </c>
      <c r="X87">
        <f>HYPERLINK("https://klasma.github.io/Logging_0484/kartor/A 29047-2026 karta.png", "A 29047-2026")</f>
        <v/>
      </c>
      <c r="Y87">
        <f>HYPERLINK("https://klasma.github.io/Logging_0484/kartor_geotiff/A 29047-2026 georefererad karta.tif", "A 29047-2026")</f>
        <v/>
      </c>
      <c r="AA87">
        <f>HYPERLINK("https://klasma.github.io/Logging_0484/klagomål/A 29047-2026 FSC-klagomål.docx", "A 29047-2026")</f>
        <v/>
      </c>
      <c r="AB87">
        <f>HYPERLINK("https://klasma.github.io/Logging_0484/klagomålsmail/A 29047-2026 FSC-klagomål mail.docx", "A 29047-2026")</f>
        <v/>
      </c>
      <c r="AC87">
        <f>HYPERLINK("https://klasma.github.io/Logging_0484/tillsyn/A 29047-2026 tillsynsbegäran.docx", "A 29047-2026")</f>
        <v/>
      </c>
      <c r="AD87">
        <f>HYPERLINK("https://klasma.github.io/Logging_0484/tillsynsmail/A 29047-2026 tillsynsbegäran mail.docx", "A 29047-2026")</f>
        <v/>
      </c>
    </row>
    <row r="88" ht="15" customHeight="1">
      <c r="A88" t="inlineStr">
        <is>
          <t>A 14327-2023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45012</v>
      </c>
      <c r="E88" s="1" t="n">
        <v>46295</v>
      </c>
      <c r="F88" t="inlineStr">
        <is>
          <t>SÖDERMANLANDS LÄN</t>
        </is>
      </c>
      <c r="G88" t="inlineStr">
        <is>
          <t>ESKILSTUNA</t>
        </is>
      </c>
      <c r="H88" t="inlineStr">
        <is>
          <t>Kommuner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HYPERLINK("https://klasma.github.io/Logging_0484/artfynd/A 14327-2023 artfynd.xlsx", "A 14327-2023")</f>
        <v/>
      </c>
      <c r="X88">
        <f>HYPERLINK("https://klasma.github.io/Logging_0484/kartor/A 14327-2023 karta.png", "A 14327-2023")</f>
        <v/>
      </c>
      <c r="Y88">
        <f>HYPERLINK("https://klasma.github.io/Logging_0484/kartor_geotiff/A 14327-2023 georefererad karta.tif", "A 14327-2023")</f>
        <v/>
      </c>
      <c r="AA88">
        <f>HYPERLINK("https://klasma.github.io/Logging_0484/klagomål/A 14327-2023 FSC-klagomål.docx", "A 14327-2023")</f>
        <v/>
      </c>
      <c r="AB88">
        <f>HYPERLINK("https://klasma.github.io/Logging_0484/klagomålsmail/A 14327-2023 FSC-klagomål mail.docx", "A 14327-2023")</f>
        <v/>
      </c>
      <c r="AC88">
        <f>HYPERLINK("https://klasma.github.io/Logging_0484/tillsyn/A 14327-2023 tillsynsbegäran.docx", "A 14327-2023")</f>
        <v/>
      </c>
      <c r="AD88">
        <f>HYPERLINK("https://klasma.github.io/Logging_0484/tillsynsmail/A 14327-2023 tillsynsbegäran mail.docx", "A 14327-2023")</f>
        <v/>
      </c>
    </row>
    <row r="89" ht="15" customHeight="1">
      <c r="A89" t="inlineStr">
        <is>
          <t>A 39011-2026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46287</v>
      </c>
      <c r="E89" s="1" t="n">
        <v>46295</v>
      </c>
      <c r="F89" t="inlineStr">
        <is>
          <t>SÖDERMANLANDS LÄN</t>
        </is>
      </c>
      <c r="G89" t="inlineStr">
        <is>
          <t>ESKILSTUNA</t>
        </is>
      </c>
      <c r="I89" t="n">
        <v>10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Blåsippa</t>
        </is>
      </c>
      <c r="W89">
        <f>HYPERLINK("https://klasma.github.io/Logging_0484/artfynd/A 39011-2026 artfynd.xlsx", "A 39011-2026")</f>
        <v/>
      </c>
      <c r="X89">
        <f>HYPERLINK("https://klasma.github.io/Logging_0484/kartor/A 39011-2026 karta.png", "A 39011-2026")</f>
        <v/>
      </c>
      <c r="Y89">
        <f>HYPERLINK("https://klasma.github.io/Logging_0484/kartor_geotiff/A 39011-2026 georefererad karta.tif", "A 39011-2026")</f>
        <v/>
      </c>
      <c r="AA89">
        <f>HYPERLINK("https://klasma.github.io/Logging_0484/klagomål/A 39011-2026 FSC-klagomål.docx", "A 39011-2026")</f>
        <v/>
      </c>
      <c r="AB89">
        <f>HYPERLINK("https://klasma.github.io/Logging_0484/klagomålsmail/A 39011-2026 FSC-klagomål mail.docx", "A 39011-2026")</f>
        <v/>
      </c>
      <c r="AC89">
        <f>HYPERLINK("https://klasma.github.io/Logging_0484/tillsyn/A 39011-2026 tillsynsbegäran.docx", "A 39011-2026")</f>
        <v/>
      </c>
      <c r="AD89">
        <f>HYPERLINK("https://klasma.github.io/Logging_0484/tillsynsmail/A 39011-2026 tillsynsbegäran mail.docx", "A 39011-2026")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46295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35096-2022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46295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46295</v>
      </c>
      <c r="F92" t="inlineStr">
        <is>
          <t>SÖDERMANLANDS LÄN</t>
        </is>
      </c>
      <c r="G92" t="inlineStr">
        <is>
          <t>ESKILSTUNA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46295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46295</v>
      </c>
      <c r="F94" t="inlineStr">
        <is>
          <t>SÖDERMANLANDS LÄN</t>
        </is>
      </c>
      <c r="G94" t="inlineStr">
        <is>
          <t>ESKILSTUNA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46295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46295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64986-2021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44513</v>
      </c>
      <c r="E97" s="1" t="n">
        <v>46295</v>
      </c>
      <c r="F97" t="inlineStr">
        <is>
          <t>SÖDERMANLANDS LÄN</t>
        </is>
      </c>
      <c r="G97" t="inlineStr">
        <is>
          <t>ESKILSTUNA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46295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46295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46295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46295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46295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46295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46295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46295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46295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46295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46295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46295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46295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46295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46295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46295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46295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46295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46295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46295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46295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46295</v>
      </c>
      <c r="F119" t="inlineStr">
        <is>
          <t>SÖDERMANLANDS LÄN</t>
        </is>
      </c>
      <c r="G119" t="inlineStr">
        <is>
          <t>ESKILSTUNA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46295</v>
      </c>
      <c r="F120" t="inlineStr">
        <is>
          <t>SÖDERMANLANDS LÄN</t>
        </is>
      </c>
      <c r="G120" t="inlineStr">
        <is>
          <t>ESKILSTUNA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46295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46295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46295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46295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46295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46295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46295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46295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46295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46295</v>
      </c>
      <c r="F130" t="inlineStr">
        <is>
          <t>SÖDERMANLANDS LÄN</t>
        </is>
      </c>
      <c r="G130" t="inlineStr">
        <is>
          <t>ESKILSTUNA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44699</v>
      </c>
      <c r="E131" s="1" t="n">
        <v>46295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Naturvårdsverket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65406-2021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44515</v>
      </c>
      <c r="E132" s="1" t="n">
        <v>46295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Kyrkan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73480-2021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44550</v>
      </c>
      <c r="E133" s="1" t="n">
        <v>46295</v>
      </c>
      <c r="F133" t="inlineStr">
        <is>
          <t>SÖDERMANLANDS LÄN</t>
        </is>
      </c>
      <c r="G133" t="inlineStr">
        <is>
          <t>ESKILSTUNA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44722</v>
      </c>
      <c r="E134" s="1" t="n">
        <v>46295</v>
      </c>
      <c r="F134" t="inlineStr">
        <is>
          <t>SÖDERMANLANDS LÄN</t>
        </is>
      </c>
      <c r="G134" t="inlineStr">
        <is>
          <t>ESKILSTUNA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46295</v>
      </c>
      <c r="F135" t="inlineStr">
        <is>
          <t>SÖDERMANLANDS LÄN</t>
        </is>
      </c>
      <c r="G135" t="inlineStr">
        <is>
          <t>ESKILSTUNA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46295</v>
      </c>
      <c r="F136" t="inlineStr">
        <is>
          <t>SÖDERMANLANDS LÄN</t>
        </is>
      </c>
      <c r="G136" t="inlineStr">
        <is>
          <t>ESKILSTUNA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46295</v>
      </c>
      <c r="F137" t="inlineStr">
        <is>
          <t>SÖDERMANLANDS LÄN</t>
        </is>
      </c>
      <c r="G137" t="inlineStr">
        <is>
          <t>ESKILSTUNA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60721-2021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44490</v>
      </c>
      <c r="E138" s="1" t="n">
        <v>46295</v>
      </c>
      <c r="F138" t="inlineStr">
        <is>
          <t>SÖDERMANLANDS LÄN</t>
        </is>
      </c>
      <c r="G138" t="inlineStr">
        <is>
          <t>ESKILSTUNA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46295</v>
      </c>
      <c r="F139" t="inlineStr">
        <is>
          <t>SÖDERMANLANDS LÄN</t>
        </is>
      </c>
      <c r="G139" t="inlineStr">
        <is>
          <t>ESKILSTUNA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46295</v>
      </c>
      <c r="F140" t="inlineStr">
        <is>
          <t>SÖDERMANLANDS LÄN</t>
        </is>
      </c>
      <c r="G140" t="inlineStr">
        <is>
          <t>ESKILSTUNA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44654</v>
      </c>
      <c r="E141" s="1" t="n">
        <v>46295</v>
      </c>
      <c r="F141" t="inlineStr">
        <is>
          <t>SÖDERMANLANDS LÄN</t>
        </is>
      </c>
      <c r="G141" t="inlineStr">
        <is>
          <t>ESKILSTUNA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44490</v>
      </c>
      <c r="E142" s="1" t="n">
        <v>46295</v>
      </c>
      <c r="F142" t="inlineStr">
        <is>
          <t>SÖDERMANLANDS LÄN</t>
        </is>
      </c>
      <c r="G142" t="inlineStr">
        <is>
          <t>ESKILSTUNA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44616</v>
      </c>
      <c r="E143" s="1" t="n">
        <v>46295</v>
      </c>
      <c r="F143" t="inlineStr">
        <is>
          <t>SÖDERMANLANDS LÄN</t>
        </is>
      </c>
      <c r="G143" t="inlineStr">
        <is>
          <t>ESKILSTUNA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44578</v>
      </c>
      <c r="E144" s="1" t="n">
        <v>46295</v>
      </c>
      <c r="F144" t="inlineStr">
        <is>
          <t>SÖDERMANLANDS LÄN</t>
        </is>
      </c>
      <c r="G144" t="inlineStr">
        <is>
          <t>ESKILSTUNA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64147-2021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44510</v>
      </c>
      <c r="E145" s="1" t="n">
        <v>46295</v>
      </c>
      <c r="F145" t="inlineStr">
        <is>
          <t>SÖDERMANLANDS LÄN</t>
        </is>
      </c>
      <c r="G145" t="inlineStr">
        <is>
          <t>ESKILSTUNA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44643</v>
      </c>
      <c r="E146" s="1" t="n">
        <v>46295</v>
      </c>
      <c r="F146" t="inlineStr">
        <is>
          <t>SÖDERMANLANDS LÄN</t>
        </is>
      </c>
      <c r="G146" t="inlineStr">
        <is>
          <t>ESKILSTUNA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46295</v>
      </c>
      <c r="F147" t="inlineStr">
        <is>
          <t>SÖDERMANLANDS LÄN</t>
        </is>
      </c>
      <c r="G147" t="inlineStr">
        <is>
          <t>ESKILSTUNA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46295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32484-2022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44782</v>
      </c>
      <c r="E149" s="1" t="n">
        <v>46295</v>
      </c>
      <c r="F149" t="inlineStr">
        <is>
          <t>SÖDERMANLANDS LÄN</t>
        </is>
      </c>
      <c r="G149" t="inlineStr">
        <is>
          <t>ESKILSTUNA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46295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Allmännings- och besparingsskogar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44748</v>
      </c>
      <c r="E151" s="1" t="n">
        <v>46295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70191-2021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46295</v>
      </c>
      <c r="F152" t="inlineStr">
        <is>
          <t>SÖDERMANLANDS LÄN</t>
        </is>
      </c>
      <c r="G152" t="inlineStr">
        <is>
          <t>ESKILSTUNA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46295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46295</v>
      </c>
      <c r="F154" t="inlineStr">
        <is>
          <t>SÖDERMANLANDS LÄN</t>
        </is>
      </c>
      <c r="G154" t="inlineStr">
        <is>
          <t>ESKILSTUNA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45334</v>
      </c>
      <c r="E155" s="1" t="n">
        <v>46295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46295</v>
      </c>
      <c r="F156" t="inlineStr">
        <is>
          <t>SÖDERMANLANDS LÄN</t>
        </is>
      </c>
      <c r="G156" t="inlineStr">
        <is>
          <t>ESKILSTUNA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45429</v>
      </c>
      <c r="E157" s="1" t="n">
        <v>46295</v>
      </c>
      <c r="F157" t="inlineStr">
        <is>
          <t>SÖDERMANLANDS LÄN</t>
        </is>
      </c>
      <c r="G157" t="inlineStr">
        <is>
          <t>ESKILSTUNA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44851</v>
      </c>
      <c r="E158" s="1" t="n">
        <v>46295</v>
      </c>
      <c r="F158" t="inlineStr">
        <is>
          <t>SÖDERMANLANDS LÄN</t>
        </is>
      </c>
      <c r="G158" t="inlineStr">
        <is>
          <t>ESKILSTUNA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44858</v>
      </c>
      <c r="E159" s="1" t="n">
        <v>46295</v>
      </c>
      <c r="F159" t="inlineStr">
        <is>
          <t>SÖDERMANLANDS LÄN</t>
        </is>
      </c>
      <c r="G159" t="inlineStr">
        <is>
          <t>ESKILSTUNA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57304-2023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45245</v>
      </c>
      <c r="E160" s="1" t="n">
        <v>46295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Sveaskog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46295</v>
      </c>
      <c r="F161" t="inlineStr">
        <is>
          <t>SÖDERMANLANDS LÄN</t>
        </is>
      </c>
      <c r="G161" t="inlineStr">
        <is>
          <t>ESKILSTUNA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44799</v>
      </c>
      <c r="E162" s="1" t="n">
        <v>46295</v>
      </c>
      <c r="F162" t="inlineStr">
        <is>
          <t>SÖDERMANLANDS LÄN</t>
        </is>
      </c>
      <c r="G162" t="inlineStr">
        <is>
          <t>ESKILSTUNA</t>
        </is>
      </c>
      <c r="I162" t="n">
        <v>9.199999999999999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46295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46295</v>
      </c>
      <c r="F164" t="inlineStr">
        <is>
          <t>SÖDERMANLANDS LÄN</t>
        </is>
      </c>
      <c r="G164" t="inlineStr">
        <is>
          <t>ESKILSTUNA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45387</v>
      </c>
      <c r="E165" s="1" t="n">
        <v>46295</v>
      </c>
      <c r="F165" t="inlineStr">
        <is>
          <t>SÖDERMANLANDS LÄN</t>
        </is>
      </c>
      <c r="G165" t="inlineStr">
        <is>
          <t>ESKILSTUNA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45363</v>
      </c>
      <c r="E166" s="1" t="n">
        <v>46295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58991-2022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46295</v>
      </c>
      <c r="F167" t="inlineStr">
        <is>
          <t>SÖDERMANLANDS LÄN</t>
        </is>
      </c>
      <c r="G167" t="inlineStr">
        <is>
          <t>ESKILSTUNA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49469-2022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46295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45464</v>
      </c>
      <c r="E169" s="1" t="n">
        <v>46295</v>
      </c>
      <c r="F169" t="inlineStr">
        <is>
          <t>SÖDERMANLANDS LÄN</t>
        </is>
      </c>
      <c r="G169" t="inlineStr">
        <is>
          <t>ESKILSTUNA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44979</v>
      </c>
      <c r="E170" s="1" t="n">
        <v>46295</v>
      </c>
      <c r="F170" t="inlineStr">
        <is>
          <t>SÖDERMANLANDS LÄN</t>
        </is>
      </c>
      <c r="G170" t="inlineStr">
        <is>
          <t>ESKILSTUNA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45464</v>
      </c>
      <c r="E171" s="1" t="n">
        <v>46295</v>
      </c>
      <c r="F171" t="inlineStr">
        <is>
          <t>SÖDERMANLANDS LÄN</t>
        </is>
      </c>
      <c r="G171" t="inlineStr">
        <is>
          <t>ESKILSTUNA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46295</v>
      </c>
      <c r="F172" t="inlineStr">
        <is>
          <t>SÖDERMANLANDS LÄN</t>
        </is>
      </c>
      <c r="G172" t="inlineStr">
        <is>
          <t>ESKILSTUNA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44626</v>
      </c>
      <c r="E173" s="1" t="n">
        <v>46295</v>
      </c>
      <c r="F173" t="inlineStr">
        <is>
          <t>SÖDERMANLANDS LÄN</t>
        </is>
      </c>
      <c r="G173" t="inlineStr">
        <is>
          <t>ESKILSTUNA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61367-2021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44499</v>
      </c>
      <c r="E174" s="1" t="n">
        <v>46295</v>
      </c>
      <c r="F174" t="inlineStr">
        <is>
          <t>SÖDERMANLANDS LÄN</t>
        </is>
      </c>
      <c r="G174" t="inlineStr">
        <is>
          <t>ESKILSTUNA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44883</v>
      </c>
      <c r="E175" s="1" t="n">
        <v>46295</v>
      </c>
      <c r="F175" t="inlineStr">
        <is>
          <t>SÖDERMANLANDS LÄN</t>
        </is>
      </c>
      <c r="G175" t="inlineStr">
        <is>
          <t>ESKILSTUNA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24537-2025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45798</v>
      </c>
      <c r="E176" s="1" t="n">
        <v>46295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24534-2025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45798</v>
      </c>
      <c r="E177" s="1" t="n">
        <v>46295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Sveaskog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24535-2025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45798</v>
      </c>
      <c r="E178" s="1" t="n">
        <v>46295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Sveaskog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24536-2025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45798</v>
      </c>
      <c r="E179" s="1" t="n">
        <v>46295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45798</v>
      </c>
      <c r="E180" s="1" t="n">
        <v>46295</v>
      </c>
      <c r="F180" t="inlineStr">
        <is>
          <t>SÖDERMANLANDS LÄN</t>
        </is>
      </c>
      <c r="G180" t="inlineStr">
        <is>
          <t>ESKILSTUNA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46295</v>
      </c>
      <c r="F181" t="inlineStr">
        <is>
          <t>SÖDERMANLANDS LÄN</t>
        </is>
      </c>
      <c r="G181" t="inlineStr">
        <is>
          <t>ESKILSTUNA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46295</v>
      </c>
      <c r="F182" t="inlineStr">
        <is>
          <t>SÖDERMANLANDS LÄN</t>
        </is>
      </c>
      <c r="G182" t="inlineStr">
        <is>
          <t>ESKILSTUNA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46295</v>
      </c>
      <c r="F183" t="inlineStr">
        <is>
          <t>SÖDERMANLANDS LÄN</t>
        </is>
      </c>
      <c r="G183" t="inlineStr">
        <is>
          <t>ESKILSTUNA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46295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Kyrkan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46295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Kyrkan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45012</v>
      </c>
      <c r="E186" s="1" t="n">
        <v>46295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Kommuner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45568</v>
      </c>
      <c r="E187" s="1" t="n">
        <v>46295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Allmännings- och besparingsskogar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65349-2021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44515</v>
      </c>
      <c r="E188" s="1" t="n">
        <v>46295</v>
      </c>
      <c r="F188" t="inlineStr">
        <is>
          <t>SÖDERMANLANDS LÄN</t>
        </is>
      </c>
      <c r="G188" t="inlineStr">
        <is>
          <t>ESKILSTUNA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45568</v>
      </c>
      <c r="E189" s="1" t="n">
        <v>46295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Allmännings- och besparingsskogar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46295</v>
      </c>
      <c r="F190" t="inlineStr">
        <is>
          <t>SÖDERMANLANDS LÄN</t>
        </is>
      </c>
      <c r="G190" t="inlineStr">
        <is>
          <t>ESKILSTUNA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46295</v>
      </c>
      <c r="F191" t="inlineStr">
        <is>
          <t>SÖDERMANLANDS LÄN</t>
        </is>
      </c>
      <c r="G191" t="inlineStr">
        <is>
          <t>ESKILSTUNA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46295</v>
      </c>
      <c r="F192" t="inlineStr">
        <is>
          <t>SÖDERMANLANDS LÄN</t>
        </is>
      </c>
      <c r="G192" t="inlineStr">
        <is>
          <t>ESKILSTUNA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46295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46295</v>
      </c>
      <c r="F194" t="inlineStr">
        <is>
          <t>SÖDERMANLANDS LÄN</t>
        </is>
      </c>
      <c r="G194" t="inlineStr">
        <is>
          <t>ESKILSTUNA</t>
        </is>
      </c>
      <c r="H194" t="inlineStr">
        <is>
          <t>Kyrkan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41183-2025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46295</v>
      </c>
      <c r="F195" t="inlineStr">
        <is>
          <t>SÖDERMANLANDS LÄN</t>
        </is>
      </c>
      <c r="G195" t="inlineStr">
        <is>
          <t>ESKILSTUNA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46295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Kyrkan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44634</v>
      </c>
      <c r="E197" s="1" t="n">
        <v>46295</v>
      </c>
      <c r="F197" t="inlineStr">
        <is>
          <t>SÖDERMANLANDS LÄN</t>
        </is>
      </c>
      <c r="G197" t="inlineStr">
        <is>
          <t>ESKILSTUNA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44915</v>
      </c>
      <c r="E198" s="1" t="n">
        <v>46295</v>
      </c>
      <c r="F198" t="inlineStr">
        <is>
          <t>SÖDERMANLANDS LÄN</t>
        </is>
      </c>
      <c r="G198" t="inlineStr">
        <is>
          <t>ESKILSTUNA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46295</v>
      </c>
      <c r="F199" t="inlineStr">
        <is>
          <t>SÖDERMANLANDS LÄN</t>
        </is>
      </c>
      <c r="G199" t="inlineStr">
        <is>
          <t>ESKILSTUNA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46295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46295</v>
      </c>
      <c r="F201" t="inlineStr">
        <is>
          <t>SÖDERMANLANDS LÄN</t>
        </is>
      </c>
      <c r="G201" t="inlineStr">
        <is>
          <t>ESKILSTUNA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61988-2022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44918</v>
      </c>
      <c r="E202" s="1" t="n">
        <v>46295</v>
      </c>
      <c r="F202" t="inlineStr">
        <is>
          <t>SÖDERMANLANDS LÄN</t>
        </is>
      </c>
      <c r="G202" t="inlineStr">
        <is>
          <t>ESKILSTUNA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46295</v>
      </c>
      <c r="F203" t="inlineStr">
        <is>
          <t>SÖDERMANLANDS LÄN</t>
        </is>
      </c>
      <c r="G203" t="inlineStr">
        <is>
          <t>ESKILSTUNA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57524-2022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46295</v>
      </c>
      <c r="F204" t="inlineStr">
        <is>
          <t>SÖDERMANLANDS LÄN</t>
        </is>
      </c>
      <c r="G204" t="inlineStr">
        <is>
          <t>ESKILSTUNA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45910</v>
      </c>
      <c r="E205" s="1" t="n">
        <v>46295</v>
      </c>
      <c r="F205" t="inlineStr">
        <is>
          <t>SÖDERMANLANDS LÄN</t>
        </is>
      </c>
      <c r="G205" t="inlineStr">
        <is>
          <t>ESKILSTUNA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38075-2024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45544</v>
      </c>
      <c r="E206" s="1" t="n">
        <v>46295</v>
      </c>
      <c r="F206" t="inlineStr">
        <is>
          <t>SÖDERMANLANDS LÄN</t>
        </is>
      </c>
      <c r="G206" t="inlineStr">
        <is>
          <t>ESKILSTUNA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46295</v>
      </c>
      <c r="F207" t="inlineStr">
        <is>
          <t>SÖDERMANLANDS LÄN</t>
        </is>
      </c>
      <c r="G207" t="inlineStr">
        <is>
          <t>ESKILSTUNA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30096-2025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45826</v>
      </c>
      <c r="E208" s="1" t="n">
        <v>46295</v>
      </c>
      <c r="F208" t="inlineStr">
        <is>
          <t>SÖDERMANLANDS LÄN</t>
        </is>
      </c>
      <c r="G208" t="inlineStr">
        <is>
          <t>ESKILSTUNA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46295</v>
      </c>
      <c r="F209" t="inlineStr">
        <is>
          <t>SÖDERMANLANDS LÄN</t>
        </is>
      </c>
      <c r="G209" t="inlineStr">
        <is>
          <t>ESKILSTUNA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46295</v>
      </c>
      <c r="F210" t="inlineStr">
        <is>
          <t>SÖDERMANLANDS LÄN</t>
        </is>
      </c>
      <c r="G210" t="inlineStr">
        <is>
          <t>ESKILSTUNA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45750</v>
      </c>
      <c r="E211" s="1" t="n">
        <v>46295</v>
      </c>
      <c r="F211" t="inlineStr">
        <is>
          <t>SÖDERMANLANDS LÄN</t>
        </is>
      </c>
      <c r="G211" t="inlineStr">
        <is>
          <t>ESKILSTUNA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46295</v>
      </c>
      <c r="F212" t="inlineStr">
        <is>
          <t>SÖDERMANLANDS LÄN</t>
        </is>
      </c>
      <c r="G212" t="inlineStr">
        <is>
          <t>ESKILSTUNA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44616</v>
      </c>
      <c r="E213" s="1" t="n">
        <v>46295</v>
      </c>
      <c r="F213" t="inlineStr">
        <is>
          <t>SÖDERMANLANDS LÄN</t>
        </is>
      </c>
      <c r="G213" t="inlineStr">
        <is>
          <t>ESKILSTUNA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46295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44617</v>
      </c>
      <c r="E215" s="1" t="n">
        <v>46295</v>
      </c>
      <c r="F215" t="inlineStr">
        <is>
          <t>SÖDERMANLANDS LÄN</t>
        </is>
      </c>
      <c r="G215" t="inlineStr">
        <is>
          <t>ESKILSTUNA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12547-2022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44638</v>
      </c>
      <c r="E216" s="1" t="n">
        <v>46295</v>
      </c>
      <c r="F216" t="inlineStr">
        <is>
          <t>SÖDERMANLANDS LÄN</t>
        </is>
      </c>
      <c r="G216" t="inlineStr">
        <is>
          <t>ESKILSTUNA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46295</v>
      </c>
      <c r="F217" t="inlineStr">
        <is>
          <t>SÖDERMANLANDS LÄN</t>
        </is>
      </c>
      <c r="G217" t="inlineStr">
        <is>
          <t>ESKILSTUNA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45036</v>
      </c>
      <c r="E218" s="1" t="n">
        <v>46295</v>
      </c>
      <c r="F218" t="inlineStr">
        <is>
          <t>SÖDERMANLANDS LÄN</t>
        </is>
      </c>
      <c r="G218" t="inlineStr">
        <is>
          <t>ESKILSTUNA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45694</v>
      </c>
      <c r="E219" s="1" t="n">
        <v>46295</v>
      </c>
      <c r="F219" t="inlineStr">
        <is>
          <t>SÖDERMANLANDS LÄN</t>
        </is>
      </c>
      <c r="G219" t="inlineStr">
        <is>
          <t>ESKILSTUNA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46295</v>
      </c>
      <c r="F220" t="inlineStr">
        <is>
          <t>SÖDERMANLANDS LÄN</t>
        </is>
      </c>
      <c r="G220" t="inlineStr">
        <is>
          <t>ESKILSTUNA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10010-2024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45363</v>
      </c>
      <c r="E221" s="1" t="n">
        <v>46295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Allmännings- och besparingsskogar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44928</v>
      </c>
      <c r="E222" s="1" t="n">
        <v>46295</v>
      </c>
      <c r="F222" t="inlineStr">
        <is>
          <t>SÖDERMANLANDS LÄN</t>
        </is>
      </c>
      <c r="G222" t="inlineStr">
        <is>
          <t>ESKILSTUNA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46048</v>
      </c>
      <c r="E223" s="1" t="n">
        <v>46295</v>
      </c>
      <c r="F223" t="inlineStr">
        <is>
          <t>SÖDERMANLANDS LÄN</t>
        </is>
      </c>
      <c r="G223" t="inlineStr">
        <is>
          <t>ESKILSTUNA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61829-2023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45266</v>
      </c>
      <c r="E224" s="1" t="n">
        <v>46295</v>
      </c>
      <c r="F224" t="inlineStr">
        <is>
          <t>SÖDERMANLANDS LÄN</t>
        </is>
      </c>
      <c r="G224" t="inlineStr">
        <is>
          <t>ESKILSTUNA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45604</v>
      </c>
      <c r="E225" s="1" t="n">
        <v>46295</v>
      </c>
      <c r="F225" t="inlineStr">
        <is>
          <t>SÖDERMANLANDS LÄN</t>
        </is>
      </c>
      <c r="G225" t="inlineStr">
        <is>
          <t>ESKILSTUNA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44739</v>
      </c>
      <c r="E226" s="1" t="n">
        <v>46295</v>
      </c>
      <c r="F226" t="inlineStr">
        <is>
          <t>SÖDERMANLANDS LÄN</t>
        </is>
      </c>
      <c r="G226" t="inlineStr">
        <is>
          <t>ESKILSTUNA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46295</v>
      </c>
      <c r="F227" t="inlineStr">
        <is>
          <t>SÖDERMANLANDS LÄN</t>
        </is>
      </c>
      <c r="G227" t="inlineStr">
        <is>
          <t>ESKILSTUNA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46295</v>
      </c>
      <c r="F228" t="inlineStr">
        <is>
          <t>SÖDERMANLANDS LÄN</t>
        </is>
      </c>
      <c r="G228" t="inlineStr">
        <is>
          <t>ESKILSTUNA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51801-2025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45950</v>
      </c>
      <c r="E229" s="1" t="n">
        <v>46295</v>
      </c>
      <c r="F229" t="inlineStr">
        <is>
          <t>SÖDERMANLANDS LÄN</t>
        </is>
      </c>
      <c r="G229" t="inlineStr">
        <is>
          <t>ESKILSTUNA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46295</v>
      </c>
      <c r="F230" t="inlineStr">
        <is>
          <t>SÖDERMANLANDS LÄN</t>
        </is>
      </c>
      <c r="G230" t="inlineStr">
        <is>
          <t>ESKILSTUNA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44956</v>
      </c>
      <c r="E231" s="1" t="n">
        <v>46295</v>
      </c>
      <c r="F231" t="inlineStr">
        <is>
          <t>SÖDERMANLANDS LÄN</t>
        </is>
      </c>
      <c r="G231" t="inlineStr">
        <is>
          <t>ESKILSTUNA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20180-2022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44698</v>
      </c>
      <c r="E232" s="1" t="n">
        <v>46295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Kyrkan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12300-2023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44998</v>
      </c>
      <c r="E233" s="1" t="n">
        <v>46295</v>
      </c>
      <c r="F233" t="inlineStr">
        <is>
          <t>SÖDERMANLANDS LÄN</t>
        </is>
      </c>
      <c r="G233" t="inlineStr">
        <is>
          <t>ESKILSTUNA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44946</v>
      </c>
      <c r="E234" s="1" t="n">
        <v>46295</v>
      </c>
      <c r="F234" t="inlineStr">
        <is>
          <t>SÖDERMANLANDS LÄN</t>
        </is>
      </c>
      <c r="G234" t="inlineStr">
        <is>
          <t>ESKILSTUNA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44946</v>
      </c>
      <c r="E235" s="1" t="n">
        <v>46295</v>
      </c>
      <c r="F235" t="inlineStr">
        <is>
          <t>SÖDERMANLANDS LÄN</t>
        </is>
      </c>
      <c r="G235" t="inlineStr">
        <is>
          <t>ESKILSTUNA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46295</v>
      </c>
      <c r="F236" t="inlineStr">
        <is>
          <t>SÖDERMANLANDS LÄN</t>
        </is>
      </c>
      <c r="G236" t="inlineStr">
        <is>
          <t>ESKILSTUNA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45875</v>
      </c>
      <c r="E237" s="1" t="n">
        <v>46295</v>
      </c>
      <c r="F237" t="inlineStr">
        <is>
          <t>SÖDERMANLANDS LÄN</t>
        </is>
      </c>
      <c r="G237" t="inlineStr">
        <is>
          <t>ESKILSTUNA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46295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28011-2022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46295</v>
      </c>
      <c r="F239" t="inlineStr">
        <is>
          <t>SÖDERMANLANDS LÄN</t>
        </is>
      </c>
      <c r="G239" t="inlineStr">
        <is>
          <t>ESKILSTUNA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46295</v>
      </c>
      <c r="F240" t="inlineStr">
        <is>
          <t>SÖDERMANLANDS LÄN</t>
        </is>
      </c>
      <c r="G240" t="inlineStr">
        <is>
          <t>ESKILSTUNA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45006</v>
      </c>
      <c r="E241" s="1" t="n">
        <v>46295</v>
      </c>
      <c r="F241" t="inlineStr">
        <is>
          <t>SÖDERMANLANDS LÄN</t>
        </is>
      </c>
      <c r="G241" t="inlineStr">
        <is>
          <t>ESKILSTUNA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10271-2024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46295</v>
      </c>
      <c r="F242" t="inlineStr">
        <is>
          <t>SÖDERMANLANDS LÄN</t>
        </is>
      </c>
      <c r="G242" t="inlineStr">
        <is>
          <t>ESKILSTUNA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44946</v>
      </c>
      <c r="E243" s="1" t="n">
        <v>46295</v>
      </c>
      <c r="F243" t="inlineStr">
        <is>
          <t>SÖDERMANLANDS LÄN</t>
        </is>
      </c>
      <c r="G243" t="inlineStr">
        <is>
          <t>ESKILSTUNA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44983</v>
      </c>
      <c r="E244" s="1" t="n">
        <v>46295</v>
      </c>
      <c r="F244" t="inlineStr">
        <is>
          <t>SÖDERMANLANDS LÄN</t>
        </is>
      </c>
      <c r="G244" t="inlineStr">
        <is>
          <t>ESKILSTUNA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61866-2022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44917</v>
      </c>
      <c r="E245" s="1" t="n">
        <v>46295</v>
      </c>
      <c r="F245" t="inlineStr">
        <is>
          <t>SÖDERMANLANDS LÄN</t>
        </is>
      </c>
      <c r="G245" t="inlineStr">
        <is>
          <t>ESKILSTUNA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46295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Sveaskog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59276-2021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44490</v>
      </c>
      <c r="E247" s="1" t="n">
        <v>46295</v>
      </c>
      <c r="F247" t="inlineStr">
        <is>
          <t>SÖDERMANLANDS LÄN</t>
        </is>
      </c>
      <c r="G247" t="inlineStr">
        <is>
          <t>ESKILSTUNA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46295</v>
      </c>
      <c r="F248" t="inlineStr">
        <is>
          <t>SÖDERMANLANDS LÄN</t>
        </is>
      </c>
      <c r="G248" t="inlineStr">
        <is>
          <t>ESKILSTUNA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9133-2026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46295</v>
      </c>
      <c r="F249" t="inlineStr">
        <is>
          <t>SÖDERMANLANDS LÄN</t>
        </is>
      </c>
      <c r="G249" t="inlineStr">
        <is>
          <t>ESKILSTUNA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46295</v>
      </c>
      <c r="F250" t="inlineStr">
        <is>
          <t>SÖDERMANLANDS LÄN</t>
        </is>
      </c>
      <c r="G250" t="inlineStr">
        <is>
          <t>ESKILSTUNA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46295</v>
      </c>
      <c r="F251" t="inlineStr">
        <is>
          <t>SÖDERMANLANDS LÄN</t>
        </is>
      </c>
      <c r="G251" t="inlineStr">
        <is>
          <t>ESKILSTUNA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46295</v>
      </c>
      <c r="F252" t="inlineStr">
        <is>
          <t>SÖDERMANLANDS LÄN</t>
        </is>
      </c>
      <c r="G252" t="inlineStr">
        <is>
          <t>ESKILSTUNA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46295</v>
      </c>
      <c r="F253" t="inlineStr">
        <is>
          <t>SÖDERMANLANDS LÄN</t>
        </is>
      </c>
      <c r="G253" t="inlineStr">
        <is>
          <t>ESKILSTUNA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27255-2022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44741</v>
      </c>
      <c r="E254" s="1" t="n">
        <v>46295</v>
      </c>
      <c r="F254" t="inlineStr">
        <is>
          <t>SÖDERMANLANDS LÄN</t>
        </is>
      </c>
      <c r="G254" t="inlineStr">
        <is>
          <t>ESKILSTUNA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44499</v>
      </c>
      <c r="E255" s="1" t="n">
        <v>46295</v>
      </c>
      <c r="F255" t="inlineStr">
        <is>
          <t>SÖDERMANLANDS LÄN</t>
        </is>
      </c>
      <c r="G255" t="inlineStr">
        <is>
          <t>ESKILSTUNA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65595-2021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44516</v>
      </c>
      <c r="E256" s="1" t="n">
        <v>46295</v>
      </c>
      <c r="F256" t="inlineStr">
        <is>
          <t>SÖDERMANLANDS LÄN</t>
        </is>
      </c>
      <c r="G256" t="inlineStr">
        <is>
          <t>ESKILSTUNA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43064-2023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45182</v>
      </c>
      <c r="E257" s="1" t="n">
        <v>46295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Allmännings- och besparingsskogar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45670</v>
      </c>
      <c r="E258" s="1" t="n">
        <v>46295</v>
      </c>
      <c r="F258" t="inlineStr">
        <is>
          <t>SÖDERMANLANDS LÄN</t>
        </is>
      </c>
      <c r="G258" t="inlineStr">
        <is>
          <t>ESKILSTUNA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38895-2023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45163</v>
      </c>
      <c r="E259" s="1" t="n">
        <v>46295</v>
      </c>
      <c r="F259" t="inlineStr">
        <is>
          <t>SÖDERMANLANDS LÄN</t>
        </is>
      </c>
      <c r="G259" t="inlineStr">
        <is>
          <t>ESKILSTUNA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45713</v>
      </c>
      <c r="E260" s="1" t="n">
        <v>46295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Allmännings- och besparingsskogar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45994</v>
      </c>
      <c r="E261" s="1" t="n">
        <v>46295</v>
      </c>
      <c r="F261" t="inlineStr">
        <is>
          <t>SÖDERMANLANDS LÄN</t>
        </is>
      </c>
      <c r="G261" t="inlineStr">
        <is>
          <t>ESKILSTUNA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44832</v>
      </c>
      <c r="E262" s="1" t="n">
        <v>46295</v>
      </c>
      <c r="F262" t="inlineStr">
        <is>
          <t>SÖDERMANLANDS LÄN</t>
        </is>
      </c>
      <c r="G262" t="inlineStr">
        <is>
          <t>ESKILSTUNA</t>
        </is>
      </c>
      <c r="I262" t="n">
        <v>19.9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46295</v>
      </c>
      <c r="F263" t="inlineStr">
        <is>
          <t>SÖDERMANLANDS LÄN</t>
        </is>
      </c>
      <c r="G263" t="inlineStr">
        <is>
          <t>ESKILSTUNA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46295</v>
      </c>
      <c r="F264" t="inlineStr">
        <is>
          <t>SÖDERMANLANDS LÄN</t>
        </is>
      </c>
      <c r="G264" t="inlineStr">
        <is>
          <t>ESKILSTUNA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57061-2021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44482</v>
      </c>
      <c r="E265" s="1" t="n">
        <v>46295</v>
      </c>
      <c r="F265" t="inlineStr">
        <is>
          <t>SÖDERMANLANDS LÄN</t>
        </is>
      </c>
      <c r="G265" t="inlineStr">
        <is>
          <t>ESKILSTUNA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46044</v>
      </c>
      <c r="E266" s="1" t="n">
        <v>46295</v>
      </c>
      <c r="F266" t="inlineStr">
        <is>
          <t>SÖDERMANLANDS LÄN</t>
        </is>
      </c>
      <c r="G266" t="inlineStr">
        <is>
          <t>ESKILSTUNA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46295</v>
      </c>
      <c r="F267" t="inlineStr">
        <is>
          <t>SÖDERMANLANDS LÄN</t>
        </is>
      </c>
      <c r="G267" t="inlineStr">
        <is>
          <t>ESKILSTUNA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54586-2025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46295</v>
      </c>
      <c r="F268" t="inlineStr">
        <is>
          <t>SÖDERMANLANDS LÄN</t>
        </is>
      </c>
      <c r="G268" t="inlineStr">
        <is>
          <t>ESKILSTUNA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55812-2022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44886</v>
      </c>
      <c r="E269" s="1" t="n">
        <v>46295</v>
      </c>
      <c r="F269" t="inlineStr">
        <is>
          <t>SÖDERMANLANDS LÄN</t>
        </is>
      </c>
      <c r="G269" t="inlineStr">
        <is>
          <t>ESKILSTUNA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68022-2021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44525</v>
      </c>
      <c r="E270" s="1" t="n">
        <v>46295</v>
      </c>
      <c r="F270" t="inlineStr">
        <is>
          <t>SÖDERMANLANDS LÄN</t>
        </is>
      </c>
      <c r="G270" t="inlineStr">
        <is>
          <t>ESKILSTUNA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54598-2021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44473</v>
      </c>
      <c r="E271" s="1" t="n">
        <v>46295</v>
      </c>
      <c r="F271" t="inlineStr">
        <is>
          <t>SÖDERMANLANDS LÄN</t>
        </is>
      </c>
      <c r="G271" t="inlineStr">
        <is>
          <t>ESKILSTUNA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45077</v>
      </c>
      <c r="E272" s="1" t="n">
        <v>46295</v>
      </c>
      <c r="F272" t="inlineStr">
        <is>
          <t>SÖDERMANLANDS LÄN</t>
        </is>
      </c>
      <c r="G272" t="inlineStr">
        <is>
          <t>ESKILSTUNA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16391-2022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44671</v>
      </c>
      <c r="E273" s="1" t="n">
        <v>46295</v>
      </c>
      <c r="F273" t="inlineStr">
        <is>
          <t>SÖDERMANLANDS LÄN</t>
        </is>
      </c>
      <c r="G273" t="inlineStr">
        <is>
          <t>ESKILSTUNA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16104-2026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46108</v>
      </c>
      <c r="E274" s="1" t="n">
        <v>46295</v>
      </c>
      <c r="F274" t="inlineStr">
        <is>
          <t>SÖDERMANLANDS LÄN</t>
        </is>
      </c>
      <c r="G274" t="inlineStr">
        <is>
          <t>ESKILSTUNA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16131-2026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46295</v>
      </c>
      <c r="F275" t="inlineStr">
        <is>
          <t>SÖDERMANLANDS LÄN</t>
        </is>
      </c>
      <c r="G275" t="inlineStr">
        <is>
          <t>ESKILSTUNA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46108</v>
      </c>
      <c r="E276" s="1" t="n">
        <v>46295</v>
      </c>
      <c r="F276" t="inlineStr">
        <is>
          <t>SÖDERMANLANDS LÄN</t>
        </is>
      </c>
      <c r="G276" t="inlineStr">
        <is>
          <t>ESKILSTUNA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46108</v>
      </c>
      <c r="E277" s="1" t="n">
        <v>46295</v>
      </c>
      <c r="F277" t="inlineStr">
        <is>
          <t>SÖDERMANLANDS LÄN</t>
        </is>
      </c>
      <c r="G277" t="inlineStr">
        <is>
          <t>ESKILSTUNA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46295</v>
      </c>
      <c r="F278" t="inlineStr">
        <is>
          <t>SÖDERMANLANDS LÄN</t>
        </is>
      </c>
      <c r="G278" t="inlineStr">
        <is>
          <t>ESKILSTUNA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46295</v>
      </c>
      <c r="F279" t="inlineStr">
        <is>
          <t>SÖDERMANLANDS LÄN</t>
        </is>
      </c>
      <c r="G279" t="inlineStr">
        <is>
          <t>ESKILSTUNA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46295</v>
      </c>
      <c r="F280" t="inlineStr">
        <is>
          <t>SÖDERMANLANDS LÄN</t>
        </is>
      </c>
      <c r="G280" t="inlineStr">
        <is>
          <t>ESKILSTUNA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62268-2023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45267</v>
      </c>
      <c r="E281" s="1" t="n">
        <v>46295</v>
      </c>
      <c r="F281" t="inlineStr">
        <is>
          <t>SÖDERMANLANDS LÄN</t>
        </is>
      </c>
      <c r="G281" t="inlineStr">
        <is>
          <t>ESKILSTUNA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62278-2023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45267</v>
      </c>
      <c r="E282" s="1" t="n">
        <v>46295</v>
      </c>
      <c r="F282" t="inlineStr">
        <is>
          <t>SÖDERMANLANDS LÄN</t>
        </is>
      </c>
      <c r="G282" t="inlineStr">
        <is>
          <t>ESKILSTUNA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44965</v>
      </c>
      <c r="E283" s="1" t="n">
        <v>46295</v>
      </c>
      <c r="F283" t="inlineStr">
        <is>
          <t>SÖDERMANLANDS LÄN</t>
        </is>
      </c>
      <c r="G283" t="inlineStr">
        <is>
          <t>ESKILSTUNA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47581-2024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45587</v>
      </c>
      <c r="E284" s="1" t="n">
        <v>46295</v>
      </c>
      <c r="F284" t="inlineStr">
        <is>
          <t>SÖDERMANLANDS LÄN</t>
        </is>
      </c>
      <c r="G284" t="inlineStr">
        <is>
          <t>ESKILSTUNA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65614-2021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44516</v>
      </c>
      <c r="E285" s="1" t="n">
        <v>46295</v>
      </c>
      <c r="F285" t="inlineStr">
        <is>
          <t>SÖDERMANLANDS LÄN</t>
        </is>
      </c>
      <c r="G285" t="inlineStr">
        <is>
          <t>ESKILSTUNA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61416-2022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44916</v>
      </c>
      <c r="E286" s="1" t="n">
        <v>46295</v>
      </c>
      <c r="F286" t="inlineStr">
        <is>
          <t>SÖDERMANLANDS LÄN</t>
        </is>
      </c>
      <c r="G286" t="inlineStr">
        <is>
          <t>ESKILSTUNA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55800-2022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44888</v>
      </c>
      <c r="E287" s="1" t="n">
        <v>46295</v>
      </c>
      <c r="F287" t="inlineStr">
        <is>
          <t>SÖDERMANLANDS LÄN</t>
        </is>
      </c>
      <c r="G287" t="inlineStr">
        <is>
          <t>ESKILSTUNA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44865</v>
      </c>
      <c r="E288" s="1" t="n">
        <v>46295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Kyrkan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18105-2026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46125</v>
      </c>
      <c r="E289" s="1" t="n">
        <v>46295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17376-2025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45756</v>
      </c>
      <c r="E290" s="1" t="n">
        <v>46295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Allmännings- och besparingsskogar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44664</v>
      </c>
      <c r="E291" s="1" t="n">
        <v>46295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25227-2022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44729</v>
      </c>
      <c r="E292" s="1" t="n">
        <v>46295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46295</v>
      </c>
      <c r="F293" t="inlineStr">
        <is>
          <t>SÖDERMANLANDS LÄN</t>
        </is>
      </c>
      <c r="G293" t="inlineStr">
        <is>
          <t>ESKILSTUNA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45407</v>
      </c>
      <c r="E294" s="1" t="n">
        <v>46295</v>
      </c>
      <c r="F294" t="inlineStr">
        <is>
          <t>SÖDERMANLANDS LÄN</t>
        </is>
      </c>
      <c r="G294" t="inlineStr">
        <is>
          <t>ESKILSTUNA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46295</v>
      </c>
      <c r="F295" t="inlineStr">
        <is>
          <t>SÖDERMANLANDS LÄN</t>
        </is>
      </c>
      <c r="G295" t="inlineStr">
        <is>
          <t>ESKILSTUNA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45056</v>
      </c>
      <c r="E296" s="1" t="n">
        <v>46295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45079</v>
      </c>
      <c r="E297" s="1" t="n">
        <v>46295</v>
      </c>
      <c r="F297" t="inlineStr">
        <is>
          <t>SÖDERMANLANDS LÄN</t>
        </is>
      </c>
      <c r="G297" t="inlineStr">
        <is>
          <t>ESKILSTUNA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46295</v>
      </c>
      <c r="F298" t="inlineStr">
        <is>
          <t>SÖDERMANLANDS LÄN</t>
        </is>
      </c>
      <c r="G298" t="inlineStr">
        <is>
          <t>ESKILSTUNA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59276-2021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44490</v>
      </c>
      <c r="E299" s="1" t="n">
        <v>46295</v>
      </c>
      <c r="F299" t="inlineStr">
        <is>
          <t>SÖDERMANLANDS LÄN</t>
        </is>
      </c>
      <c r="G299" t="inlineStr">
        <is>
          <t>ESKILSTUNA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31314-2025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45833</v>
      </c>
      <c r="E300" s="1" t="n">
        <v>46295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44862-2025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45918</v>
      </c>
      <c r="E301" s="1" t="n">
        <v>46295</v>
      </c>
      <c r="F301" t="inlineStr">
        <is>
          <t>SÖDERMANLANDS LÄN</t>
        </is>
      </c>
      <c r="G301" t="inlineStr">
        <is>
          <t>ESKILSTUNA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57213-2023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45245</v>
      </c>
      <c r="E302" s="1" t="n">
        <v>46295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Allmännings- och besparingsskogar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57538-2022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44889</v>
      </c>
      <c r="E303" s="1" t="n">
        <v>46295</v>
      </c>
      <c r="F303" t="inlineStr">
        <is>
          <t>SÖDERMANLANDS LÄN</t>
        </is>
      </c>
      <c r="G303" t="inlineStr">
        <is>
          <t>ESKILSTUNA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55699-2024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45622</v>
      </c>
      <c r="E304" s="1" t="n">
        <v>46295</v>
      </c>
      <c r="F304" t="inlineStr">
        <is>
          <t>SÖDERMANLANDS LÄN</t>
        </is>
      </c>
      <c r="G304" t="inlineStr">
        <is>
          <t>ESKILSTUNA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44930</v>
      </c>
      <c r="E305" s="1" t="n">
        <v>46295</v>
      </c>
      <c r="F305" t="inlineStr">
        <is>
          <t>SÖDERMANLANDS LÄN</t>
        </is>
      </c>
      <c r="G305" t="inlineStr">
        <is>
          <t>ESKILSTUNA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36565-2022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46295</v>
      </c>
      <c r="F306" t="inlineStr">
        <is>
          <t>SÖDERMANLANDS LÄN</t>
        </is>
      </c>
      <c r="G306" t="inlineStr">
        <is>
          <t>ESKILSTUNA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61170-2021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44497</v>
      </c>
      <c r="E307" s="1" t="n">
        <v>46295</v>
      </c>
      <c r="F307" t="inlineStr">
        <is>
          <t>SÖDERMANLANDS LÄN</t>
        </is>
      </c>
      <c r="G307" t="inlineStr">
        <is>
          <t>ESKILSTUNA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45099</v>
      </c>
      <c r="E308" s="1" t="n">
        <v>46295</v>
      </c>
      <c r="F308" t="inlineStr">
        <is>
          <t>SÖDERMANLANDS LÄN</t>
        </is>
      </c>
      <c r="G308" t="inlineStr">
        <is>
          <t>ESKILSTUNA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44966</v>
      </c>
      <c r="E309" s="1" t="n">
        <v>46295</v>
      </c>
      <c r="F309" t="inlineStr">
        <is>
          <t>SÖDERMANLANDS LÄN</t>
        </is>
      </c>
      <c r="G309" t="inlineStr">
        <is>
          <t>ESKILSTUNA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19271-2023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45049</v>
      </c>
      <c r="E310" s="1" t="n">
        <v>46295</v>
      </c>
      <c r="F310" t="inlineStr">
        <is>
          <t>SÖDERMANLANDS LÄN</t>
        </is>
      </c>
      <c r="G310" t="inlineStr">
        <is>
          <t>ESKILSTUNA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1340-2024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45303</v>
      </c>
      <c r="E311" s="1" t="n">
        <v>46295</v>
      </c>
      <c r="F311" t="inlineStr">
        <is>
          <t>SÖDERMANLANDS LÄN</t>
        </is>
      </c>
      <c r="G311" t="inlineStr">
        <is>
          <t>ESKILSTUNA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52274-2024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45608</v>
      </c>
      <c r="E312" s="1" t="n">
        <v>46295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Övriga Aktiebolag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46295</v>
      </c>
      <c r="F313" t="inlineStr">
        <is>
          <t>SÖDERMANLANDS LÄN</t>
        </is>
      </c>
      <c r="G313" t="inlineStr">
        <is>
          <t>ESKILSTUNA</t>
        </is>
      </c>
      <c r="I313" t="n">
        <v>10.8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50484-2025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45945</v>
      </c>
      <c r="E314" s="1" t="n">
        <v>46295</v>
      </c>
      <c r="F314" t="inlineStr">
        <is>
          <t>SÖDERMANLANDS LÄN</t>
        </is>
      </c>
      <c r="G314" t="inlineStr">
        <is>
          <t>ESKILSTUNA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45007</v>
      </c>
      <c r="E315" s="1" t="n">
        <v>46295</v>
      </c>
      <c r="F315" t="inlineStr">
        <is>
          <t>SÖDERMANLANDS LÄN</t>
        </is>
      </c>
      <c r="G315" t="inlineStr">
        <is>
          <t>ESKILSTUNA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45271</v>
      </c>
      <c r="E316" s="1" t="n">
        <v>46295</v>
      </c>
      <c r="F316" t="inlineStr">
        <is>
          <t>SÖDERMANLANDS LÄN</t>
        </is>
      </c>
      <c r="G316" t="inlineStr">
        <is>
          <t>ESKILSTUNA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70265-2021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44536</v>
      </c>
      <c r="E317" s="1" t="n">
        <v>46295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46608-2024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45582</v>
      </c>
      <c r="E318" s="1" t="n">
        <v>46295</v>
      </c>
      <c r="F318" t="inlineStr">
        <is>
          <t>SÖDERMANLANDS LÄN</t>
        </is>
      </c>
      <c r="G318" t="inlineStr">
        <is>
          <t>ESKILSTUNA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46295</v>
      </c>
      <c r="F319" t="inlineStr">
        <is>
          <t>SÖDERMANLANDS LÄN</t>
        </is>
      </c>
      <c r="G319" t="inlineStr">
        <is>
          <t>ESKILSTUNA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44701</v>
      </c>
      <c r="E320" s="1" t="n">
        <v>46295</v>
      </c>
      <c r="F320" t="inlineStr">
        <is>
          <t>SÖDERMANLANDS LÄN</t>
        </is>
      </c>
      <c r="G320" t="inlineStr">
        <is>
          <t>ESKILSTUNA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68020-2021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44525</v>
      </c>
      <c r="E321" s="1" t="n">
        <v>46295</v>
      </c>
      <c r="F321" t="inlineStr">
        <is>
          <t>SÖDERMANLANDS LÄN</t>
        </is>
      </c>
      <c r="G321" t="inlineStr">
        <is>
          <t>ESKILSTUNA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38058-2024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45544</v>
      </c>
      <c r="E322" s="1" t="n">
        <v>46295</v>
      </c>
      <c r="F322" t="inlineStr">
        <is>
          <t>SÖDERMANLANDS LÄN</t>
        </is>
      </c>
      <c r="G322" t="inlineStr">
        <is>
          <t>ESKILSTUNA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46295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45069</v>
      </c>
      <c r="E324" s="1" t="n">
        <v>46295</v>
      </c>
      <c r="F324" t="inlineStr">
        <is>
          <t>SÖDERMANLANDS LÄN</t>
        </is>
      </c>
      <c r="G324" t="inlineStr">
        <is>
          <t>ESKILSTUNA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10715-2022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44626</v>
      </c>
      <c r="E325" s="1" t="n">
        <v>46295</v>
      </c>
      <c r="F325" t="inlineStr">
        <is>
          <t>SÖDERMANLANDS LÄN</t>
        </is>
      </c>
      <c r="G325" t="inlineStr">
        <is>
          <t>ESKILSTUNA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44927-2023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45190</v>
      </c>
      <c r="E326" s="1" t="n">
        <v>46295</v>
      </c>
      <c r="F326" t="inlineStr">
        <is>
          <t>SÖDERMANLANDS LÄN</t>
        </is>
      </c>
      <c r="G326" t="inlineStr">
        <is>
          <t>ESKILSTUNA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46295</v>
      </c>
      <c r="F327" t="inlineStr">
        <is>
          <t>SÖDERMANLANDS LÄN</t>
        </is>
      </c>
      <c r="G327" t="inlineStr">
        <is>
          <t>ESKILSTUNA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45435</v>
      </c>
      <c r="E328" s="1" t="n">
        <v>46295</v>
      </c>
      <c r="F328" t="inlineStr">
        <is>
          <t>SÖDERMANLANDS LÄN</t>
        </is>
      </c>
      <c r="G328" t="inlineStr">
        <is>
          <t>ESKILSTUNA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22605-2023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45071</v>
      </c>
      <c r="E329" s="1" t="n">
        <v>46295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Kyrkan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44572</v>
      </c>
      <c r="E330" s="1" t="n">
        <v>46295</v>
      </c>
      <c r="F330" t="inlineStr">
        <is>
          <t>SÖDERMANLANDS LÄN</t>
        </is>
      </c>
      <c r="G330" t="inlineStr">
        <is>
          <t>ESKILSTUNA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7406-2022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44606</v>
      </c>
      <c r="E331" s="1" t="n">
        <v>46295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46295</v>
      </c>
      <c r="F332" t="inlineStr">
        <is>
          <t>SÖDERMANLANDS LÄN</t>
        </is>
      </c>
      <c r="G332" t="inlineStr">
        <is>
          <t>ESKILSTUNA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60533-2024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46295</v>
      </c>
      <c r="F333" t="inlineStr">
        <is>
          <t>SÖDERMANLANDS LÄN</t>
        </is>
      </c>
      <c r="G333" t="inlineStr">
        <is>
          <t>ESKILSTUNA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22759-2026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46157</v>
      </c>
      <c r="E334" s="1" t="n">
        <v>46295</v>
      </c>
      <c r="F334" t="inlineStr">
        <is>
          <t>SÖDERMANLANDS LÄN</t>
        </is>
      </c>
      <c r="G334" t="inlineStr">
        <is>
          <t>ESKILSTUNA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45387</v>
      </c>
      <c r="E335" s="1" t="n">
        <v>46295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Kyrkan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29646-2023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46295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9711-2025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45715</v>
      </c>
      <c r="E337" s="1" t="n">
        <v>46295</v>
      </c>
      <c r="F337" t="inlineStr">
        <is>
          <t>SÖDERMANLANDS LÄN</t>
        </is>
      </c>
      <c r="G337" t="inlineStr">
        <is>
          <t>ESKILSTUNA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40930-2025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45897</v>
      </c>
      <c r="E338" s="1" t="n">
        <v>46295</v>
      </c>
      <c r="F338" t="inlineStr">
        <is>
          <t>SÖDERMANLANDS LÄN</t>
        </is>
      </c>
      <c r="G338" t="inlineStr">
        <is>
          <t>ESKILSTUNA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49061-2023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45210</v>
      </c>
      <c r="E339" s="1" t="n">
        <v>46295</v>
      </c>
      <c r="F339" t="inlineStr">
        <is>
          <t>SÖDERMANLANDS LÄN</t>
        </is>
      </c>
      <c r="G339" t="inlineStr">
        <is>
          <t>ESKILSTUNA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46162</v>
      </c>
      <c r="E340" s="1" t="n">
        <v>46295</v>
      </c>
      <c r="F340" t="inlineStr">
        <is>
          <t>SÖDERMANLANDS LÄN</t>
        </is>
      </c>
      <c r="G340" t="inlineStr">
        <is>
          <t>ESKILSTUNA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52203-2025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45953</v>
      </c>
      <c r="E341" s="1" t="n">
        <v>46295</v>
      </c>
      <c r="F341" t="inlineStr">
        <is>
          <t>SÖDERMANLANDS LÄN</t>
        </is>
      </c>
      <c r="G341" t="inlineStr">
        <is>
          <t>ESKILSTUNA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23665-2026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46164</v>
      </c>
      <c r="E342" s="1" t="n">
        <v>46295</v>
      </c>
      <c r="F342" t="inlineStr">
        <is>
          <t>SÖDERMANLANDS LÄN</t>
        </is>
      </c>
      <c r="G342" t="inlineStr">
        <is>
          <t>ESKILSTUNA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46295</v>
      </c>
      <c r="F343" t="inlineStr">
        <is>
          <t>SÖDERMANLANDS LÄN</t>
        </is>
      </c>
      <c r="G343" t="inlineStr">
        <is>
          <t>ESKILSTUNA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22388-2026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46295</v>
      </c>
      <c r="F344" t="inlineStr">
        <is>
          <t>SÖDERMANLANDS LÄN</t>
        </is>
      </c>
      <c r="G344" t="inlineStr">
        <is>
          <t>ESKILSTUNA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52221-2025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45953</v>
      </c>
      <c r="E345" s="1" t="n">
        <v>46295</v>
      </c>
      <c r="F345" t="inlineStr">
        <is>
          <t>SÖDERMANLANDS LÄN</t>
        </is>
      </c>
      <c r="G345" t="inlineStr">
        <is>
          <t>ESKILSTUNA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55763-2022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44886</v>
      </c>
      <c r="E346" s="1" t="n">
        <v>46295</v>
      </c>
      <c r="F346" t="inlineStr">
        <is>
          <t>SÖDERMANLANDS LÄN</t>
        </is>
      </c>
      <c r="G346" t="inlineStr">
        <is>
          <t>ESKILSTUNA</t>
        </is>
      </c>
      <c r="I346" t="n">
        <v>15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45183</v>
      </c>
      <c r="E347" s="1" t="n">
        <v>46295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Allmännings- och besparingsskogar</t>
        </is>
      </c>
      <c r="I347" t="n">
        <v>15.8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55282-2023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45237</v>
      </c>
      <c r="E348" s="1" t="n">
        <v>46295</v>
      </c>
      <c r="F348" t="inlineStr">
        <is>
          <t>SÖDERMANLANDS LÄN</t>
        </is>
      </c>
      <c r="G348" t="inlineStr">
        <is>
          <t>ESKILSTUNA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46295</v>
      </c>
      <c r="F349" t="inlineStr">
        <is>
          <t>SÖDERMANLANDS LÄN</t>
        </is>
      </c>
      <c r="G349" t="inlineStr">
        <is>
          <t>ESKILSTUNA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45685</v>
      </c>
      <c r="E350" s="1" t="n">
        <v>46295</v>
      </c>
      <c r="F350" t="inlineStr">
        <is>
          <t>SÖDERMANLANDS LÄN</t>
        </is>
      </c>
      <c r="G350" t="inlineStr">
        <is>
          <t>ESKILSTUNA</t>
        </is>
      </c>
      <c r="I350" t="n">
        <v>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15917-2022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44664</v>
      </c>
      <c r="E351" s="1" t="n">
        <v>46295</v>
      </c>
      <c r="F351" t="inlineStr">
        <is>
          <t>SÖDERMANLANDS LÄN</t>
        </is>
      </c>
      <c r="G351" t="inlineStr">
        <is>
          <t>ESKILSTUNA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45723</v>
      </c>
      <c r="E352" s="1" t="n">
        <v>46295</v>
      </c>
      <c r="F352" t="inlineStr">
        <is>
          <t>SÖDERMANLANDS LÄN</t>
        </is>
      </c>
      <c r="G352" t="inlineStr">
        <is>
          <t>ESKILSTUNA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55963-2023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45240</v>
      </c>
      <c r="E353" s="1" t="n">
        <v>46295</v>
      </c>
      <c r="F353" t="inlineStr">
        <is>
          <t>SÖDERMANLANDS LÄN</t>
        </is>
      </c>
      <c r="G353" t="inlineStr">
        <is>
          <t>ESKILSTUNA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25229-2022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44729</v>
      </c>
      <c r="E354" s="1" t="n">
        <v>46295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Allmännings- och besparingsskogar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61831-2023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45266</v>
      </c>
      <c r="E355" s="1" t="n">
        <v>46295</v>
      </c>
      <c r="F355" t="inlineStr">
        <is>
          <t>SÖDERMANLANDS LÄN</t>
        </is>
      </c>
      <c r="G355" t="inlineStr">
        <is>
          <t>ESKILSTUNA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29068-2022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44749</v>
      </c>
      <c r="E356" s="1" t="n">
        <v>46295</v>
      </c>
      <c r="F356" t="inlineStr">
        <is>
          <t>SÖDERMANLANDS LÄN</t>
        </is>
      </c>
      <c r="G356" t="inlineStr">
        <is>
          <t>ESKILSTUNA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1330-2024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45303</v>
      </c>
      <c r="E357" s="1" t="n">
        <v>46295</v>
      </c>
      <c r="F357" t="inlineStr">
        <is>
          <t>SÖDERMANLANDS LÄN</t>
        </is>
      </c>
      <c r="G357" t="inlineStr">
        <is>
          <t>ESKILSTUNA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1334-2024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45303</v>
      </c>
      <c r="E358" s="1" t="n">
        <v>46295</v>
      </c>
      <c r="F358" t="inlineStr">
        <is>
          <t>SÖDERMANLANDS LÄN</t>
        </is>
      </c>
      <c r="G358" t="inlineStr">
        <is>
          <t>ESKILSTUNA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45159</v>
      </c>
      <c r="E359" s="1" t="n">
        <v>46295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Kommuner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25483-2026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46177</v>
      </c>
      <c r="E360" s="1" t="n">
        <v>46295</v>
      </c>
      <c r="F360" t="inlineStr">
        <is>
          <t>SÖDERMANLANDS LÄN</t>
        </is>
      </c>
      <c r="G360" t="inlineStr">
        <is>
          <t>ESKILSTUNA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29750-2022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44755</v>
      </c>
      <c r="E361" s="1" t="n">
        <v>46295</v>
      </c>
      <c r="F361" t="inlineStr">
        <is>
          <t>SÖDERMANLANDS LÄN</t>
        </is>
      </c>
      <c r="G361" t="inlineStr">
        <is>
          <t>ESKILSTUNA</t>
        </is>
      </c>
      <c r="I361" t="n">
        <v>20.1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46295</v>
      </c>
      <c r="F362" t="inlineStr">
        <is>
          <t>SÖDERMANLANDS LÄN</t>
        </is>
      </c>
      <c r="G362" t="inlineStr">
        <is>
          <t>ESKILSTUNA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26022-2026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46181</v>
      </c>
      <c r="E363" s="1" t="n">
        <v>46295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30968-2022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44768</v>
      </c>
      <c r="E364" s="1" t="n">
        <v>46295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Sveaskog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45225</v>
      </c>
      <c r="E365" s="1" t="n">
        <v>46295</v>
      </c>
      <c r="F365" t="inlineStr">
        <is>
          <t>SÖDERMANLANDS LÄN</t>
        </is>
      </c>
      <c r="G365" t="inlineStr">
        <is>
          <t>ESKILSTUNA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25998-2026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46295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6725-2023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44966</v>
      </c>
      <c r="E367" s="1" t="n">
        <v>46295</v>
      </c>
      <c r="F367" t="inlineStr">
        <is>
          <t>SÖDERMANLANDS LÄN</t>
        </is>
      </c>
      <c r="G367" t="inlineStr">
        <is>
          <t>ESKILSTUNA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36636-2022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44804</v>
      </c>
      <c r="E368" s="1" t="n">
        <v>46295</v>
      </c>
      <c r="F368" t="inlineStr">
        <is>
          <t>SÖDERMANLANDS LÄN</t>
        </is>
      </c>
      <c r="G368" t="inlineStr">
        <is>
          <t>ESKILSTUNA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61861-2022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46295</v>
      </c>
      <c r="F369" t="inlineStr">
        <is>
          <t>SÖDERMANLANDS LÄN</t>
        </is>
      </c>
      <c r="G369" t="inlineStr">
        <is>
          <t>ESKILSTUNA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26018-2026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46295</v>
      </c>
      <c r="F370" t="inlineStr">
        <is>
          <t>SÖDERMANLANDS LÄN</t>
        </is>
      </c>
      <c r="G370" t="inlineStr">
        <is>
          <t>ESKILSTUNA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27550-2026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46295</v>
      </c>
      <c r="F371" t="inlineStr">
        <is>
          <t>SÖDERMANLANDS LÄN</t>
        </is>
      </c>
      <c r="G371" t="inlineStr">
        <is>
          <t>ESKILSTUNA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44998</v>
      </c>
      <c r="E372" s="1" t="n">
        <v>46295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Kommuner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46191</v>
      </c>
      <c r="E373" s="1" t="n">
        <v>46295</v>
      </c>
      <c r="F373" t="inlineStr">
        <is>
          <t>SÖDERMANLANDS LÄN</t>
        </is>
      </c>
      <c r="G373" t="inlineStr">
        <is>
          <t>ESKILSTUNA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61830-2023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45266</v>
      </c>
      <c r="E374" s="1" t="n">
        <v>46295</v>
      </c>
      <c r="F374" t="inlineStr">
        <is>
          <t>SÖDERMANLANDS LÄN</t>
        </is>
      </c>
      <c r="G374" t="inlineStr">
        <is>
          <t>ESKILSTUNA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27779-2026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46191</v>
      </c>
      <c r="E375" s="1" t="n">
        <v>46295</v>
      </c>
      <c r="F375" t="inlineStr">
        <is>
          <t>SÖDERMANLANDS LÄN</t>
        </is>
      </c>
      <c r="G375" t="inlineStr">
        <is>
          <t>ESKILSTUNA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46043</v>
      </c>
      <c r="E376" s="1" t="n">
        <v>46295</v>
      </c>
      <c r="F376" t="inlineStr">
        <is>
          <t>SÖDERMANLANDS LÄN</t>
        </is>
      </c>
      <c r="G376" t="inlineStr">
        <is>
          <t>ESKILSTUNA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35367-2024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45531</v>
      </c>
      <c r="E377" s="1" t="n">
        <v>46295</v>
      </c>
      <c r="F377" t="inlineStr">
        <is>
          <t>SÖDERMANLANDS LÄN</t>
        </is>
      </c>
      <c r="G377" t="inlineStr">
        <is>
          <t>ESKILSTUNA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36613-2024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45537</v>
      </c>
      <c r="E378" s="1" t="n">
        <v>46295</v>
      </c>
      <c r="F378" t="inlineStr">
        <is>
          <t>SÖDERMANLANDS LÄN</t>
        </is>
      </c>
      <c r="G378" t="inlineStr">
        <is>
          <t>ESKILSTUNA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44582</v>
      </c>
      <c r="E379" s="1" t="n">
        <v>46295</v>
      </c>
      <c r="F379" t="inlineStr">
        <is>
          <t>SÖDERMANLANDS LÄN</t>
        </is>
      </c>
      <c r="G379" t="inlineStr">
        <is>
          <t>ESKILSTUNA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36142-2022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44803</v>
      </c>
      <c r="E380" s="1" t="n">
        <v>46295</v>
      </c>
      <c r="F380" t="inlineStr">
        <is>
          <t>SÖDERMANLANDS LÄN</t>
        </is>
      </c>
      <c r="G380" t="inlineStr">
        <is>
          <t>ESKILSTUNA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36153-2022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44803</v>
      </c>
      <c r="E381" s="1" t="n">
        <v>46295</v>
      </c>
      <c r="F381" t="inlineStr">
        <is>
          <t>SÖDERMANLANDS LÄN</t>
        </is>
      </c>
      <c r="G381" t="inlineStr">
        <is>
          <t>ESKILSTUNA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70613-2021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44537</v>
      </c>
      <c r="E382" s="1" t="n">
        <v>46295</v>
      </c>
      <c r="F382" t="inlineStr">
        <is>
          <t>SÖDERMANLANDS LÄN</t>
        </is>
      </c>
      <c r="G382" t="inlineStr">
        <is>
          <t>ESKILSTUNA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28428-2026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46197</v>
      </c>
      <c r="E383" s="1" t="n">
        <v>46295</v>
      </c>
      <c r="F383" t="inlineStr">
        <is>
          <t>SÖDERMANLANDS LÄN</t>
        </is>
      </c>
      <c r="G383" t="inlineStr">
        <is>
          <t>ESKILSTUNA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29053-2026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46199</v>
      </c>
      <c r="E384" s="1" t="n">
        <v>46295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46295</v>
      </c>
      <c r="F385" t="inlineStr">
        <is>
          <t>SÖDERMANLANDS LÄN</t>
        </is>
      </c>
      <c r="G385" t="inlineStr">
        <is>
          <t>ESKILSTUNA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29051-2026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46199</v>
      </c>
      <c r="E386" s="1" t="n">
        <v>46295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44615-2022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44839</v>
      </c>
      <c r="E387" s="1" t="n">
        <v>46295</v>
      </c>
      <c r="F387" t="inlineStr">
        <is>
          <t>SÖDERMANLANDS LÄN</t>
        </is>
      </c>
      <c r="G387" t="inlineStr">
        <is>
          <t>ESKILSTUNA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45763</v>
      </c>
      <c r="E388" s="1" t="n">
        <v>46295</v>
      </c>
      <c r="F388" t="inlineStr">
        <is>
          <t>SÖDERMANLANDS LÄN</t>
        </is>
      </c>
      <c r="G388" t="inlineStr">
        <is>
          <t>ESKILSTUNA</t>
        </is>
      </c>
      <c r="I388" t="n">
        <v>15.6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46083</v>
      </c>
      <c r="E389" s="1" t="n">
        <v>46295</v>
      </c>
      <c r="F389" t="inlineStr">
        <is>
          <t>SÖDERMANLANDS LÄN</t>
        </is>
      </c>
      <c r="G389" t="inlineStr">
        <is>
          <t>ESKILSTUNA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46295</v>
      </c>
      <c r="F390" t="inlineStr">
        <is>
          <t>SÖDERMANLANDS LÄN</t>
        </is>
      </c>
      <c r="G390" t="inlineStr">
        <is>
          <t>ESKILSTUNA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44874</v>
      </c>
      <c r="E391" s="1" t="n">
        <v>46295</v>
      </c>
      <c r="F391" t="inlineStr">
        <is>
          <t>SÖDERMANLANDS LÄN</t>
        </is>
      </c>
      <c r="G391" t="inlineStr">
        <is>
          <t>ESKILSTUNA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46295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22767-2026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46157</v>
      </c>
      <c r="E393" s="1" t="n">
        <v>46295</v>
      </c>
      <c r="F393" t="inlineStr">
        <is>
          <t>SÖDERMANLANDS LÄN</t>
        </is>
      </c>
      <c r="G393" t="inlineStr">
        <is>
          <t>ESKILSTUNA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28582-2023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46295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Sveaskog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45005</v>
      </c>
      <c r="E395" s="1" t="n">
        <v>46295</v>
      </c>
      <c r="F395" t="inlineStr">
        <is>
          <t>SÖDERMANLANDS LÄN</t>
        </is>
      </c>
      <c r="G395" t="inlineStr">
        <is>
          <t>ESKILSTUNA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39291-2023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46295</v>
      </c>
      <c r="F396" t="inlineStr">
        <is>
          <t>SÖDERMANLANDS LÄN</t>
        </is>
      </c>
      <c r="G396" t="inlineStr">
        <is>
          <t>ESKILSTUNA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44942</v>
      </c>
      <c r="E397" s="1" t="n">
        <v>46295</v>
      </c>
      <c r="F397" t="inlineStr">
        <is>
          <t>SÖDERMANLANDS LÄN</t>
        </is>
      </c>
      <c r="G397" t="inlineStr">
        <is>
          <t>ESKILSTUNA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40386-2022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44819</v>
      </c>
      <c r="E398" s="1" t="n">
        <v>46295</v>
      </c>
      <c r="F398" t="inlineStr">
        <is>
          <t>SÖDERMANLANDS LÄN</t>
        </is>
      </c>
      <c r="G398" t="inlineStr">
        <is>
          <t>ESKILSTUNA</t>
        </is>
      </c>
      <c r="I398" t="n">
        <v>11.6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46295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Övriga Aktiebolag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45062</v>
      </c>
      <c r="E400" s="1" t="n">
        <v>46295</v>
      </c>
      <c r="F400" t="inlineStr">
        <is>
          <t>SÖDERMANLANDS LÄN</t>
        </is>
      </c>
      <c r="G400" t="inlineStr">
        <is>
          <t>ESKILSTUNA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30963-2026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46213</v>
      </c>
      <c r="E401" s="1" t="n">
        <v>46295</v>
      </c>
      <c r="F401" t="inlineStr">
        <is>
          <t>SÖDERMANLANDS LÄN</t>
        </is>
      </c>
      <c r="G401" t="inlineStr">
        <is>
          <t>ESKILSTUNA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45006</v>
      </c>
      <c r="E402" s="1" t="n">
        <v>46295</v>
      </c>
      <c r="F402" t="inlineStr">
        <is>
          <t>SÖDERMANLANDS LÄN</t>
        </is>
      </c>
      <c r="G402" t="inlineStr">
        <is>
          <t>ESKILSTUNA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46295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Allmännings- och besparingsskogar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55673-2024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45622</v>
      </c>
      <c r="E404" s="1" t="n">
        <v>46295</v>
      </c>
      <c r="F404" t="inlineStr">
        <is>
          <t>SÖDERMANLANDS LÄN</t>
        </is>
      </c>
      <c r="G404" t="inlineStr">
        <is>
          <t>ESKILSTUNA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46254</v>
      </c>
      <c r="E405" s="1" t="n">
        <v>46295</v>
      </c>
      <c r="F405" t="inlineStr">
        <is>
          <t>SÖDERMANLANDS LÄN</t>
        </is>
      </c>
      <c r="G405" t="inlineStr">
        <is>
          <t>ESKILSTUNA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46295</v>
      </c>
      <c r="F406" t="inlineStr">
        <is>
          <t>SÖDERMANLANDS LÄN</t>
        </is>
      </c>
      <c r="G406" t="inlineStr">
        <is>
          <t>ESKILSTUNA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31131-2026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46216</v>
      </c>
      <c r="E407" s="1" t="n">
        <v>46295</v>
      </c>
      <c r="F407" t="inlineStr">
        <is>
          <t>SÖDERMANLANDS LÄN</t>
        </is>
      </c>
      <c r="G407" t="inlineStr">
        <is>
          <t>ESKILSTUNA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31200-2026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46217</v>
      </c>
      <c r="E408" s="1" t="n">
        <v>46295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Kommuner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31203-2026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46217</v>
      </c>
      <c r="E409" s="1" t="n">
        <v>46295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Kommuner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45004</v>
      </c>
      <c r="E410" s="1" t="n">
        <v>46295</v>
      </c>
      <c r="F410" t="inlineStr">
        <is>
          <t>SÖDERMANLANDS LÄN</t>
        </is>
      </c>
      <c r="G410" t="inlineStr">
        <is>
          <t>ESKILSTUNA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31108-2026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46216</v>
      </c>
      <c r="E411" s="1" t="n">
        <v>46295</v>
      </c>
      <c r="F411" t="inlineStr">
        <is>
          <t>SÖDERMANLANDS LÄN</t>
        </is>
      </c>
      <c r="G411" t="inlineStr">
        <is>
          <t>ESKILSTUNA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46872-2022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44851</v>
      </c>
      <c r="E412" s="1" t="n">
        <v>46295</v>
      </c>
      <c r="F412" t="inlineStr">
        <is>
          <t>SÖDERMANLANDS LÄN</t>
        </is>
      </c>
      <c r="G412" t="inlineStr">
        <is>
          <t>ESKILSTUNA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46796-2023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45198</v>
      </c>
      <c r="E413" s="1" t="n">
        <v>46295</v>
      </c>
      <c r="F413" t="inlineStr">
        <is>
          <t>SÖDERMANLANDS LÄN</t>
        </is>
      </c>
      <c r="G413" t="inlineStr">
        <is>
          <t>ESKILSTUNA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31320-2026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46219</v>
      </c>
      <c r="E414" s="1" t="n">
        <v>46295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Sveaskog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25071-2022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44729</v>
      </c>
      <c r="E415" s="1" t="n">
        <v>46295</v>
      </c>
      <c r="F415" t="inlineStr">
        <is>
          <t>SÖDERMANLANDS LÄN</t>
        </is>
      </c>
      <c r="G415" t="inlineStr">
        <is>
          <t>ESKILSTUNA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59151-2022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44904</v>
      </c>
      <c r="E416" s="1" t="n">
        <v>46295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Allmännings- och besparingsskogar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3145-2023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44946</v>
      </c>
      <c r="E417" s="1" t="n">
        <v>46295</v>
      </c>
      <c r="F417" t="inlineStr">
        <is>
          <t>SÖDERMANLANDS LÄN</t>
        </is>
      </c>
      <c r="G417" t="inlineStr">
        <is>
          <t>ESKILSTUNA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57541-2022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44889</v>
      </c>
      <c r="E418" s="1" t="n">
        <v>46295</v>
      </c>
      <c r="F418" t="inlineStr">
        <is>
          <t>SÖDERMANLANDS LÄN</t>
        </is>
      </c>
      <c r="G418" t="inlineStr">
        <is>
          <t>ESKILSTUNA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4621-2022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44592</v>
      </c>
      <c r="E419" s="1" t="n">
        <v>46295</v>
      </c>
      <c r="F419" t="inlineStr">
        <is>
          <t>SÖDERMANLANDS LÄN</t>
        </is>
      </c>
      <c r="G419" t="inlineStr">
        <is>
          <t>ESKILSTUNA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20984-2023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45061</v>
      </c>
      <c r="E420" s="1" t="n">
        <v>46295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35076-2022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44797</v>
      </c>
      <c r="E421" s="1" t="n">
        <v>46295</v>
      </c>
      <c r="F421" t="inlineStr">
        <is>
          <t>SÖDERMANLANDS LÄN</t>
        </is>
      </c>
      <c r="G421" t="inlineStr">
        <is>
          <t>ESKILSTUNA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45329</v>
      </c>
      <c r="E422" s="1" t="n">
        <v>46295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Kyrkan</t>
        </is>
      </c>
      <c r="I422" t="n">
        <v>12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4249-2023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44953</v>
      </c>
      <c r="E423" s="1" t="n">
        <v>46295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Allmännings- och besparingsskogar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45303</v>
      </c>
      <c r="E424" s="1" t="n">
        <v>46295</v>
      </c>
      <c r="F424" t="inlineStr">
        <is>
          <t>SÖDERMANLANDS LÄN</t>
        </is>
      </c>
      <c r="G424" t="inlineStr">
        <is>
          <t>ESKILSTUNA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13153-2026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46092</v>
      </c>
      <c r="E425" s="1" t="n">
        <v>46295</v>
      </c>
      <c r="F425" t="inlineStr">
        <is>
          <t>SÖDERMANLANDS LÄN</t>
        </is>
      </c>
      <c r="G425" t="inlineStr">
        <is>
          <t>ESKILSTUNA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40574-2023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45170</v>
      </c>
      <c r="E426" s="1" t="n">
        <v>46295</v>
      </c>
      <c r="F426" t="inlineStr">
        <is>
          <t>SÖDERMANLANDS LÄN</t>
        </is>
      </c>
      <c r="G426" t="inlineStr">
        <is>
          <t>ESKILSTUNA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1343-2024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45303</v>
      </c>
      <c r="E427" s="1" t="n">
        <v>46295</v>
      </c>
      <c r="F427" t="inlineStr">
        <is>
          <t>SÖDERMANLANDS LÄN</t>
        </is>
      </c>
      <c r="G427" t="inlineStr">
        <is>
          <t>ESKILSTUNA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36648-2022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44804</v>
      </c>
      <c r="E428" s="1" t="n">
        <v>46295</v>
      </c>
      <c r="F428" t="inlineStr">
        <is>
          <t>SÖDERMANLANDS LÄN</t>
        </is>
      </c>
      <c r="G428" t="inlineStr">
        <is>
          <t>ESKILSTUNA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39543-2023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46295</v>
      </c>
      <c r="F429" t="inlineStr">
        <is>
          <t>SÖDERMANLANDS LÄN</t>
        </is>
      </c>
      <c r="G429" t="inlineStr">
        <is>
          <t>ESKILSTUNA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25668-2022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44732</v>
      </c>
      <c r="E430" s="1" t="n">
        <v>46295</v>
      </c>
      <c r="F430" t="inlineStr">
        <is>
          <t>SÖDERMANLANDS LÄN</t>
        </is>
      </c>
      <c r="G430" t="inlineStr">
        <is>
          <t>ESKILSTUNA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31002-2023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45103</v>
      </c>
      <c r="E431" s="1" t="n">
        <v>46295</v>
      </c>
      <c r="F431" t="inlineStr">
        <is>
          <t>SÖDERMANLANDS LÄN</t>
        </is>
      </c>
      <c r="G431" t="inlineStr">
        <is>
          <t>ESKILSTUNA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45664</v>
      </c>
      <c r="E432" s="1" t="n">
        <v>46295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Allmännings- och besparingsskogar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61989-2023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45266</v>
      </c>
      <c r="E433" s="1" t="n">
        <v>46295</v>
      </c>
      <c r="F433" t="inlineStr">
        <is>
          <t>SÖDERMANLANDS LÄN</t>
        </is>
      </c>
      <c r="G433" t="inlineStr">
        <is>
          <t>ESKILSTUNA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33255-2024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45518</v>
      </c>
      <c r="E434" s="1" t="n">
        <v>46295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Övriga Aktiebolag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8273-2025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45708</v>
      </c>
      <c r="E435" s="1" t="n">
        <v>46295</v>
      </c>
      <c r="F435" t="inlineStr">
        <is>
          <t>SÖDERMANLANDS LÄN</t>
        </is>
      </c>
      <c r="G435" t="inlineStr">
        <is>
          <t>ESKILSTUNA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32177-2026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46237</v>
      </c>
      <c r="E436" s="1" t="n">
        <v>46295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Sveaskog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45303</v>
      </c>
      <c r="E437" s="1" t="n">
        <v>46295</v>
      </c>
      <c r="F437" t="inlineStr">
        <is>
          <t>SÖDERMANLANDS LÄN</t>
        </is>
      </c>
      <c r="G437" t="inlineStr">
        <is>
          <t>ESKILSTUNA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1346-2024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45303</v>
      </c>
      <c r="E438" s="1" t="n">
        <v>46295</v>
      </c>
      <c r="F438" t="inlineStr">
        <is>
          <t>SÖDERMANLANDS LÄN</t>
        </is>
      </c>
      <c r="G438" t="inlineStr">
        <is>
          <t>ESKILSTUNA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46279</v>
      </c>
      <c r="E439" s="1" t="n">
        <v>46295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Sveaskog</t>
        </is>
      </c>
      <c r="I439" t="n">
        <v>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32373-2026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46238</v>
      </c>
      <c r="E440" s="1" t="n">
        <v>46295</v>
      </c>
      <c r="F440" t="inlineStr">
        <is>
          <t>SÖDERMANLANDS LÄN</t>
        </is>
      </c>
      <c r="G440" t="inlineStr">
        <is>
          <t>ESKILSTUNA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53098-2022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44873</v>
      </c>
      <c r="E441" s="1" t="n">
        <v>46295</v>
      </c>
      <c r="F441" t="inlineStr">
        <is>
          <t>SÖDERMANLANDS LÄN</t>
        </is>
      </c>
      <c r="G441" t="inlineStr">
        <is>
          <t>ESKILSTUNA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44965</v>
      </c>
      <c r="E442" s="1" t="n">
        <v>46295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11705-2022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44634</v>
      </c>
      <c r="E443" s="1" t="n">
        <v>46295</v>
      </c>
      <c r="F443" t="inlineStr">
        <is>
          <t>SÖDERMANLANDS LÄN</t>
        </is>
      </c>
      <c r="G443" t="inlineStr">
        <is>
          <t>ESKILSTUNA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48998-2023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45209</v>
      </c>
      <c r="E444" s="1" t="n">
        <v>46295</v>
      </c>
      <c r="F444" t="inlineStr">
        <is>
          <t>SÖDERMANLANDS LÄN</t>
        </is>
      </c>
      <c r="G444" t="inlineStr">
        <is>
          <t>ESKILSTUNA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32365-2026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46238</v>
      </c>
      <c r="E445" s="1" t="n">
        <v>46295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32461-2026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46239</v>
      </c>
      <c r="E446" s="1" t="n">
        <v>46295</v>
      </c>
      <c r="F446" t="inlineStr">
        <is>
          <t>SÖDERMANLANDS LÄN</t>
        </is>
      </c>
      <c r="G446" t="inlineStr">
        <is>
          <t>ESKILSTUNA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45882-2022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44844</v>
      </c>
      <c r="E447" s="1" t="n">
        <v>46295</v>
      </c>
      <c r="F447" t="inlineStr">
        <is>
          <t>SÖDERMANLANDS LÄN</t>
        </is>
      </c>
      <c r="G447" t="inlineStr">
        <is>
          <t>ESKILSTUNA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45884-2022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44844</v>
      </c>
      <c r="E448" s="1" t="n">
        <v>46295</v>
      </c>
      <c r="F448" t="inlineStr">
        <is>
          <t>SÖDERMANLANDS LÄN</t>
        </is>
      </c>
      <c r="G448" t="inlineStr">
        <is>
          <t>ESKILSTUNA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44942</v>
      </c>
      <c r="E449" s="1" t="n">
        <v>46295</v>
      </c>
      <c r="F449" t="inlineStr">
        <is>
          <t>SÖDERMANLANDS LÄN</t>
        </is>
      </c>
      <c r="G449" t="inlineStr">
        <is>
          <t>ESKILSTUNA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32708-2024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45514</v>
      </c>
      <c r="E450" s="1" t="n">
        <v>46295</v>
      </c>
      <c r="F450" t="inlineStr">
        <is>
          <t>SÖDERMANLANDS LÄN</t>
        </is>
      </c>
      <c r="G450" t="inlineStr">
        <is>
          <t>ESKILSTUNA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20842-2023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45058</v>
      </c>
      <c r="E451" s="1" t="n">
        <v>46295</v>
      </c>
      <c r="F451" t="inlineStr">
        <is>
          <t>SÖDERMANLANDS LÄN</t>
        </is>
      </c>
      <c r="G451" t="inlineStr">
        <is>
          <t>ESKILSTUNA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33585-2022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44789</v>
      </c>
      <c r="E452" s="1" t="n">
        <v>46295</v>
      </c>
      <c r="F452" t="inlineStr">
        <is>
          <t>SÖDERMANLANDS LÄN</t>
        </is>
      </c>
      <c r="G452" t="inlineStr">
        <is>
          <t>ESKILSTUNA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6598-2024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45341</v>
      </c>
      <c r="E453" s="1" t="n">
        <v>46295</v>
      </c>
      <c r="F453" t="inlineStr">
        <is>
          <t>SÖDERMANLANDS LÄN</t>
        </is>
      </c>
      <c r="G453" t="inlineStr">
        <is>
          <t>ESKILSTUNA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32963-2026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46241</v>
      </c>
      <c r="E454" s="1" t="n">
        <v>46295</v>
      </c>
      <c r="F454" t="inlineStr">
        <is>
          <t>SÖDERMANLANDS LÄN</t>
        </is>
      </c>
      <c r="G454" t="inlineStr">
        <is>
          <t>ESKILSTUNA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33087-2026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46245</v>
      </c>
      <c r="E455" s="1" t="n">
        <v>46295</v>
      </c>
      <c r="F455" t="inlineStr">
        <is>
          <t>SÖDERMANLANDS LÄN</t>
        </is>
      </c>
      <c r="G455" t="inlineStr">
        <is>
          <t>ESKILSTUNA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46245</v>
      </c>
      <c r="E456" s="1" t="n">
        <v>46295</v>
      </c>
      <c r="F456" t="inlineStr">
        <is>
          <t>SÖDERMANLANDS LÄN</t>
        </is>
      </c>
      <c r="G456" t="inlineStr">
        <is>
          <t>ESKILSTUNA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39144-2026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46287</v>
      </c>
      <c r="E457" s="1" t="n">
        <v>46295</v>
      </c>
      <c r="F457" t="inlineStr">
        <is>
          <t>SÖDERMANLANDS LÄN</t>
        </is>
      </c>
      <c r="G457" t="inlineStr">
        <is>
          <t>ESKILSTUNA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45695</v>
      </c>
      <c r="E458" s="1" t="n">
        <v>46295</v>
      </c>
      <c r="F458" t="inlineStr">
        <is>
          <t>SÖDERMANLANDS LÄN</t>
        </is>
      </c>
      <c r="G458" t="inlineStr">
        <is>
          <t>ESKILSTUNA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15592-2023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45020</v>
      </c>
      <c r="E459" s="1" t="n">
        <v>46295</v>
      </c>
      <c r="F459" t="inlineStr">
        <is>
          <t>SÖDERMANLANDS LÄN</t>
        </is>
      </c>
      <c r="G459" t="inlineStr">
        <is>
          <t>ESKILSTUNA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6659-2024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45341</v>
      </c>
      <c r="E460" s="1" t="n">
        <v>46295</v>
      </c>
      <c r="F460" t="inlineStr">
        <is>
          <t>SÖDERMANLANDS LÄN</t>
        </is>
      </c>
      <c r="G460" t="inlineStr">
        <is>
          <t>ESKILSTUNA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45695</v>
      </c>
      <c r="E461" s="1" t="n">
        <v>46295</v>
      </c>
      <c r="F461" t="inlineStr">
        <is>
          <t>SÖDERMANLANDS LÄN</t>
        </is>
      </c>
      <c r="G461" t="inlineStr">
        <is>
          <t>ESKILSTUNA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45695</v>
      </c>
      <c r="E462" s="1" t="n">
        <v>46295</v>
      </c>
      <c r="F462" t="inlineStr">
        <is>
          <t>SÖDERMANLANDS LÄN</t>
        </is>
      </c>
      <c r="G462" t="inlineStr">
        <is>
          <t>ESKILSTUNA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32969-2026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46295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Kommuner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59138-2024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45637</v>
      </c>
      <c r="E464" s="1" t="n">
        <v>46295</v>
      </c>
      <c r="F464" t="inlineStr">
        <is>
          <t>SÖDERMANLANDS LÄN</t>
        </is>
      </c>
      <c r="G464" t="inlineStr">
        <is>
          <t>ESKILSTUNA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970-2024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45301</v>
      </c>
      <c r="E465" s="1" t="n">
        <v>46295</v>
      </c>
      <c r="F465" t="inlineStr">
        <is>
          <t>SÖDERMANLANDS LÄN</t>
        </is>
      </c>
      <c r="G465" t="inlineStr">
        <is>
          <t>ESKILSTUNA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53181-2024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45611</v>
      </c>
      <c r="E466" s="1" t="n">
        <v>46295</v>
      </c>
      <c r="F466" t="inlineStr">
        <is>
          <t>SÖDERMANLANDS LÄN</t>
        </is>
      </c>
      <c r="G466" t="inlineStr">
        <is>
          <t>ESKILSTUNA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1538-2025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45670</v>
      </c>
      <c r="E467" s="1" t="n">
        <v>46295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Sveaskog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39153-2026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46287</v>
      </c>
      <c r="E468" s="1" t="n">
        <v>46295</v>
      </c>
      <c r="F468" t="inlineStr">
        <is>
          <t>SÖDERMANLANDS LÄN</t>
        </is>
      </c>
      <c r="G468" t="inlineStr">
        <is>
          <t>ESKILSTUNA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70560-2021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44536</v>
      </c>
      <c r="E469" s="1" t="n">
        <v>46295</v>
      </c>
      <c r="F469" t="inlineStr">
        <is>
          <t>SÖDERMANLANDS LÄN</t>
        </is>
      </c>
      <c r="G469" t="inlineStr">
        <is>
          <t>ESKILSTUNA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53933-2024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45615</v>
      </c>
      <c r="E470" s="1" t="n">
        <v>46295</v>
      </c>
      <c r="F470" t="inlineStr">
        <is>
          <t>SÖDERMANLANDS LÄN</t>
        </is>
      </c>
      <c r="G470" t="inlineStr">
        <is>
          <t>ESKILSTUNA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46295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33278-2026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46246</v>
      </c>
      <c r="E472" s="1" t="n">
        <v>46295</v>
      </c>
      <c r="F472" t="inlineStr">
        <is>
          <t>SÖDERMANLANDS LÄN</t>
        </is>
      </c>
      <c r="G472" t="inlineStr">
        <is>
          <t>ESKILSTUNA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60276-2024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45642</v>
      </c>
      <c r="E473" s="1" t="n">
        <v>46295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39700-2026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46289</v>
      </c>
      <c r="E474" s="1" t="n">
        <v>46295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Kyrkan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44953</v>
      </c>
      <c r="E475" s="1" t="n">
        <v>46295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9.6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46295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45737</v>
      </c>
      <c r="E477" s="1" t="n">
        <v>46295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4954-2022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44593</v>
      </c>
      <c r="E478" s="1" t="n">
        <v>46295</v>
      </c>
      <c r="F478" t="inlineStr">
        <is>
          <t>SÖDERMANLANDS LÄN</t>
        </is>
      </c>
      <c r="G478" t="inlineStr">
        <is>
          <t>ESKILSTUNA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45365</v>
      </c>
      <c r="E479" s="1" t="n">
        <v>46295</v>
      </c>
      <c r="F479" t="inlineStr">
        <is>
          <t>SÖDERMANLANDS LÄN</t>
        </is>
      </c>
      <c r="G479" t="inlineStr">
        <is>
          <t>ESKILSTUNA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19285-2023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46295</v>
      </c>
      <c r="F480" t="inlineStr">
        <is>
          <t>SÖDERMANLANDS LÄN</t>
        </is>
      </c>
      <c r="G480" t="inlineStr">
        <is>
          <t>ESKILSTUNA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1333-2020</t>
        </is>
      </c>
      <c r="B481" t="inlineStr">
        <is>
          <t>samrådsanmälan</t>
        </is>
      </c>
      <c r="C481" t="inlineStr">
        <is>
          <t>Åtgärd i nyckelbiotop</t>
        </is>
      </c>
      <c r="D481" s="1" t="n">
        <v>43993</v>
      </c>
      <c r="E481" s="1" t="n">
        <v>46295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383-2023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44959</v>
      </c>
      <c r="E482" s="1" t="n">
        <v>46295</v>
      </c>
      <c r="F482" t="inlineStr">
        <is>
          <t>SÖDERMANLANDS LÄN</t>
        </is>
      </c>
      <c r="G482" t="inlineStr">
        <is>
          <t>ESKILSTUNA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3665-2023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45217</v>
      </c>
      <c r="E483" s="1" t="n">
        <v>46295</v>
      </c>
      <c r="F483" t="inlineStr">
        <is>
          <t>SÖDERMANLANDS LÄN</t>
        </is>
      </c>
      <c r="G483" t="inlineStr">
        <is>
          <t>ESKILSTUNA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4583-2023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45282</v>
      </c>
      <c r="E484" s="1" t="n">
        <v>46295</v>
      </c>
      <c r="F484" t="inlineStr">
        <is>
          <t>SÖDERMANLANDS LÄN</t>
        </is>
      </c>
      <c r="G484" t="inlineStr">
        <is>
          <t>ESKILSTUNA</t>
        </is>
      </c>
      <c r="I484" t="n">
        <v>31.4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1601-2025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45798</v>
      </c>
      <c r="E485" s="1" t="n">
        <v>46295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1602-2025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45798</v>
      </c>
      <c r="E486" s="1" t="n">
        <v>46295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291-2025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45686</v>
      </c>
      <c r="E487" s="1" t="n">
        <v>46295</v>
      </c>
      <c r="F487" t="inlineStr">
        <is>
          <t>SÖDERMANLANDS LÄN</t>
        </is>
      </c>
      <c r="G487" t="inlineStr">
        <is>
          <t>ESKILSTUNA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2917-2024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45504</v>
      </c>
      <c r="E488" s="1" t="n">
        <v>46295</v>
      </c>
      <c r="F488" t="inlineStr">
        <is>
          <t>SÖDERMANLANDS LÄN</t>
        </is>
      </c>
      <c r="G488" t="inlineStr">
        <is>
          <t>ESKILSTUNA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1920-2025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45826</v>
      </c>
      <c r="E489" s="1" t="n">
        <v>46295</v>
      </c>
      <c r="F489" t="inlineStr">
        <is>
          <t>SÖDERMANLANDS LÄN</t>
        </is>
      </c>
      <c r="G489" t="inlineStr">
        <is>
          <t>ESKILSTUNA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1030-2026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46125</v>
      </c>
      <c r="E490" s="1" t="n">
        <v>46295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1870-2026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46199</v>
      </c>
      <c r="E491" s="1" t="n">
        <v>46295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>
      <c r="A492" t="inlineStr">
        <is>
          <t>S 1871-2026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46199</v>
      </c>
      <c r="E492" s="1" t="n">
        <v>46295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2026-09-30T02:01:01Z</dcterms:created>
  <dcterms:modified xmlns:dcterms="http://purl.org/dc/terms/" xmlns:xsi="http://www.w3.org/2001/XMLSchema-instance" xsi:type="dcterms:W3CDTF">2026-09-30T02:01:02Z</dcterms:modified>
</cp:coreProperties>
</file>