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46317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46317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46317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46317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46317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46317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46317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46317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46317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46317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46317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46317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46317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46317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46317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46317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46317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46317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18968-2023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45044</v>
      </c>
      <c r="E30" s="1" t="n">
        <v>46317</v>
      </c>
      <c r="F30" t="inlineStr">
        <is>
          <t>SÖDERMANLANDS LÄN</t>
        </is>
      </c>
      <c r="G30" t="inlineStr">
        <is>
          <t>ESKILSTUNA</t>
        </is>
      </c>
      <c r="I30" t="n">
        <v>3.6</v>
      </c>
      <c r="J30" t="n">
        <v>0</v>
      </c>
      <c r="K30" t="n">
        <v>2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8</v>
      </c>
      <c r="U30" t="n">
        <v>0</v>
      </c>
      <c r="V30" s="2" t="inlineStr">
        <is>
          <t>Ask
Svart trolldruva
Tibast</t>
        </is>
      </c>
      <c r="W30">
        <f>HYPERLINK("https://klasma.github.io/Logging_0484/artfynd/A 18968-2023 artfynd.xlsx", "A 18968-2023")</f>
        <v/>
      </c>
      <c r="X30">
        <f>HYPERLINK("https://klasma.github.io/Logging_0484/kartor/A 18968-2023 karta.png", "A 18968-2023")</f>
        <v/>
      </c>
      <c r="Y30">
        <f>HYPERLINK("https://klasma.github.io/Logging_0484/kartor_geotiff/A 18968-2023 georefererad karta.tif", "A 18968-2023")</f>
        <v/>
      </c>
      <c r="AA30">
        <f>HYPERLINK("https://klasma.github.io/Logging_0484/klagomål/A 18968-2023 FSC-klagomål.docx", "A 18968-2023")</f>
        <v/>
      </c>
      <c r="AB30">
        <f>HYPERLINK("https://klasma.github.io/Logging_0484/klagomålsmail/A 18968-2023 FSC-klagomål mail.docx", "A 18968-2023")</f>
        <v/>
      </c>
      <c r="AC30">
        <f>HYPERLINK("https://klasma.github.io/Logging_0484/tillsyn/A 18968-2023 tillsynsbegäran.docx", "A 18968-2023")</f>
        <v/>
      </c>
      <c r="AD30">
        <f>HYPERLINK("https://klasma.github.io/Logging_0484/tillsynsmail/A 18968-2023 tillsynsbegäran mail.docx", "A 18968-2023")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46317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46317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46317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46317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46317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63042-2025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46317</v>
      </c>
      <c r="F38" t="inlineStr">
        <is>
          <t>SÖDERMANLANDS LÄN</t>
        </is>
      </c>
      <c r="G38" t="inlineStr">
        <is>
          <t>ESKILSTUNA</t>
        </is>
      </c>
      <c r="I38" t="n">
        <v>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Kungsfågel
Revlummer</t>
        </is>
      </c>
      <c r="W38">
        <f>HYPERLINK("https://klasma.github.io/Logging_0484/artfynd/A 63042-2025 artfynd.xlsx", "A 63042-2025")</f>
        <v/>
      </c>
      <c r="X38">
        <f>HYPERLINK("https://klasma.github.io/Logging_0484/kartor/A 63042-2025 karta.png", "A 63042-2025")</f>
        <v/>
      </c>
      <c r="Y38">
        <f>HYPERLINK("https://klasma.github.io/Logging_0484/kartor_geotiff/A 63042-2025 georefererad karta.tif", "A 63042-2025")</f>
        <v/>
      </c>
      <c r="AA38">
        <f>HYPERLINK("https://klasma.github.io/Logging_0484/klagomål/A 63042-2025 FSC-klagomål.docx", "A 63042-2025")</f>
        <v/>
      </c>
      <c r="AB38">
        <f>HYPERLINK("https://klasma.github.io/Logging_0484/klagomålsmail/A 63042-2025 FSC-klagomål mail.docx", "A 63042-2025")</f>
        <v/>
      </c>
      <c r="AC38">
        <f>HYPERLINK("https://klasma.github.io/Logging_0484/tillsyn/A 63042-2025 tillsynsbegäran.docx", "A 63042-2025")</f>
        <v/>
      </c>
      <c r="AD38">
        <f>HYPERLINK("https://klasma.github.io/Logging_0484/tillsynsmail/A 63042-2025 tillsynsbegäran mail.docx", "A 63042-2025")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46317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34986-2025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46317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Svart trolldruva
Spillkråka</t>
        </is>
      </c>
      <c r="W40">
        <f>HYPERLINK("https://klasma.github.io/Logging_0484/artfynd/A 34986-2025 artfynd.xlsx", "A 34986-2025")</f>
        <v/>
      </c>
      <c r="X40">
        <f>HYPERLINK("https://klasma.github.io/Logging_0484/kartor/A 34986-2025 karta.png", "A 34986-2025")</f>
        <v/>
      </c>
      <c r="Y40">
        <f>HYPERLINK("https://klasma.github.io/Logging_0484/kartor_geotiff/A 34986-2025 georefererad karta.tif", "A 34986-2025")</f>
        <v/>
      </c>
      <c r="AA40">
        <f>HYPERLINK("https://klasma.github.io/Logging_0484/klagomål/A 34986-2025 FSC-klagomål.docx", "A 34986-2025")</f>
        <v/>
      </c>
      <c r="AB40">
        <f>HYPERLINK("https://klasma.github.io/Logging_0484/klagomålsmail/A 34986-2025 FSC-klagomål mail.docx", "A 34986-2025")</f>
        <v/>
      </c>
      <c r="AC40">
        <f>HYPERLINK("https://klasma.github.io/Logging_0484/tillsyn/A 34986-2025 tillsynsbegäran.docx", "A 34986-2025")</f>
        <v/>
      </c>
      <c r="AD40">
        <f>HYPERLINK("https://klasma.github.io/Logging_0484/tillsynsmail/A 34986-2025 tillsynsbegäran mail.docx", "A 34986-2025")</f>
        <v/>
      </c>
      <c r="AE40">
        <f>HYPERLINK("https://klasma.github.io/Logging_0484/fåglar/A 34986-2025 prioriterade fågelarter.docx", "A 34986-2025")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46317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46317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46317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46317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46317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46317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65380-2021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46317</v>
      </c>
      <c r="F49" t="inlineStr">
        <is>
          <t>SÖDERMANLANDS LÄN</t>
        </is>
      </c>
      <c r="G49" t="inlineStr">
        <is>
          <t>ESKILSTUNA</t>
        </is>
      </c>
      <c r="H49" t="inlineStr">
        <is>
          <t>Kyrkan</t>
        </is>
      </c>
      <c r="I49" t="n">
        <v>5.4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Älg
Blåsippa</t>
        </is>
      </c>
      <c r="W49">
        <f>HYPERLINK("https://klasma.github.io/Logging_0484/artfynd/A 65380-2021 artfynd.xlsx", "A 65380-2021")</f>
        <v/>
      </c>
      <c r="X49">
        <f>HYPERLINK("https://klasma.github.io/Logging_0484/kartor/A 65380-2021 karta.png", "A 65380-2021")</f>
        <v/>
      </c>
      <c r="Y49">
        <f>HYPERLINK("https://klasma.github.io/Logging_0484/kartor_geotiff/A 65380-2021 georefererad karta.tif", "A 65380-2021")</f>
        <v/>
      </c>
      <c r="AA49">
        <f>HYPERLINK("https://klasma.github.io/Logging_0484/klagomål/A 65380-2021 FSC-klagomål.docx", "A 65380-2021")</f>
        <v/>
      </c>
      <c r="AB49">
        <f>HYPERLINK("https://klasma.github.io/Logging_0484/klagomålsmail/A 65380-2021 FSC-klagomål mail.docx", "A 65380-2021")</f>
        <v/>
      </c>
      <c r="AC49">
        <f>HYPERLINK("https://klasma.github.io/Logging_0484/tillsyn/A 65380-2021 tillsynsbegäran.docx", "A 65380-2021")</f>
        <v/>
      </c>
      <c r="AD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46317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46317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46317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46317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46317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46317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46317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46317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46317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46317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46317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46317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46317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2512-2025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46317</v>
      </c>
      <c r="F63" t="inlineStr">
        <is>
          <t>SÖDERMANLANDS LÄN</t>
        </is>
      </c>
      <c r="G63" t="inlineStr">
        <is>
          <t>ESKILSTUNA</t>
        </is>
      </c>
      <c r="I63" t="n">
        <v>3.9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HYPERLINK("https://klasma.github.io/Logging_0484/artfynd/A 2512-2025 artfynd.xlsx", "A 2512-2025")</f>
        <v/>
      </c>
      <c r="X63">
        <f>HYPERLINK("https://klasma.github.io/Logging_0484/kartor/A 2512-2025 karta.png", "A 2512-2025")</f>
        <v/>
      </c>
      <c r="Y63">
        <f>HYPERLINK("https://klasma.github.io/Logging_0484/kartor_geotiff/A 2512-2025 georefererad karta.tif", "A 2512-2025")</f>
        <v/>
      </c>
      <c r="AA63">
        <f>HYPERLINK("https://klasma.github.io/Logging_0484/klagomål/A 2512-2025 FSC-klagomål.docx", "A 2512-2025")</f>
        <v/>
      </c>
      <c r="AB63">
        <f>HYPERLINK("https://klasma.github.io/Logging_0484/klagomålsmail/A 2512-2025 FSC-klagomål mail.docx", "A 2512-2025")</f>
        <v/>
      </c>
      <c r="AC63">
        <f>HYPERLINK("https://klasma.github.io/Logging_0484/tillsyn/A 2512-2025 tillsynsbegäran.docx", "A 2512-2025")</f>
        <v/>
      </c>
      <c r="AD63">
        <f>HYPERLINK("https://klasma.github.io/Logging_0484/tillsynsmail/A 2512-2025 tillsynsbegäran mail.docx", "A 2512-2025")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46317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46317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46317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31056-2025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46317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HYPERLINK("https://klasma.github.io/Logging_0484/artfynd/A 31056-2025 artfynd.xlsx", "A 31056-2025")</f>
        <v/>
      </c>
      <c r="X67">
        <f>HYPERLINK("https://klasma.github.io/Logging_0484/kartor/A 31056-2025 karta.png", "A 31056-2025")</f>
        <v/>
      </c>
      <c r="Y67">
        <f>HYPERLINK("https://klasma.github.io/Logging_0484/kartor_geotiff/A 31056-2025 georefererad karta.tif", "A 31056-2025")</f>
        <v/>
      </c>
      <c r="AA67">
        <f>HYPERLINK("https://klasma.github.io/Logging_0484/klagomål/A 31056-2025 FSC-klagomål.docx", "A 31056-2025")</f>
        <v/>
      </c>
      <c r="AB67">
        <f>HYPERLINK("https://klasma.github.io/Logging_0484/klagomålsmail/A 31056-2025 FSC-klagomål mail.docx", "A 31056-2025")</f>
        <v/>
      </c>
      <c r="AC67">
        <f>HYPERLINK("https://klasma.github.io/Logging_0484/tillsyn/A 31056-2025 tillsynsbegäran.docx", "A 31056-2025")</f>
        <v/>
      </c>
      <c r="AD67">
        <f>HYPERLINK("https://klasma.github.io/Logging_0484/tillsynsmail/A 31056-2025 tillsynsbegäran mail.docx", "A 31056-2025")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46317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46317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46317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46317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46317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46317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46317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46317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46317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46317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30975-2023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46317</v>
      </c>
      <c r="F78" t="inlineStr">
        <is>
          <t>SÖDERMANLANDS LÄN</t>
        </is>
      </c>
      <c r="G78" t="inlineStr">
        <is>
          <t>ESKILSTUNA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Bombmurkla</t>
        </is>
      </c>
      <c r="W78">
        <f>HYPERLINK("https://klasma.github.io/Logging_0484/artfynd/A 30975-2023 artfynd.xlsx", "A 30975-2023")</f>
        <v/>
      </c>
      <c r="X78">
        <f>HYPERLINK("https://klasma.github.io/Logging_0484/kartor/A 30975-2023 karta.png", "A 30975-2023")</f>
        <v/>
      </c>
      <c r="Y78">
        <f>HYPERLINK("https://klasma.github.io/Logging_0484/kartor_geotiff/A 30975-2023 georefererad karta.tif", "A 30975-2023")</f>
        <v/>
      </c>
      <c r="AA78">
        <f>HYPERLINK("https://klasma.github.io/Logging_0484/klagomål/A 30975-2023 FSC-klagomål.docx", "A 30975-2023")</f>
        <v/>
      </c>
      <c r="AB78">
        <f>HYPERLINK("https://klasma.github.io/Logging_0484/klagomålsmail/A 30975-2023 FSC-klagomål mail.docx", "A 30975-2023")</f>
        <v/>
      </c>
      <c r="AC78">
        <f>HYPERLINK("https://klasma.github.io/Logging_0484/tillsyn/A 30975-2023 tillsynsbegäran.docx", "A 30975-2023")</f>
        <v/>
      </c>
      <c r="AD78">
        <f>HYPERLINK("https://klasma.github.io/Logging_0484/tillsynsmail/A 30975-2023 tillsynsbegäran mail.docx", "A 30975-2023")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46317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26008-2026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46317</v>
      </c>
      <c r="F80" t="inlineStr">
        <is>
          <t>SÖDERMANLANDS LÄN</t>
        </is>
      </c>
      <c r="G80" t="inlineStr">
        <is>
          <t>ESKILSTUNA</t>
        </is>
      </c>
      <c r="I80" t="n">
        <v>2.8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8</v>
      </c>
      <c r="U80" t="n">
        <v>0</v>
      </c>
      <c r="V80" s="2" t="inlineStr">
        <is>
          <t>Svart trolldruva</t>
        </is>
      </c>
      <c r="W80">
        <f>HYPERLINK("https://klasma.github.io/Logging_0484/artfynd/A 26008-2026 artfynd.xlsx", "A 26008-2026")</f>
        <v/>
      </c>
      <c r="X80">
        <f>HYPERLINK("https://klasma.github.io/Logging_0484/kartor/A 26008-2026 karta.png", "A 26008-2026")</f>
        <v/>
      </c>
      <c r="Y80">
        <f>HYPERLINK("https://klasma.github.io/Logging_0484/kartor_geotiff/A 26008-2026 georefererad karta.tif", "A 26008-2026")</f>
        <v/>
      </c>
      <c r="AA80">
        <f>HYPERLINK("https://klasma.github.io/Logging_0484/klagomål/A 26008-2026 FSC-klagomål.docx", "A 26008-2026")</f>
        <v/>
      </c>
      <c r="AB80">
        <f>HYPERLINK("https://klasma.github.io/Logging_0484/klagomålsmail/A 26008-2026 FSC-klagomål mail.docx", "A 26008-2026")</f>
        <v/>
      </c>
      <c r="AC80">
        <f>HYPERLINK("https://klasma.github.io/Logging_0484/tillsyn/A 26008-2026 tillsynsbegäran.docx", "A 26008-2026")</f>
        <v/>
      </c>
      <c r="AD80">
        <f>HYPERLINK("https://klasma.github.io/Logging_0484/tillsynsmail/A 26008-2026 tillsynsbegäran mail.docx", "A 26008-2026")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46317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Pärluggla</t>
        </is>
      </c>
      <c r="W81">
        <f>HYPERLINK("https://klasma.github.io/Logging_0484/artfynd/A 50760-2023 artfynd.xlsx", "A 50760-2023")</f>
        <v/>
      </c>
      <c r="X81">
        <f>HYPERLINK("https://klasma.github.io/Logging_0484/kartor/A 50760-2023 karta.png", "A 50760-2023")</f>
        <v/>
      </c>
      <c r="Y81">
        <f>HYPERLINK("https://klasma.github.io/Logging_0484/kartor_geotiff/A 50760-2023 georefererad karta.tif", "A 50760-2023")</f>
        <v/>
      </c>
      <c r="AA81">
        <f>HYPERLINK("https://klasma.github.io/Logging_0484/klagomål/A 50760-2023 FSC-klagomål.docx", "A 50760-2023")</f>
        <v/>
      </c>
      <c r="AB81">
        <f>HYPERLINK("https://klasma.github.io/Logging_0484/klagomålsmail/A 50760-2023 FSC-klagomål mail.docx", "A 50760-2023")</f>
        <v/>
      </c>
      <c r="AC81">
        <f>HYPERLINK("https://klasma.github.io/Logging_0484/tillsyn/A 50760-2023 tillsynsbegäran.docx", "A 50760-2023")</f>
        <v/>
      </c>
      <c r="AD81">
        <f>HYPERLINK("https://klasma.github.io/Logging_0484/tillsynsmail/A 50760-2023 tillsynsbegäran mail.docx", "A 50760-2023")</f>
        <v/>
      </c>
      <c r="AE81">
        <f>HYPERLINK("https://klasma.github.io/Logging_0484/fåglar/A 50760-2023 prioriterade fågelarter.docx", "A 50760-2023")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46317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55087-2022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46317</v>
      </c>
      <c r="F83" t="inlineStr">
        <is>
          <t>SÖDERMANLANDS LÄN</t>
        </is>
      </c>
      <c r="G83" t="inlineStr">
        <is>
          <t>ESKILSTUNA</t>
        </is>
      </c>
      <c r="I83" t="n">
        <v>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HYPERLINK("https://klasma.github.io/Logging_0484/artfynd/A 55087-2022 artfynd.xlsx", "A 55087-2022")</f>
        <v/>
      </c>
      <c r="X83">
        <f>HYPERLINK("https://klasma.github.io/Logging_0484/kartor/A 55087-2022 karta.png", "A 55087-2022")</f>
        <v/>
      </c>
      <c r="Y83">
        <f>HYPERLINK("https://klasma.github.io/Logging_0484/kartor_geotiff/A 55087-2022 georefererad karta.tif", "A 55087-2022")</f>
        <v/>
      </c>
      <c r="AA83">
        <f>HYPERLINK("https://klasma.github.io/Logging_0484/klagomål/A 55087-2022 FSC-klagomål.docx", "A 55087-2022")</f>
        <v/>
      </c>
      <c r="AB83">
        <f>HYPERLINK("https://klasma.github.io/Logging_0484/klagomålsmail/A 55087-2022 FSC-klagomål mail.docx", "A 55087-2022")</f>
        <v/>
      </c>
      <c r="AC83">
        <f>HYPERLINK("https://klasma.github.io/Logging_0484/tillsyn/A 55087-2022 tillsynsbegäran.docx", "A 55087-2022")</f>
        <v/>
      </c>
      <c r="AD83">
        <f>HYPERLINK("https://klasma.github.io/Logging_0484/tillsynsmail/A 55087-2022 tillsynsbegäran mail.docx", "A 55087-2022")</f>
        <v/>
      </c>
      <c r="AE83">
        <f>HYPERLINK("https://klasma.github.io/Logging_0484/fåglar/A 55087-2022 prioriterade fågelarter.docx", "A 55087-2022")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46317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Jungfrulin</t>
        </is>
      </c>
      <c r="W84">
        <f>HYPERLINK("https://klasma.github.io/Logging_0484/artfynd/A 71976-2021 artfynd.xlsx", "A 71976-2021")</f>
        <v/>
      </c>
      <c r="X84">
        <f>HYPERLINK("https://klasma.github.io/Logging_0484/kartor/A 71976-2021 karta.png", "A 71976-2021")</f>
        <v/>
      </c>
      <c r="Y84">
        <f>HYPERLINK("https://klasma.github.io/Logging_0484/kartor_geotiff/A 71976-2021 georefererad karta.tif", "A 71976-2021")</f>
        <v/>
      </c>
      <c r="AA84">
        <f>HYPERLINK("https://klasma.github.io/Logging_0484/klagomål/A 71976-2021 FSC-klagomål.docx", "A 71976-2021")</f>
        <v/>
      </c>
      <c r="AB84">
        <f>HYPERLINK("https://klasma.github.io/Logging_0484/klagomålsmail/A 71976-2021 FSC-klagomål mail.docx", "A 71976-2021")</f>
        <v/>
      </c>
      <c r="AC84">
        <f>HYPERLINK("https://klasma.github.io/Logging_0484/tillsyn/A 71976-2021 tillsynsbegäran.docx", "A 71976-2021")</f>
        <v/>
      </c>
      <c r="AD84">
        <f>HYPERLINK("https://klasma.github.io/Logging_0484/tillsynsmail/A 71976-2021 tillsynsbegäran mail.docx", "A 71976-2021")</f>
        <v/>
      </c>
    </row>
    <row r="85" ht="15" customHeight="1">
      <c r="A85" t="inlineStr">
        <is>
          <t>A 27892-2026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46317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Nattviol</t>
        </is>
      </c>
      <c r="W85">
        <f>HYPERLINK("https://klasma.github.io/Logging_0484/artfynd/A 27892-2026 artfynd.xlsx", "A 27892-2026")</f>
        <v/>
      </c>
      <c r="X85">
        <f>HYPERLINK("https://klasma.github.io/Logging_0484/kartor/A 27892-2026 karta.png", "A 27892-2026")</f>
        <v/>
      </c>
      <c r="Y85">
        <f>HYPERLINK("https://klasma.github.io/Logging_0484/kartor_geotiff/A 27892-2026 georefererad karta.tif", "A 27892-2026")</f>
        <v/>
      </c>
      <c r="AA85">
        <f>HYPERLINK("https://klasma.github.io/Logging_0484/klagomål/A 27892-2026 FSC-klagomål.docx", "A 27892-2026")</f>
        <v/>
      </c>
      <c r="AB85">
        <f>HYPERLINK("https://klasma.github.io/Logging_0484/klagomålsmail/A 27892-2026 FSC-klagomål mail.docx", "A 27892-2026")</f>
        <v/>
      </c>
      <c r="AC85">
        <f>HYPERLINK("https://klasma.github.io/Logging_0484/tillsyn/A 27892-2026 tillsynsbegäran.docx", "A 27892-2026")</f>
        <v/>
      </c>
      <c r="AD85">
        <f>HYPERLINK("https://klasma.github.io/Logging_0484/tillsynsmail/A 27892-2026 tillsynsbegäran mail.docx", "A 27892-2026")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46317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46317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29047-2026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46199</v>
      </c>
      <c r="E88" s="1" t="n">
        <v>46317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Kandelabersvamp</t>
        </is>
      </c>
      <c r="W88">
        <f>HYPERLINK("https://klasma.github.io/Logging_0484/artfynd/A 29047-2026 artfynd.xlsx", "A 29047-2026")</f>
        <v/>
      </c>
      <c r="X88">
        <f>HYPERLINK("https://klasma.github.io/Logging_0484/kartor/A 29047-2026 karta.png", "A 29047-2026")</f>
        <v/>
      </c>
      <c r="Y88">
        <f>HYPERLINK("https://klasma.github.io/Logging_0484/kartor_geotiff/A 29047-2026 georefererad karta.tif", "A 29047-2026")</f>
        <v/>
      </c>
      <c r="AA88">
        <f>HYPERLINK("https://klasma.github.io/Logging_0484/klagomål/A 29047-2026 FSC-klagomål.docx", "A 29047-2026")</f>
        <v/>
      </c>
      <c r="AB88">
        <f>HYPERLINK("https://klasma.github.io/Logging_0484/klagomålsmail/A 29047-2026 FSC-klagomål mail.docx", "A 29047-2026")</f>
        <v/>
      </c>
      <c r="AC88">
        <f>HYPERLINK("https://klasma.github.io/Logging_0484/tillsyn/A 29047-2026 tillsynsbegäran.docx", "A 29047-2026")</f>
        <v/>
      </c>
      <c r="AD88">
        <f>HYPERLINK("https://klasma.github.io/Logging_0484/tillsynsmail/A 29047-2026 tillsynsbegäran mail.docx", "A 29047-2026")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46317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46317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39011-2026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46287</v>
      </c>
      <c r="E91" s="1" t="n">
        <v>46317</v>
      </c>
      <c r="F91" t="inlineStr">
        <is>
          <t>SÖDERMANLANDS LÄN</t>
        </is>
      </c>
      <c r="G91" t="inlineStr">
        <is>
          <t>ESKILSTUNA</t>
        </is>
      </c>
      <c r="I91" t="n">
        <v>10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Blåsippa</t>
        </is>
      </c>
      <c r="W91">
        <f>HYPERLINK("https://klasma.github.io/Logging_0484/artfynd/A 39011-2026 artfynd.xlsx", "A 39011-2026")</f>
        <v/>
      </c>
      <c r="X91">
        <f>HYPERLINK("https://klasma.github.io/Logging_0484/kartor/A 39011-2026 karta.png", "A 39011-2026")</f>
        <v/>
      </c>
      <c r="Y91">
        <f>HYPERLINK("https://klasma.github.io/Logging_0484/kartor_geotiff/A 39011-2026 georefererad karta.tif", "A 39011-2026")</f>
        <v/>
      </c>
      <c r="AA91">
        <f>HYPERLINK("https://klasma.github.io/Logging_0484/klagomål/A 39011-2026 FSC-klagomål.docx", "A 39011-2026")</f>
        <v/>
      </c>
      <c r="AB91">
        <f>HYPERLINK("https://klasma.github.io/Logging_0484/klagomålsmail/A 39011-2026 FSC-klagomål mail.docx", "A 39011-2026")</f>
        <v/>
      </c>
      <c r="AC91">
        <f>HYPERLINK("https://klasma.github.io/Logging_0484/tillsyn/A 39011-2026 tillsynsbegäran.docx", "A 39011-2026")</f>
        <v/>
      </c>
      <c r="AD91">
        <f>HYPERLINK("https://klasma.github.io/Logging_0484/tillsynsmail/A 39011-2026 tillsynsbegäran mail.docx", "A 39011-2026")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46317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46317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46317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46317</v>
      </c>
      <c r="F95" t="inlineStr">
        <is>
          <t>SÖDERMANLANDS LÄN</t>
        </is>
      </c>
      <c r="G95" t="inlineStr">
        <is>
          <t>ESKILSTUNA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46317</v>
      </c>
      <c r="F96" t="inlineStr">
        <is>
          <t>SÖDERMANLANDS LÄN</t>
        </is>
      </c>
      <c r="G96" t="inlineStr">
        <is>
          <t>ESKILSTUNA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46317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46317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46317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46317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46317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46317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46317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46317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46317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46317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46317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44799</v>
      </c>
      <c r="E108" s="1" t="n">
        <v>46317</v>
      </c>
      <c r="F108" t="inlineStr">
        <is>
          <t>SÖDERMANLANDS LÄN</t>
        </is>
      </c>
      <c r="G108" t="inlineStr">
        <is>
          <t>ESKILSTUNA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46317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46317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46317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46317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46317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46317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46317</v>
      </c>
      <c r="F115" t="inlineStr">
        <is>
          <t>SÖDERMANLANDS LÄN</t>
        </is>
      </c>
      <c r="G115" t="inlineStr">
        <is>
          <t>ESKILSTUNA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46317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46317</v>
      </c>
      <c r="F117" t="inlineStr">
        <is>
          <t>SÖDERMANLANDS LÄN</t>
        </is>
      </c>
      <c r="G117" t="inlineStr">
        <is>
          <t>ESKILSTUNA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46317</v>
      </c>
      <c r="F118" t="inlineStr">
        <is>
          <t>SÖDERMANLANDS LÄN</t>
        </is>
      </c>
      <c r="G118" t="inlineStr">
        <is>
          <t>ESKILSTUNA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46317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46317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46317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46317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46317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46317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46317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46317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46317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46317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46317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44722</v>
      </c>
      <c r="E130" s="1" t="n">
        <v>46317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44789</v>
      </c>
      <c r="E131" s="1" t="n">
        <v>46317</v>
      </c>
      <c r="F131" t="inlineStr">
        <is>
          <t>SÖDERMANLANDS LÄN</t>
        </is>
      </c>
      <c r="G131" t="inlineStr">
        <is>
          <t>ESKILSTUNA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46317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46317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46317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46317</v>
      </c>
      <c r="F135" t="inlineStr">
        <is>
          <t>SÖDERMANLANDS LÄN</t>
        </is>
      </c>
      <c r="G135" t="inlineStr">
        <is>
          <t>ESKILSTUNA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44654</v>
      </c>
      <c r="E136" s="1" t="n">
        <v>46317</v>
      </c>
      <c r="F136" t="inlineStr">
        <is>
          <t>SÖDERMANLANDS LÄN</t>
        </is>
      </c>
      <c r="G136" t="inlineStr">
        <is>
          <t>ESKILSTUNA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46317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46317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46317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44643</v>
      </c>
      <c r="E140" s="1" t="n">
        <v>46317</v>
      </c>
      <c r="F140" t="inlineStr">
        <is>
          <t>SÖDERMANLANDS LÄN</t>
        </is>
      </c>
      <c r="G140" t="inlineStr">
        <is>
          <t>ESKILSTUNA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46317</v>
      </c>
      <c r="F141" t="inlineStr">
        <is>
          <t>SÖDERMANLANDS LÄN</t>
        </is>
      </c>
      <c r="G141" t="inlineStr">
        <is>
          <t>ESKILSTUNA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46317</v>
      </c>
      <c r="F142" t="inlineStr">
        <is>
          <t>SÖDERMANLANDS LÄN</t>
        </is>
      </c>
      <c r="G142" t="inlineStr">
        <is>
          <t>ESKILSTUNA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46317</v>
      </c>
      <c r="F143" t="inlineStr">
        <is>
          <t>SÖDERMANLANDS LÄN</t>
        </is>
      </c>
      <c r="G143" t="inlineStr">
        <is>
          <t>ESKILSTUNA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46317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Allmännings- och besparingsskogar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44748</v>
      </c>
      <c r="E145" s="1" t="n">
        <v>46317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70191-2021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44533</v>
      </c>
      <c r="E146" s="1" t="n">
        <v>46317</v>
      </c>
      <c r="F146" t="inlineStr">
        <is>
          <t>SÖDERMANLANDS LÄN</t>
        </is>
      </c>
      <c r="G146" t="inlineStr">
        <is>
          <t>ESKILSTUNA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46317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46317</v>
      </c>
      <c r="F148" t="inlineStr">
        <is>
          <t>SÖDERMANLANDS LÄN</t>
        </is>
      </c>
      <c r="G148" t="inlineStr">
        <is>
          <t>ESKILSTUNA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46317</v>
      </c>
      <c r="F149" t="inlineStr">
        <is>
          <t>SÖDERMANLANDS LÄN</t>
        </is>
      </c>
      <c r="G149" t="inlineStr">
        <is>
          <t>ESKILSTUNA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44739</v>
      </c>
      <c r="E150" s="1" t="n">
        <v>46317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45429</v>
      </c>
      <c r="E151" s="1" t="n">
        <v>46317</v>
      </c>
      <c r="F151" t="inlineStr">
        <is>
          <t>SÖDERMANLANDS LÄN</t>
        </is>
      </c>
      <c r="G151" t="inlineStr">
        <is>
          <t>ESKILSTUNA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57304-2023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45245</v>
      </c>
      <c r="E152" s="1" t="n">
        <v>46317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Sveaskog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46317</v>
      </c>
      <c r="F153" t="inlineStr">
        <is>
          <t>SÖDERMANLANDS LÄN</t>
        </is>
      </c>
      <c r="G153" t="inlineStr">
        <is>
          <t>ESKILSTUNA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46317</v>
      </c>
      <c r="F154" t="inlineStr">
        <is>
          <t>SÖDERMANLANDS LÄN</t>
        </is>
      </c>
      <c r="G154" t="inlineStr">
        <is>
          <t>ESKILSTUNA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46317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44799</v>
      </c>
      <c r="E156" s="1" t="n">
        <v>46317</v>
      </c>
      <c r="F156" t="inlineStr">
        <is>
          <t>SÖDERMANLANDS LÄN</t>
        </is>
      </c>
      <c r="G156" t="inlineStr">
        <is>
          <t>ESKILSTUNA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46317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46317</v>
      </c>
      <c r="F158" t="inlineStr">
        <is>
          <t>SÖDERMANLANDS LÄN</t>
        </is>
      </c>
      <c r="G158" t="inlineStr">
        <is>
          <t>ESKILSTUNA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44593</v>
      </c>
      <c r="E159" s="1" t="n">
        <v>46317</v>
      </c>
      <c r="F159" t="inlineStr">
        <is>
          <t>SÖDERMANLANDS LÄN</t>
        </is>
      </c>
      <c r="G159" t="inlineStr">
        <is>
          <t>ESKILSTUNA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46317</v>
      </c>
      <c r="F160" t="inlineStr">
        <is>
          <t>SÖDERMANLANDS LÄN</t>
        </is>
      </c>
      <c r="G160" t="inlineStr">
        <is>
          <t>ESKILSTUNA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46317</v>
      </c>
      <c r="F161" t="inlineStr">
        <is>
          <t>SÖDERMANLANDS LÄN</t>
        </is>
      </c>
      <c r="G161" t="inlineStr">
        <is>
          <t>ESKILSTUNA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46317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46317</v>
      </c>
      <c r="F163" t="inlineStr">
        <is>
          <t>SÖDERMANLANDS LÄN</t>
        </is>
      </c>
      <c r="G163" t="inlineStr">
        <is>
          <t>ESKILSTUNA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46317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46317</v>
      </c>
      <c r="F165" t="inlineStr">
        <is>
          <t>SÖDERMANLANDS LÄN</t>
        </is>
      </c>
      <c r="G165" t="inlineStr">
        <is>
          <t>ESKILSTUNA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45464</v>
      </c>
      <c r="E166" s="1" t="n">
        <v>46317</v>
      </c>
      <c r="F166" t="inlineStr">
        <is>
          <t>SÖDERMANLANDS LÄN</t>
        </is>
      </c>
      <c r="G166" t="inlineStr">
        <is>
          <t>ESKILSTUNA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44626</v>
      </c>
      <c r="E167" s="1" t="n">
        <v>46317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46317</v>
      </c>
      <c r="F168" t="inlineStr">
        <is>
          <t>SÖDERMANLANDS LÄN</t>
        </is>
      </c>
      <c r="G168" t="inlineStr">
        <is>
          <t>ESKILSTUNA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61367-2021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44499</v>
      </c>
      <c r="E169" s="1" t="n">
        <v>46317</v>
      </c>
      <c r="F169" t="inlineStr">
        <is>
          <t>SÖDERMANLANDS LÄN</t>
        </is>
      </c>
      <c r="G169" t="inlineStr">
        <is>
          <t>ESKILSTUNA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45464</v>
      </c>
      <c r="E170" s="1" t="n">
        <v>46317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46317</v>
      </c>
      <c r="F171" t="inlineStr">
        <is>
          <t>SÖDERMANLANDS LÄN</t>
        </is>
      </c>
      <c r="G171" t="inlineStr">
        <is>
          <t>ESKILSTUNA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46317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24537-2025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45798</v>
      </c>
      <c r="E173" s="1" t="n">
        <v>46317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24534-2025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45798</v>
      </c>
      <c r="E174" s="1" t="n">
        <v>46317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24535-2025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45798</v>
      </c>
      <c r="E175" s="1" t="n">
        <v>46317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24536-2025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45798</v>
      </c>
      <c r="E176" s="1" t="n">
        <v>46317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46317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46317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46317</v>
      </c>
      <c r="F179" t="inlineStr">
        <is>
          <t>SÖDERMANLANDS LÄN</t>
        </is>
      </c>
      <c r="G179" t="inlineStr">
        <is>
          <t>ESKILSTUNA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46317</v>
      </c>
      <c r="F180" t="inlineStr">
        <is>
          <t>SÖDERMANLANDS LÄN</t>
        </is>
      </c>
      <c r="G180" t="inlineStr">
        <is>
          <t>ESKILSTUNA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46317</v>
      </c>
      <c r="F181" t="inlineStr">
        <is>
          <t>SÖDERMANLANDS LÄN</t>
        </is>
      </c>
      <c r="G181" t="inlineStr">
        <is>
          <t>ESKILSTUNA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46317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Allmännings- och besparingsskogar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46317</v>
      </c>
      <c r="F183" t="inlineStr">
        <is>
          <t>SÖDERMANLANDS LÄN</t>
        </is>
      </c>
      <c r="G183" t="inlineStr">
        <is>
          <t>ESKILSTUNA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46317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46317</v>
      </c>
      <c r="F185" t="inlineStr">
        <is>
          <t>SÖDERMANLANDS LÄN</t>
        </is>
      </c>
      <c r="G185" t="inlineStr">
        <is>
          <t>ESKILSTUNA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46317</v>
      </c>
      <c r="F186" t="inlineStr">
        <is>
          <t>SÖDERMANLANDS LÄN</t>
        </is>
      </c>
      <c r="G186" t="inlineStr">
        <is>
          <t>ESKILSTUNA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46317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45012</v>
      </c>
      <c r="E188" s="1" t="n">
        <v>46317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Kommuner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65349-2021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44515</v>
      </c>
      <c r="E189" s="1" t="n">
        <v>46317</v>
      </c>
      <c r="F189" t="inlineStr">
        <is>
          <t>SÖDERMANLANDS LÄN</t>
        </is>
      </c>
      <c r="G189" t="inlineStr">
        <is>
          <t>ESKILSTUNA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46317</v>
      </c>
      <c r="F190" t="inlineStr">
        <is>
          <t>SÖDERMANLANDS LÄN</t>
        </is>
      </c>
      <c r="G190" t="inlineStr">
        <is>
          <t>ESKILSTUNA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46317</v>
      </c>
      <c r="F191" t="inlineStr">
        <is>
          <t>SÖDERMANLANDS LÄN</t>
        </is>
      </c>
      <c r="G191" t="inlineStr">
        <is>
          <t>ESKILSTUNA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46317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46317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46317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46317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46317</v>
      </c>
      <c r="F196" t="inlineStr">
        <is>
          <t>SÖDERMANLANDS LÄN</t>
        </is>
      </c>
      <c r="G196" t="inlineStr">
        <is>
          <t>ESKILSTUNA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46317</v>
      </c>
      <c r="F197" t="inlineStr">
        <is>
          <t>SÖDERMANLANDS LÄN</t>
        </is>
      </c>
      <c r="G197" t="inlineStr">
        <is>
          <t>ESKILSTUNA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46317</v>
      </c>
      <c r="F198" t="inlineStr">
        <is>
          <t>SÖDERMANLANDS LÄN</t>
        </is>
      </c>
      <c r="G198" t="inlineStr">
        <is>
          <t>ESKILSTUNA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46317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45826</v>
      </c>
      <c r="E200" s="1" t="n">
        <v>46317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46317</v>
      </c>
      <c r="F201" t="inlineStr">
        <is>
          <t>SÖDERMANLANDS LÄN</t>
        </is>
      </c>
      <c r="G201" t="inlineStr">
        <is>
          <t>ESKILSTUNA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46317</v>
      </c>
      <c r="F202" t="inlineStr">
        <is>
          <t>SÖDERMANLANDS LÄN</t>
        </is>
      </c>
      <c r="G202" t="inlineStr">
        <is>
          <t>ESKILSTUNA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46317</v>
      </c>
      <c r="F203" t="inlineStr">
        <is>
          <t>SÖDERMANLANDS LÄN</t>
        </is>
      </c>
      <c r="G203" t="inlineStr">
        <is>
          <t>ESKILSTUNA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46317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46317</v>
      </c>
      <c r="F205" t="inlineStr">
        <is>
          <t>SÖDERMANLANDS LÄN</t>
        </is>
      </c>
      <c r="G205" t="inlineStr">
        <is>
          <t>ESKILSTUNA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46317</v>
      </c>
      <c r="F206" t="inlineStr">
        <is>
          <t>SÖDERMANLANDS LÄN</t>
        </is>
      </c>
      <c r="G206" t="inlineStr">
        <is>
          <t>ESKILSTUNA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46317</v>
      </c>
      <c r="F207" t="inlineStr">
        <is>
          <t>SÖDERMANLANDS LÄN</t>
        </is>
      </c>
      <c r="G207" t="inlineStr">
        <is>
          <t>ESKILSTUNA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46317</v>
      </c>
      <c r="F208" t="inlineStr">
        <is>
          <t>SÖDERMANLANDS LÄN</t>
        </is>
      </c>
      <c r="G208" t="inlineStr">
        <is>
          <t>ESKILSTUNA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44616</v>
      </c>
      <c r="E209" s="1" t="n">
        <v>46317</v>
      </c>
      <c r="F209" t="inlineStr">
        <is>
          <t>SÖDERMANLANDS LÄN</t>
        </is>
      </c>
      <c r="G209" t="inlineStr">
        <is>
          <t>ESKILSTUNA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46317</v>
      </c>
      <c r="F210" t="inlineStr">
        <is>
          <t>SÖDERMANLANDS LÄN</t>
        </is>
      </c>
      <c r="G210" t="inlineStr">
        <is>
          <t>ESKILSTUNA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46317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46317</v>
      </c>
      <c r="F212" t="inlineStr">
        <is>
          <t>SÖDERMANLANDS LÄN</t>
        </is>
      </c>
      <c r="G212" t="inlineStr">
        <is>
          <t>ESKILSTUNA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12547-2022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44638</v>
      </c>
      <c r="E213" s="1" t="n">
        <v>46317</v>
      </c>
      <c r="F213" t="inlineStr">
        <is>
          <t>SÖDERMANLANDS LÄN</t>
        </is>
      </c>
      <c r="G213" t="inlineStr">
        <is>
          <t>ESKILSTUNA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46317</v>
      </c>
      <c r="F214" t="inlineStr">
        <is>
          <t>SÖDERMANLANDS LÄN</t>
        </is>
      </c>
      <c r="G214" t="inlineStr">
        <is>
          <t>ESKILSTUNA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45604</v>
      </c>
      <c r="E215" s="1" t="n">
        <v>46317</v>
      </c>
      <c r="F215" t="inlineStr">
        <is>
          <t>SÖDERMANLANDS LÄN</t>
        </is>
      </c>
      <c r="G215" t="inlineStr">
        <is>
          <t>ESKILSTUNA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45036</v>
      </c>
      <c r="E216" s="1" t="n">
        <v>46317</v>
      </c>
      <c r="F216" t="inlineStr">
        <is>
          <t>SÖDERMANLANDS LÄN</t>
        </is>
      </c>
      <c r="G216" t="inlineStr">
        <is>
          <t>ESKILSTUNA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46317</v>
      </c>
      <c r="F217" t="inlineStr">
        <is>
          <t>SÖDERMANLANDS LÄN</t>
        </is>
      </c>
      <c r="G217" t="inlineStr">
        <is>
          <t>ESKILSTUNA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46317</v>
      </c>
      <c r="F218" t="inlineStr">
        <is>
          <t>SÖDERMANLANDS LÄN</t>
        </is>
      </c>
      <c r="G218" t="inlineStr">
        <is>
          <t>ESKILSTUNA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46317</v>
      </c>
      <c r="F219" t="inlineStr">
        <is>
          <t>SÖDERMANLANDS LÄN</t>
        </is>
      </c>
      <c r="G219" t="inlineStr">
        <is>
          <t>ESKILSTUNA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46317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46317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45875</v>
      </c>
      <c r="E222" s="1" t="n">
        <v>46317</v>
      </c>
      <c r="F222" t="inlineStr">
        <is>
          <t>SÖDERMANLANDS LÄN</t>
        </is>
      </c>
      <c r="G222" t="inlineStr">
        <is>
          <t>ESKILSTUNA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46317</v>
      </c>
      <c r="F223" t="inlineStr">
        <is>
          <t>SÖDERMANLANDS LÄN</t>
        </is>
      </c>
      <c r="G223" t="inlineStr">
        <is>
          <t>ESKILSTUNA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45266</v>
      </c>
      <c r="E224" s="1" t="n">
        <v>46317</v>
      </c>
      <c r="F224" t="inlineStr">
        <is>
          <t>SÖDERMANLANDS LÄN</t>
        </is>
      </c>
      <c r="G224" t="inlineStr">
        <is>
          <t>ESKILSTUNA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44739</v>
      </c>
      <c r="E225" s="1" t="n">
        <v>46317</v>
      </c>
      <c r="F225" t="inlineStr">
        <is>
          <t>SÖDERMANLANDS LÄN</t>
        </is>
      </c>
      <c r="G225" t="inlineStr">
        <is>
          <t>ESKILSTUNA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46317</v>
      </c>
      <c r="F226" t="inlineStr">
        <is>
          <t>SÖDERMANLANDS LÄN</t>
        </is>
      </c>
      <c r="G226" t="inlineStr">
        <is>
          <t>ESKILSTUNA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46317</v>
      </c>
      <c r="F227" t="inlineStr">
        <is>
          <t>SÖDERMANLANDS LÄN</t>
        </is>
      </c>
      <c r="G227" t="inlineStr">
        <is>
          <t>ESKILSTUNA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44698</v>
      </c>
      <c r="E228" s="1" t="n">
        <v>46317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46317</v>
      </c>
      <c r="F229" t="inlineStr">
        <is>
          <t>SÖDERMANLANDS LÄN</t>
        </is>
      </c>
      <c r="G229" t="inlineStr">
        <is>
          <t>ESKILSTUNA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46317</v>
      </c>
      <c r="F230" t="inlineStr">
        <is>
          <t>SÖDERMANLANDS LÄN</t>
        </is>
      </c>
      <c r="G230" t="inlineStr">
        <is>
          <t>ESKILSTUNA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44946</v>
      </c>
      <c r="E231" s="1" t="n">
        <v>46317</v>
      </c>
      <c r="F231" t="inlineStr">
        <is>
          <t>SÖDERMANLANDS LÄN</t>
        </is>
      </c>
      <c r="G231" t="inlineStr">
        <is>
          <t>ESKILSTUNA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46317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44746</v>
      </c>
      <c r="E233" s="1" t="n">
        <v>46317</v>
      </c>
      <c r="F233" t="inlineStr">
        <is>
          <t>SÖDERMANLANDS LÄN</t>
        </is>
      </c>
      <c r="G233" t="inlineStr">
        <is>
          <t>ESKILSTUNA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45979</v>
      </c>
      <c r="E234" s="1" t="n">
        <v>46317</v>
      </c>
      <c r="F234" t="inlineStr">
        <is>
          <t>SÖDERMANLANDS LÄN</t>
        </is>
      </c>
      <c r="G234" t="inlineStr">
        <is>
          <t>ESKILSTUNA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46317</v>
      </c>
      <c r="F235" t="inlineStr">
        <is>
          <t>SÖDERMANLANDS LÄN</t>
        </is>
      </c>
      <c r="G235" t="inlineStr">
        <is>
          <t>ESKILSTUNA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46317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46317</v>
      </c>
      <c r="F237" t="inlineStr">
        <is>
          <t>SÖDERMANLANDS LÄN</t>
        </is>
      </c>
      <c r="G237" t="inlineStr">
        <is>
          <t>ESKILSTUNA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46317</v>
      </c>
      <c r="F238" t="inlineStr">
        <is>
          <t>SÖDERMANLANDS LÄN</t>
        </is>
      </c>
      <c r="G238" t="inlineStr">
        <is>
          <t>ESKILSTUNA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46317</v>
      </c>
      <c r="F239" t="inlineStr">
        <is>
          <t>SÖDERMANLANDS LÄN</t>
        </is>
      </c>
      <c r="G239" t="inlineStr">
        <is>
          <t>ESKILSTUNA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46317</v>
      </c>
      <c r="F240" t="inlineStr">
        <is>
          <t>SÖDERMANLANDS LÄN</t>
        </is>
      </c>
      <c r="G240" t="inlineStr">
        <is>
          <t>ESKILSTUNA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44983</v>
      </c>
      <c r="E241" s="1" t="n">
        <v>46317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46317</v>
      </c>
      <c r="F242" t="inlineStr">
        <is>
          <t>SÖDERMANLANDS LÄN</t>
        </is>
      </c>
      <c r="G242" t="inlineStr">
        <is>
          <t>ESKILSTUNA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61866-2022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46317</v>
      </c>
      <c r="F243" t="inlineStr">
        <is>
          <t>SÖDERMANLANDS LÄN</t>
        </is>
      </c>
      <c r="G243" t="inlineStr">
        <is>
          <t>ESKILSTUNA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46317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46317</v>
      </c>
      <c r="F245" t="inlineStr">
        <is>
          <t>SÖDERMANLANDS LÄN</t>
        </is>
      </c>
      <c r="G245" t="inlineStr">
        <is>
          <t>ESKILSTUNA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51801-2025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45950</v>
      </c>
      <c r="E246" s="1" t="n">
        <v>46317</v>
      </c>
      <c r="F246" t="inlineStr">
        <is>
          <t>SÖDERMANLANDS LÄN</t>
        </is>
      </c>
      <c r="G246" t="inlineStr">
        <is>
          <t>ESKILSTUNA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46317</v>
      </c>
      <c r="F247" t="inlineStr">
        <is>
          <t>SÖDERMANLANDS LÄN</t>
        </is>
      </c>
      <c r="G247" t="inlineStr">
        <is>
          <t>ESKILSTUNA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46317</v>
      </c>
      <c r="F248" t="inlineStr">
        <is>
          <t>SÖDERMANLANDS LÄN</t>
        </is>
      </c>
      <c r="G248" t="inlineStr">
        <is>
          <t>ESKILSTUNA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44741</v>
      </c>
      <c r="E249" s="1" t="n">
        <v>46317</v>
      </c>
      <c r="F249" t="inlineStr">
        <is>
          <t>SÖDERMANLANDS LÄN</t>
        </is>
      </c>
      <c r="G249" t="inlineStr">
        <is>
          <t>ESKILSTUNA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61367-2021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44499</v>
      </c>
      <c r="E250" s="1" t="n">
        <v>46317</v>
      </c>
      <c r="F250" t="inlineStr">
        <is>
          <t>SÖDERMANLANDS LÄN</t>
        </is>
      </c>
      <c r="G250" t="inlineStr">
        <is>
          <t>ESKILSTUNA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65595-2021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46317</v>
      </c>
      <c r="F251" t="inlineStr">
        <is>
          <t>SÖDERMANLANDS LÄN</t>
        </is>
      </c>
      <c r="G251" t="inlineStr">
        <is>
          <t>ESKILSTUNA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46317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Allmännings- och besparingsskogar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46317</v>
      </c>
      <c r="F253" t="inlineStr">
        <is>
          <t>SÖDERMANLANDS LÄN</t>
        </is>
      </c>
      <c r="G253" t="inlineStr">
        <is>
          <t>ESKILSTUNA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38895-2023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45163</v>
      </c>
      <c r="E254" s="1" t="n">
        <v>46317</v>
      </c>
      <c r="F254" t="inlineStr">
        <is>
          <t>SÖDERMANLANDS LÄN</t>
        </is>
      </c>
      <c r="G254" t="inlineStr">
        <is>
          <t>ESKILSTUNA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45713</v>
      </c>
      <c r="E255" s="1" t="n">
        <v>46317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Allmännings- och besparingsskogar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44832</v>
      </c>
      <c r="E256" s="1" t="n">
        <v>46317</v>
      </c>
      <c r="F256" t="inlineStr">
        <is>
          <t>SÖDERMANLANDS LÄN</t>
        </is>
      </c>
      <c r="G256" t="inlineStr">
        <is>
          <t>ESKILSTUNA</t>
        </is>
      </c>
      <c r="I256" t="n">
        <v>19.9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46317</v>
      </c>
      <c r="F257" t="inlineStr">
        <is>
          <t>SÖDERMANLANDS LÄN</t>
        </is>
      </c>
      <c r="G257" t="inlineStr">
        <is>
          <t>ESKILSTUNA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44886</v>
      </c>
      <c r="E258" s="1" t="n">
        <v>46317</v>
      </c>
      <c r="F258" t="inlineStr">
        <is>
          <t>SÖDERMANLANDS LÄN</t>
        </is>
      </c>
      <c r="G258" t="inlineStr">
        <is>
          <t>ESKILSTUNA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68022-2021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46317</v>
      </c>
      <c r="F259" t="inlineStr">
        <is>
          <t>SÖDERMANLANDS LÄN</t>
        </is>
      </c>
      <c r="G259" t="inlineStr">
        <is>
          <t>ESKILSTUNA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46317</v>
      </c>
      <c r="F260" t="inlineStr">
        <is>
          <t>SÖDERMANLANDS LÄN</t>
        </is>
      </c>
      <c r="G260" t="inlineStr">
        <is>
          <t>ESKILSTUNA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46317</v>
      </c>
      <c r="F261" t="inlineStr">
        <is>
          <t>SÖDERMANLANDS LÄN</t>
        </is>
      </c>
      <c r="G261" t="inlineStr">
        <is>
          <t>ESKILSTUNA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46317</v>
      </c>
      <c r="F262" t="inlineStr">
        <is>
          <t>SÖDERMANLANDS LÄN</t>
        </is>
      </c>
      <c r="G262" t="inlineStr">
        <is>
          <t>ESKILSTUNA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16391-2022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44671</v>
      </c>
      <c r="E263" s="1" t="n">
        <v>46317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46317</v>
      </c>
      <c r="F264" t="inlineStr">
        <is>
          <t>SÖDERMANLANDS LÄN</t>
        </is>
      </c>
      <c r="G264" t="inlineStr">
        <is>
          <t>ESKILSTUNA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46317</v>
      </c>
      <c r="F265" t="inlineStr">
        <is>
          <t>SÖDERMANLANDS LÄN</t>
        </is>
      </c>
      <c r="G265" t="inlineStr">
        <is>
          <t>ESKILSTUNA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46317</v>
      </c>
      <c r="F266" t="inlineStr">
        <is>
          <t>SÖDERMANLANDS LÄN</t>
        </is>
      </c>
      <c r="G266" t="inlineStr">
        <is>
          <t>ESKILSTUNA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46317</v>
      </c>
      <c r="F267" t="inlineStr">
        <is>
          <t>SÖDERMANLANDS LÄN</t>
        </is>
      </c>
      <c r="G267" t="inlineStr">
        <is>
          <t>ESKILSTUNA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46317</v>
      </c>
      <c r="F268" t="inlineStr">
        <is>
          <t>SÖDERMANLANDS LÄN</t>
        </is>
      </c>
      <c r="G268" t="inlineStr">
        <is>
          <t>ESKILSTUNA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46317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46317</v>
      </c>
      <c r="F270" t="inlineStr">
        <is>
          <t>SÖDERMANLANDS LÄN</t>
        </is>
      </c>
      <c r="G270" t="inlineStr">
        <is>
          <t>ESKILSTUNA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65614-2021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44516</v>
      </c>
      <c r="E271" s="1" t="n">
        <v>46317</v>
      </c>
      <c r="F271" t="inlineStr">
        <is>
          <t>SÖDERMANLANDS LÄN</t>
        </is>
      </c>
      <c r="G271" t="inlineStr">
        <is>
          <t>ESKILSTUNA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44916</v>
      </c>
      <c r="E272" s="1" t="n">
        <v>46317</v>
      </c>
      <c r="F272" t="inlineStr">
        <is>
          <t>SÖDERMANLANDS LÄN</t>
        </is>
      </c>
      <c r="G272" t="inlineStr">
        <is>
          <t>ESKILSTUNA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44888</v>
      </c>
      <c r="E273" s="1" t="n">
        <v>46317</v>
      </c>
      <c r="F273" t="inlineStr">
        <is>
          <t>SÖDERMANLANDS LÄN</t>
        </is>
      </c>
      <c r="G273" t="inlineStr">
        <is>
          <t>ESKILSTUNA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50310-2022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46317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Kyrkan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46317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44664</v>
      </c>
      <c r="E276" s="1" t="n">
        <v>46317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Allmännings- och besparingsskogar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46317</v>
      </c>
      <c r="F277" t="inlineStr">
        <is>
          <t>SÖDERMANLANDS LÄN</t>
        </is>
      </c>
      <c r="G277" t="inlineStr">
        <is>
          <t>ESKILSTUNA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46317</v>
      </c>
      <c r="F278" t="inlineStr">
        <is>
          <t>SÖDERMANLANDS LÄN</t>
        </is>
      </c>
      <c r="G278" t="inlineStr">
        <is>
          <t>ESKILSTUNA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46317</v>
      </c>
      <c r="F279" t="inlineStr">
        <is>
          <t>SÖDERMANLANDS LÄN</t>
        </is>
      </c>
      <c r="G279" t="inlineStr">
        <is>
          <t>ESKILSTUNA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46317</v>
      </c>
      <c r="F280" t="inlineStr">
        <is>
          <t>SÖDERMANLANDS LÄN</t>
        </is>
      </c>
      <c r="G280" t="inlineStr">
        <is>
          <t>ESKILSTUNA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44729</v>
      </c>
      <c r="E281" s="1" t="n">
        <v>46317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46317</v>
      </c>
      <c r="F282" t="inlineStr">
        <is>
          <t>SÖDERMANLANDS LÄN</t>
        </is>
      </c>
      <c r="G282" t="inlineStr">
        <is>
          <t>ESKILSTUNA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46317</v>
      </c>
      <c r="F283" t="inlineStr">
        <is>
          <t>SÖDERMANLANDS LÄN</t>
        </is>
      </c>
      <c r="G283" t="inlineStr">
        <is>
          <t>ESKILSTUNA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46317</v>
      </c>
      <c r="F284" t="inlineStr">
        <is>
          <t>SÖDERMANLANDS LÄN</t>
        </is>
      </c>
      <c r="G284" t="inlineStr">
        <is>
          <t>ESKILSTUNA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46317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18105-2026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46125</v>
      </c>
      <c r="E286" s="1" t="n">
        <v>46317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46317</v>
      </c>
      <c r="F287" t="inlineStr">
        <is>
          <t>SÖDERMANLANDS LÄN</t>
        </is>
      </c>
      <c r="G287" t="inlineStr">
        <is>
          <t>ESKILSTUNA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46317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46317</v>
      </c>
      <c r="F289" t="inlineStr">
        <is>
          <t>SÖDERMANLANDS LÄN</t>
        </is>
      </c>
      <c r="G289" t="inlineStr">
        <is>
          <t>ESKILSTUNA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46317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46317</v>
      </c>
      <c r="F291" t="inlineStr">
        <is>
          <t>SÖDERMANLANDS LÄN</t>
        </is>
      </c>
      <c r="G291" t="inlineStr">
        <is>
          <t>ESKILSTUNA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46317</v>
      </c>
      <c r="F292" t="inlineStr">
        <is>
          <t>SÖDERMANLANDS LÄN</t>
        </is>
      </c>
      <c r="G292" t="inlineStr">
        <is>
          <t>ESKILSTUNA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45099</v>
      </c>
      <c r="E293" s="1" t="n">
        <v>46317</v>
      </c>
      <c r="F293" t="inlineStr">
        <is>
          <t>SÖDERMANLANDS LÄN</t>
        </is>
      </c>
      <c r="G293" t="inlineStr">
        <is>
          <t>ESKILSTUNA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46317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46317</v>
      </c>
      <c r="F295" t="inlineStr">
        <is>
          <t>SÖDERMANLANDS LÄN</t>
        </is>
      </c>
      <c r="G295" t="inlineStr">
        <is>
          <t>ESKILSTUNA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46317</v>
      </c>
      <c r="F296" t="inlineStr">
        <is>
          <t>SÖDERMANLANDS LÄN</t>
        </is>
      </c>
      <c r="G296" t="inlineStr">
        <is>
          <t>ESKILSTUNA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46317</v>
      </c>
      <c r="F297" t="inlineStr">
        <is>
          <t>SÖDERMANLANDS LÄN</t>
        </is>
      </c>
      <c r="G297" t="inlineStr">
        <is>
          <t>ESKILSTUNA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45049</v>
      </c>
      <c r="E298" s="1" t="n">
        <v>46317</v>
      </c>
      <c r="F298" t="inlineStr">
        <is>
          <t>SÖDERMANLANDS LÄN</t>
        </is>
      </c>
      <c r="G298" t="inlineStr">
        <is>
          <t>ESKILSTUNA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36565-2022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44804</v>
      </c>
      <c r="E299" s="1" t="n">
        <v>46317</v>
      </c>
      <c r="F299" t="inlineStr">
        <is>
          <t>SÖDERMANLANDS LÄN</t>
        </is>
      </c>
      <c r="G299" t="inlineStr">
        <is>
          <t>ESKILSTUNA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1340-2024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45303</v>
      </c>
      <c r="E300" s="1" t="n">
        <v>46317</v>
      </c>
      <c r="F300" t="inlineStr">
        <is>
          <t>SÖDERMANLANDS LÄN</t>
        </is>
      </c>
      <c r="G300" t="inlineStr">
        <is>
          <t>ESKILSTUNA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45608</v>
      </c>
      <c r="E301" s="1" t="n">
        <v>46317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Övriga Aktiebolag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46317</v>
      </c>
      <c r="F302" t="inlineStr">
        <is>
          <t>SÖDERMANLANDS LÄN</t>
        </is>
      </c>
      <c r="G302" t="inlineStr">
        <is>
          <t>ESKILSTUNA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46317</v>
      </c>
      <c r="F303" t="inlineStr">
        <is>
          <t>SÖDERMANLANDS LÄN</t>
        </is>
      </c>
      <c r="G303" t="inlineStr">
        <is>
          <t>ESKILSTUNA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70265-2021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46317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46317</v>
      </c>
      <c r="F305" t="inlineStr">
        <is>
          <t>SÖDERMANLANDS LÄN</t>
        </is>
      </c>
      <c r="G305" t="inlineStr">
        <is>
          <t>ESKILSTUNA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50484-2025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45945</v>
      </c>
      <c r="E306" s="1" t="n">
        <v>46317</v>
      </c>
      <c r="F306" t="inlineStr">
        <is>
          <t>SÖDERMANLANDS LÄN</t>
        </is>
      </c>
      <c r="G306" t="inlineStr">
        <is>
          <t>ESKILSTUNA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46608-2024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45582</v>
      </c>
      <c r="E307" s="1" t="n">
        <v>46317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68020-2021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44525</v>
      </c>
      <c r="E308" s="1" t="n">
        <v>46317</v>
      </c>
      <c r="F308" t="inlineStr">
        <is>
          <t>SÖDERMANLANDS LÄN</t>
        </is>
      </c>
      <c r="G308" t="inlineStr">
        <is>
          <t>ESKILSTUNA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46317</v>
      </c>
      <c r="F309" t="inlineStr">
        <is>
          <t>SÖDERMANLANDS LÄN</t>
        </is>
      </c>
      <c r="G309" t="inlineStr">
        <is>
          <t>ESKILSTUNA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45146</v>
      </c>
      <c r="E310" s="1" t="n">
        <v>46317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Kyrkan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46317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44701</v>
      </c>
      <c r="E312" s="1" t="n">
        <v>46317</v>
      </c>
      <c r="F312" t="inlineStr">
        <is>
          <t>SÖDERMANLANDS LÄN</t>
        </is>
      </c>
      <c r="G312" t="inlineStr">
        <is>
          <t>ESKILSTUNA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45069</v>
      </c>
      <c r="E313" s="1" t="n">
        <v>46317</v>
      </c>
      <c r="F313" t="inlineStr">
        <is>
          <t>SÖDERMANLANDS LÄN</t>
        </is>
      </c>
      <c r="G313" t="inlineStr">
        <is>
          <t>ESKILSTUNA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44626</v>
      </c>
      <c r="E314" s="1" t="n">
        <v>46317</v>
      </c>
      <c r="F314" t="inlineStr">
        <is>
          <t>SÖDERMANLANDS LÄN</t>
        </is>
      </c>
      <c r="G314" t="inlineStr">
        <is>
          <t>ESKILSTUNA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44927-2023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45190</v>
      </c>
      <c r="E315" s="1" t="n">
        <v>46317</v>
      </c>
      <c r="F315" t="inlineStr">
        <is>
          <t>SÖDERMANLANDS LÄN</t>
        </is>
      </c>
      <c r="G315" t="inlineStr">
        <is>
          <t>ESKILSTUNA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46317</v>
      </c>
      <c r="F316" t="inlineStr">
        <is>
          <t>SÖDERMANLANDS LÄN</t>
        </is>
      </c>
      <c r="G316" t="inlineStr">
        <is>
          <t>ESKILSTUNA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22605-2023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45071</v>
      </c>
      <c r="E317" s="1" t="n">
        <v>46317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Kyrkan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46317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44572</v>
      </c>
      <c r="E319" s="1" t="n">
        <v>46317</v>
      </c>
      <c r="F319" t="inlineStr">
        <is>
          <t>SÖDERMANLANDS LÄN</t>
        </is>
      </c>
      <c r="G319" t="inlineStr">
        <is>
          <t>ESKILSTUNA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44606</v>
      </c>
      <c r="E320" s="1" t="n">
        <v>46317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46317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60533-2024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45643</v>
      </c>
      <c r="E322" s="1" t="n">
        <v>46317</v>
      </c>
      <c r="F322" t="inlineStr">
        <is>
          <t>SÖDERMANLANDS LÄN</t>
        </is>
      </c>
      <c r="G322" t="inlineStr">
        <is>
          <t>ESKILSTUNA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46317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45107</v>
      </c>
      <c r="E324" s="1" t="n">
        <v>46317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46157</v>
      </c>
      <c r="E325" s="1" t="n">
        <v>46317</v>
      </c>
      <c r="F325" t="inlineStr">
        <is>
          <t>SÖDERMANLANDS LÄN</t>
        </is>
      </c>
      <c r="G325" t="inlineStr">
        <is>
          <t>ESKILSTUNA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46317</v>
      </c>
      <c r="F326" t="inlineStr">
        <is>
          <t>SÖDERMANLANDS LÄN</t>
        </is>
      </c>
      <c r="G326" t="inlineStr">
        <is>
          <t>ESKILSTUNA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9711-2025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45715</v>
      </c>
      <c r="E327" s="1" t="n">
        <v>46317</v>
      </c>
      <c r="F327" t="inlineStr">
        <is>
          <t>SÖDERMANLANDS LÄN</t>
        </is>
      </c>
      <c r="G327" t="inlineStr">
        <is>
          <t>ESKILSTUNA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46317</v>
      </c>
      <c r="F328" t="inlineStr">
        <is>
          <t>SÖDERMANLANDS LÄN</t>
        </is>
      </c>
      <c r="G328" t="inlineStr">
        <is>
          <t>ESKILSTUNA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46162</v>
      </c>
      <c r="E329" s="1" t="n">
        <v>46317</v>
      </c>
      <c r="F329" t="inlineStr">
        <is>
          <t>SÖDERMANLANDS LÄN</t>
        </is>
      </c>
      <c r="G329" t="inlineStr">
        <is>
          <t>ESKILSTUNA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52203-2025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45953</v>
      </c>
      <c r="E330" s="1" t="n">
        <v>46317</v>
      </c>
      <c r="F330" t="inlineStr">
        <is>
          <t>SÖDERMANLANDS LÄN</t>
        </is>
      </c>
      <c r="G330" t="inlineStr">
        <is>
          <t>ESKILSTUNA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46317</v>
      </c>
      <c r="F331" t="inlineStr">
        <is>
          <t>SÖDERMANLANDS LÄN</t>
        </is>
      </c>
      <c r="G331" t="inlineStr">
        <is>
          <t>ESKILSTUNA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46317</v>
      </c>
      <c r="F332" t="inlineStr">
        <is>
          <t>SÖDERMANLANDS LÄN</t>
        </is>
      </c>
      <c r="G332" t="inlineStr">
        <is>
          <t>ESKILSTUNA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44886</v>
      </c>
      <c r="E333" s="1" t="n">
        <v>46317</v>
      </c>
      <c r="F333" t="inlineStr">
        <is>
          <t>SÖDERMANLANDS LÄN</t>
        </is>
      </c>
      <c r="G333" t="inlineStr">
        <is>
          <t>ESKILSTUNA</t>
        </is>
      </c>
      <c r="I333" t="n">
        <v>15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46317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45237</v>
      </c>
      <c r="E335" s="1" t="n">
        <v>46317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46317</v>
      </c>
      <c r="F336" t="inlineStr">
        <is>
          <t>SÖDERMANLANDS LÄN</t>
        </is>
      </c>
      <c r="G336" t="inlineStr">
        <is>
          <t>ESKILSTUNA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4200-2025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45685</v>
      </c>
      <c r="E337" s="1" t="n">
        <v>46317</v>
      </c>
      <c r="F337" t="inlineStr">
        <is>
          <t>SÖDERMANLANDS LÄN</t>
        </is>
      </c>
      <c r="G337" t="inlineStr">
        <is>
          <t>ESKILSTUNA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46317</v>
      </c>
      <c r="F338" t="inlineStr">
        <is>
          <t>SÖDERMANLANDS LÄN</t>
        </is>
      </c>
      <c r="G338" t="inlineStr">
        <is>
          <t>ESKILSTUNA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44664</v>
      </c>
      <c r="E339" s="1" t="n">
        <v>46317</v>
      </c>
      <c r="F339" t="inlineStr">
        <is>
          <t>SÖDERMANLANDS LÄN</t>
        </is>
      </c>
      <c r="G339" t="inlineStr">
        <is>
          <t>ESKILSTUNA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45723</v>
      </c>
      <c r="E340" s="1" t="n">
        <v>46317</v>
      </c>
      <c r="F340" t="inlineStr">
        <is>
          <t>SÖDERMANLANDS LÄN</t>
        </is>
      </c>
      <c r="G340" t="inlineStr">
        <is>
          <t>ESKILSTUNA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46317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45240</v>
      </c>
      <c r="E342" s="1" t="n">
        <v>46317</v>
      </c>
      <c r="F342" t="inlineStr">
        <is>
          <t>SÖDERMANLANDS LÄN</t>
        </is>
      </c>
      <c r="G342" t="inlineStr">
        <is>
          <t>ESKILSTUNA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25229-2022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44729</v>
      </c>
      <c r="E343" s="1" t="n">
        <v>46317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Allmännings- och besparingsskogar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61831-2023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45266</v>
      </c>
      <c r="E344" s="1" t="n">
        <v>46317</v>
      </c>
      <c r="F344" t="inlineStr">
        <is>
          <t>SÖDERMANLANDS LÄN</t>
        </is>
      </c>
      <c r="G344" t="inlineStr">
        <is>
          <t>ESKILSTUNA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46317</v>
      </c>
      <c r="F345" t="inlineStr">
        <is>
          <t>SÖDERMANLANDS LÄN</t>
        </is>
      </c>
      <c r="G345" t="inlineStr">
        <is>
          <t>ESKILSTUNA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1330-2024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45303</v>
      </c>
      <c r="E346" s="1" t="n">
        <v>46317</v>
      </c>
      <c r="F346" t="inlineStr">
        <is>
          <t>SÖDERMANLANDS LÄN</t>
        </is>
      </c>
      <c r="G346" t="inlineStr">
        <is>
          <t>ESKILSTUNA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1334-2024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45303</v>
      </c>
      <c r="E347" s="1" t="n">
        <v>46317</v>
      </c>
      <c r="F347" t="inlineStr">
        <is>
          <t>SÖDERMANLANDS LÄN</t>
        </is>
      </c>
      <c r="G347" t="inlineStr">
        <is>
          <t>ESKILSTUNA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46317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46317</v>
      </c>
      <c r="F349" t="inlineStr">
        <is>
          <t>SÖDERMANLANDS LÄN</t>
        </is>
      </c>
      <c r="G349" t="inlineStr">
        <is>
          <t>ESKILSTUNA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44755</v>
      </c>
      <c r="E350" s="1" t="n">
        <v>46317</v>
      </c>
      <c r="F350" t="inlineStr">
        <is>
          <t>SÖDERMANLANDS LÄN</t>
        </is>
      </c>
      <c r="G350" t="inlineStr">
        <is>
          <t>ESKILSTUNA</t>
        </is>
      </c>
      <c r="I350" t="n">
        <v>20.1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46317</v>
      </c>
      <c r="F351" t="inlineStr">
        <is>
          <t>SÖDERMANLANDS LÄN</t>
        </is>
      </c>
      <c r="G351" t="inlineStr">
        <is>
          <t>ESKILSTUNA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46317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30968-2022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44768</v>
      </c>
      <c r="E353" s="1" t="n">
        <v>46317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Sveaskog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46317</v>
      </c>
      <c r="F354" t="inlineStr">
        <is>
          <t>SÖDERMANLANDS LÄN</t>
        </is>
      </c>
      <c r="G354" t="inlineStr">
        <is>
          <t>ESKILSTUNA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46317</v>
      </c>
      <c r="F355" t="inlineStr">
        <is>
          <t>SÖDERMANLANDS LÄN</t>
        </is>
      </c>
      <c r="G355" t="inlineStr">
        <is>
          <t>ESKILSTUNA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44966</v>
      </c>
      <c r="E356" s="1" t="n">
        <v>46317</v>
      </c>
      <c r="F356" t="inlineStr">
        <is>
          <t>SÖDERMANLANDS LÄN</t>
        </is>
      </c>
      <c r="G356" t="inlineStr">
        <is>
          <t>ESKILSTUNA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46317</v>
      </c>
      <c r="F357" t="inlineStr">
        <is>
          <t>SÖDERMANLANDS LÄN</t>
        </is>
      </c>
      <c r="G357" t="inlineStr">
        <is>
          <t>ESKILSTUNA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46317</v>
      </c>
      <c r="F358" t="inlineStr">
        <is>
          <t>SÖDERMANLANDS LÄN</t>
        </is>
      </c>
      <c r="G358" t="inlineStr">
        <is>
          <t>ESKILSTUNA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46317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44998</v>
      </c>
      <c r="E360" s="1" t="n">
        <v>46317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Kommuner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61830-2023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45266</v>
      </c>
      <c r="E361" s="1" t="n">
        <v>46317</v>
      </c>
      <c r="F361" t="inlineStr">
        <is>
          <t>SÖDERMANLANDS LÄN</t>
        </is>
      </c>
      <c r="G361" t="inlineStr">
        <is>
          <t>ESKILSTUNA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46317</v>
      </c>
      <c r="F362" t="inlineStr">
        <is>
          <t>SÖDERMANLANDS LÄN</t>
        </is>
      </c>
      <c r="G362" t="inlineStr">
        <is>
          <t>ESKILSTUNA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46317</v>
      </c>
      <c r="F363" t="inlineStr">
        <is>
          <t>SÖDERMANLANDS LÄN</t>
        </is>
      </c>
      <c r="G363" t="inlineStr">
        <is>
          <t>ESKILSTUNA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45537</v>
      </c>
      <c r="E364" s="1" t="n">
        <v>46317</v>
      </c>
      <c r="F364" t="inlineStr">
        <is>
          <t>SÖDERMANLANDS LÄN</t>
        </is>
      </c>
      <c r="G364" t="inlineStr">
        <is>
          <t>ESKILSTUNA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44582</v>
      </c>
      <c r="E365" s="1" t="n">
        <v>46317</v>
      </c>
      <c r="F365" t="inlineStr">
        <is>
          <t>SÖDERMANLANDS LÄN</t>
        </is>
      </c>
      <c r="G365" t="inlineStr">
        <is>
          <t>ESKILSTUNA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46317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36142-2022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44803</v>
      </c>
      <c r="E367" s="1" t="n">
        <v>46317</v>
      </c>
      <c r="F367" t="inlineStr">
        <is>
          <t>SÖDERMANLANDS LÄN</t>
        </is>
      </c>
      <c r="G367" t="inlineStr">
        <is>
          <t>ESKILSTUNA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44803</v>
      </c>
      <c r="E368" s="1" t="n">
        <v>46317</v>
      </c>
      <c r="F368" t="inlineStr">
        <is>
          <t>SÖDERMANLANDS LÄN</t>
        </is>
      </c>
      <c r="G368" t="inlineStr">
        <is>
          <t>ESKILSTUNA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27779-2026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46191</v>
      </c>
      <c r="E369" s="1" t="n">
        <v>46317</v>
      </c>
      <c r="F369" t="inlineStr">
        <is>
          <t>SÖDERMANLANDS LÄN</t>
        </is>
      </c>
      <c r="G369" t="inlineStr">
        <is>
          <t>ESKILSTUNA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70613-2021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44537</v>
      </c>
      <c r="E370" s="1" t="n">
        <v>46317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46317</v>
      </c>
      <c r="F371" t="inlineStr">
        <is>
          <t>SÖDERMANLANDS LÄN</t>
        </is>
      </c>
      <c r="G371" t="inlineStr">
        <is>
          <t>ESKILSTUNA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44615-2022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44839</v>
      </c>
      <c r="E372" s="1" t="n">
        <v>46317</v>
      </c>
      <c r="F372" t="inlineStr">
        <is>
          <t>SÖDERMANLANDS LÄN</t>
        </is>
      </c>
      <c r="G372" t="inlineStr">
        <is>
          <t>ESKILSTUNA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45763</v>
      </c>
      <c r="E373" s="1" t="n">
        <v>46317</v>
      </c>
      <c r="F373" t="inlineStr">
        <is>
          <t>SÖDERMANLANDS LÄN</t>
        </is>
      </c>
      <c r="G373" t="inlineStr">
        <is>
          <t>ESKILSTUNA</t>
        </is>
      </c>
      <c r="I373" t="n">
        <v>15.6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29053-2026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46199</v>
      </c>
      <c r="E374" s="1" t="n">
        <v>46317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29051-2026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46199</v>
      </c>
      <c r="E375" s="1" t="n">
        <v>46317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44874</v>
      </c>
      <c r="E376" s="1" t="n">
        <v>46317</v>
      </c>
      <c r="F376" t="inlineStr">
        <is>
          <t>SÖDERMANLANDS LÄN</t>
        </is>
      </c>
      <c r="G376" t="inlineStr">
        <is>
          <t>ESKILSTUNA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46317</v>
      </c>
      <c r="F377" t="inlineStr">
        <is>
          <t>SÖDERMANLANDS LÄN</t>
        </is>
      </c>
      <c r="G377" t="inlineStr">
        <is>
          <t>ESKILSTUNA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46317</v>
      </c>
      <c r="F378" t="inlineStr">
        <is>
          <t>SÖDERMANLANDS LÄN</t>
        </is>
      </c>
      <c r="G378" t="inlineStr">
        <is>
          <t>ESKILSTUNA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46317</v>
      </c>
      <c r="F379" t="inlineStr">
        <is>
          <t>SÖDERMANLANDS LÄN</t>
        </is>
      </c>
      <c r="G379" t="inlineStr">
        <is>
          <t>ESKILSTUNA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46157</v>
      </c>
      <c r="E380" s="1" t="n">
        <v>46317</v>
      </c>
      <c r="F380" t="inlineStr">
        <is>
          <t>SÖDERMANLANDS LÄN</t>
        </is>
      </c>
      <c r="G380" t="inlineStr">
        <is>
          <t>ESKILSTUNA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46317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45005</v>
      </c>
      <c r="E382" s="1" t="n">
        <v>46317</v>
      </c>
      <c r="F382" t="inlineStr">
        <is>
          <t>SÖDERMANLANDS LÄN</t>
        </is>
      </c>
      <c r="G382" t="inlineStr">
        <is>
          <t>ESKILSTUNA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46317</v>
      </c>
      <c r="F383" t="inlineStr">
        <is>
          <t>SÖDERMANLANDS LÄN</t>
        </is>
      </c>
      <c r="G383" t="inlineStr">
        <is>
          <t>ESKILSTUNA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46317</v>
      </c>
      <c r="F384" t="inlineStr">
        <is>
          <t>SÖDERMANLANDS LÄN</t>
        </is>
      </c>
      <c r="G384" t="inlineStr">
        <is>
          <t>ESKILSTUNA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44819</v>
      </c>
      <c r="E385" s="1" t="n">
        <v>46317</v>
      </c>
      <c r="F385" t="inlineStr">
        <is>
          <t>SÖDERMANLANDS LÄN</t>
        </is>
      </c>
      <c r="G385" t="inlineStr">
        <is>
          <t>ESKILSTUNA</t>
        </is>
      </c>
      <c r="I385" t="n">
        <v>11.6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52290-2024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45608</v>
      </c>
      <c r="E386" s="1" t="n">
        <v>46317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Övriga Aktiebolag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46317</v>
      </c>
      <c r="F387" t="inlineStr">
        <is>
          <t>SÖDERMANLANDS LÄN</t>
        </is>
      </c>
      <c r="G387" t="inlineStr">
        <is>
          <t>ESKILSTUNA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46213</v>
      </c>
      <c r="E388" s="1" t="n">
        <v>46317</v>
      </c>
      <c r="F388" t="inlineStr">
        <is>
          <t>SÖDERMANLANDS LÄN</t>
        </is>
      </c>
      <c r="G388" t="inlineStr">
        <is>
          <t>ESKILSTUNA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45006</v>
      </c>
      <c r="E389" s="1" t="n">
        <v>46317</v>
      </c>
      <c r="F389" t="inlineStr">
        <is>
          <t>SÖDERMANLANDS LÄN</t>
        </is>
      </c>
      <c r="G389" t="inlineStr">
        <is>
          <t>ESKILSTUNA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31131-2026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46216</v>
      </c>
      <c r="E390" s="1" t="n">
        <v>46317</v>
      </c>
      <c r="F390" t="inlineStr">
        <is>
          <t>SÖDERMANLANDS LÄN</t>
        </is>
      </c>
      <c r="G390" t="inlineStr">
        <is>
          <t>ESKILSTUNA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46317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46317</v>
      </c>
      <c r="F392" t="inlineStr">
        <is>
          <t>SÖDERMANLANDS LÄN</t>
        </is>
      </c>
      <c r="G392" t="inlineStr">
        <is>
          <t>ESKILSTUNA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46216</v>
      </c>
      <c r="E393" s="1" t="n">
        <v>46317</v>
      </c>
      <c r="F393" t="inlineStr">
        <is>
          <t>SÖDERMANLANDS LÄN</t>
        </is>
      </c>
      <c r="G393" t="inlineStr">
        <is>
          <t>ESKILSTUNA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46317</v>
      </c>
      <c r="F394" t="inlineStr">
        <is>
          <t>SÖDERMANLANDS LÄN</t>
        </is>
      </c>
      <c r="G394" t="inlineStr">
        <is>
          <t>ESKILSTUNA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46317</v>
      </c>
      <c r="F395" t="inlineStr">
        <is>
          <t>SÖDERMANLANDS LÄN</t>
        </is>
      </c>
      <c r="G395" t="inlineStr">
        <is>
          <t>ESKILSTUNA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31320-2026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46219</v>
      </c>
      <c r="E396" s="1" t="n">
        <v>46317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45004</v>
      </c>
      <c r="E397" s="1" t="n">
        <v>46317</v>
      </c>
      <c r="F397" t="inlineStr">
        <is>
          <t>SÖDERMANLANDS LÄN</t>
        </is>
      </c>
      <c r="G397" t="inlineStr">
        <is>
          <t>ESKILSTUNA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44851</v>
      </c>
      <c r="E398" s="1" t="n">
        <v>46317</v>
      </c>
      <c r="F398" t="inlineStr">
        <is>
          <t>SÖDERMANLANDS LÄN</t>
        </is>
      </c>
      <c r="G398" t="inlineStr">
        <is>
          <t>ESKILSTUNA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13153-2026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46092</v>
      </c>
      <c r="E399" s="1" t="n">
        <v>46317</v>
      </c>
      <c r="F399" t="inlineStr">
        <is>
          <t>SÖDERMANLANDS LÄN</t>
        </is>
      </c>
      <c r="G399" t="inlineStr">
        <is>
          <t>ESKILSTUNA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46317</v>
      </c>
      <c r="F400" t="inlineStr">
        <is>
          <t>SÖDERMANLANDS LÄN</t>
        </is>
      </c>
      <c r="G400" t="inlineStr">
        <is>
          <t>ESKILSTUNA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25071-2022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44729</v>
      </c>
      <c r="E401" s="1" t="n">
        <v>46317</v>
      </c>
      <c r="F401" t="inlineStr">
        <is>
          <t>SÖDERMANLANDS LÄN</t>
        </is>
      </c>
      <c r="G401" t="inlineStr">
        <is>
          <t>ESKILSTUNA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44904</v>
      </c>
      <c r="E402" s="1" t="n">
        <v>46317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46317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44946</v>
      </c>
      <c r="E404" s="1" t="n">
        <v>46317</v>
      </c>
      <c r="F404" t="inlineStr">
        <is>
          <t>SÖDERMANLANDS LÄN</t>
        </is>
      </c>
      <c r="G404" t="inlineStr">
        <is>
          <t>ESKILSTUNA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46317</v>
      </c>
      <c r="F405" t="inlineStr">
        <is>
          <t>SÖDERMANLANDS LÄN</t>
        </is>
      </c>
      <c r="G405" t="inlineStr">
        <is>
          <t>ESKILSTUNA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44592</v>
      </c>
      <c r="E406" s="1" t="n">
        <v>46317</v>
      </c>
      <c r="F406" t="inlineStr">
        <is>
          <t>SÖDERMANLANDS LÄN</t>
        </is>
      </c>
      <c r="G406" t="inlineStr">
        <is>
          <t>ESKILSTUNA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46317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46279</v>
      </c>
      <c r="E408" s="1" t="n">
        <v>46317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46238</v>
      </c>
      <c r="E409" s="1" t="n">
        <v>46317</v>
      </c>
      <c r="F409" t="inlineStr">
        <is>
          <t>SÖDERMANLANDS LÄN</t>
        </is>
      </c>
      <c r="G409" t="inlineStr">
        <is>
          <t>ESKILSTUNA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35076-2022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44797</v>
      </c>
      <c r="E410" s="1" t="n">
        <v>46317</v>
      </c>
      <c r="F410" t="inlineStr">
        <is>
          <t>SÖDERMANLANDS LÄN</t>
        </is>
      </c>
      <c r="G410" t="inlineStr">
        <is>
          <t>ESKILSTUNA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45329</v>
      </c>
      <c r="E411" s="1" t="n">
        <v>46317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Kyrkan</t>
        </is>
      </c>
      <c r="I411" t="n">
        <v>12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44953</v>
      </c>
      <c r="E412" s="1" t="n">
        <v>46317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46238</v>
      </c>
      <c r="E413" s="1" t="n">
        <v>46317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46317</v>
      </c>
      <c r="F414" t="inlineStr">
        <is>
          <t>SÖDERMANLANDS LÄN</t>
        </is>
      </c>
      <c r="G414" t="inlineStr">
        <is>
          <t>ESKILSTUNA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45303</v>
      </c>
      <c r="E415" s="1" t="n">
        <v>46317</v>
      </c>
      <c r="F415" t="inlineStr">
        <is>
          <t>SÖDERMANLANDS LÄN</t>
        </is>
      </c>
      <c r="G415" t="inlineStr">
        <is>
          <t>ESKILSTUNA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46317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45303</v>
      </c>
      <c r="E417" s="1" t="n">
        <v>46317</v>
      </c>
      <c r="F417" t="inlineStr">
        <is>
          <t>SÖDERMANLANDS LÄN</t>
        </is>
      </c>
      <c r="G417" t="inlineStr">
        <is>
          <t>ESKILSTUNA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36648-2022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44804</v>
      </c>
      <c r="E418" s="1" t="n">
        <v>46317</v>
      </c>
      <c r="F418" t="inlineStr">
        <is>
          <t>SÖDERMANLANDS LÄN</t>
        </is>
      </c>
      <c r="G418" t="inlineStr">
        <is>
          <t>ESKILSTUNA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46317</v>
      </c>
      <c r="F419" t="inlineStr">
        <is>
          <t>SÖDERMANLANDS LÄN</t>
        </is>
      </c>
      <c r="G419" t="inlineStr">
        <is>
          <t>ESKILSTUNA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25668-2022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44732</v>
      </c>
      <c r="E420" s="1" t="n">
        <v>46317</v>
      </c>
      <c r="F420" t="inlineStr">
        <is>
          <t>SÖDERMANLANDS LÄN</t>
        </is>
      </c>
      <c r="G420" t="inlineStr">
        <is>
          <t>ESKILSTUNA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31002-2023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46317</v>
      </c>
      <c r="F421" t="inlineStr">
        <is>
          <t>SÖDERMANLANDS LÄN</t>
        </is>
      </c>
      <c r="G421" t="inlineStr">
        <is>
          <t>ESKILSTUNA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46241</v>
      </c>
      <c r="E422" s="1" t="n">
        <v>46317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46317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46317</v>
      </c>
      <c r="F424" t="inlineStr">
        <is>
          <t>SÖDERMANLANDS LÄN</t>
        </is>
      </c>
      <c r="G424" t="inlineStr">
        <is>
          <t>ESKILSTUNA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46245</v>
      </c>
      <c r="E425" s="1" t="n">
        <v>46317</v>
      </c>
      <c r="F425" t="inlineStr">
        <is>
          <t>SÖDERMANLANDS LÄN</t>
        </is>
      </c>
      <c r="G425" t="inlineStr">
        <is>
          <t>ESKILSTUNA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33255-2024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45518</v>
      </c>
      <c r="E426" s="1" t="n">
        <v>46317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Övriga Aktiebolag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46317</v>
      </c>
      <c r="F427" t="inlineStr">
        <is>
          <t>SÖDERMANLANDS LÄN</t>
        </is>
      </c>
      <c r="G427" t="inlineStr">
        <is>
          <t>ESKILSTUNA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46317</v>
      </c>
      <c r="F428" t="inlineStr">
        <is>
          <t>SÖDERMANLANDS LÄN</t>
        </is>
      </c>
      <c r="G428" t="inlineStr">
        <is>
          <t>ESKILSTUNA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46317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46244</v>
      </c>
      <c r="E430" s="1" t="n">
        <v>46317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Kommuner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46287</v>
      </c>
      <c r="E431" s="1" t="n">
        <v>46317</v>
      </c>
      <c r="F431" t="inlineStr">
        <is>
          <t>SÖDERMANLANDS LÄN</t>
        </is>
      </c>
      <c r="G431" t="inlineStr">
        <is>
          <t>ESKILSTUNA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46317</v>
      </c>
      <c r="F432" t="inlineStr">
        <is>
          <t>SÖDERMANLANDS LÄN</t>
        </is>
      </c>
      <c r="G432" t="inlineStr">
        <is>
          <t>ESKILSTUNA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1346-2024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45303</v>
      </c>
      <c r="E433" s="1" t="n">
        <v>46317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53098-2022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44873</v>
      </c>
      <c r="E434" s="1" t="n">
        <v>46317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46317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46246</v>
      </c>
      <c r="E436" s="1" t="n">
        <v>46317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46317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46317</v>
      </c>
      <c r="F438" t="inlineStr">
        <is>
          <t>SÖDERMANLANDS LÄN</t>
        </is>
      </c>
      <c r="G438" t="inlineStr">
        <is>
          <t>ESKILSTUNA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39700-2026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46289</v>
      </c>
      <c r="E439" s="1" t="n">
        <v>46317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44844</v>
      </c>
      <c r="E440" s="1" t="n">
        <v>46317</v>
      </c>
      <c r="F440" t="inlineStr">
        <is>
          <t>SÖDERMANLANDS LÄN</t>
        </is>
      </c>
      <c r="G440" t="inlineStr">
        <is>
          <t>ESKILSTUNA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45884-2022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44844</v>
      </c>
      <c r="E441" s="1" t="n">
        <v>46317</v>
      </c>
      <c r="F441" t="inlineStr">
        <is>
          <t>SÖDERMANLANDS LÄN</t>
        </is>
      </c>
      <c r="G441" t="inlineStr">
        <is>
          <t>ESKILSTUNA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44942</v>
      </c>
      <c r="E442" s="1" t="n">
        <v>46317</v>
      </c>
      <c r="F442" t="inlineStr">
        <is>
          <t>SÖDERMANLANDS LÄN</t>
        </is>
      </c>
      <c r="G442" t="inlineStr">
        <is>
          <t>ESKILSTUNA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32708-2024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45514</v>
      </c>
      <c r="E443" s="1" t="n">
        <v>46317</v>
      </c>
      <c r="F443" t="inlineStr">
        <is>
          <t>SÖDERMANLANDS LÄN</t>
        </is>
      </c>
      <c r="G443" t="inlineStr">
        <is>
          <t>ESKILSTUNA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45058</v>
      </c>
      <c r="E444" s="1" t="n">
        <v>46317</v>
      </c>
      <c r="F444" t="inlineStr">
        <is>
          <t>SÖDERMANLANDS LÄN</t>
        </is>
      </c>
      <c r="G444" t="inlineStr">
        <is>
          <t>ESKILSTUNA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44789</v>
      </c>
      <c r="E445" s="1" t="n">
        <v>46317</v>
      </c>
      <c r="F445" t="inlineStr">
        <is>
          <t>SÖDERMANLANDS LÄN</t>
        </is>
      </c>
      <c r="G445" t="inlineStr">
        <is>
          <t>ESKILSTUNA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46317</v>
      </c>
      <c r="F446" t="inlineStr">
        <is>
          <t>SÖDERMANLANDS LÄN</t>
        </is>
      </c>
      <c r="G446" t="inlineStr">
        <is>
          <t>ESKILSTUNA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45695</v>
      </c>
      <c r="E447" s="1" t="n">
        <v>46317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15592-2023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45020</v>
      </c>
      <c r="E448" s="1" t="n">
        <v>46317</v>
      </c>
      <c r="F448" t="inlineStr">
        <is>
          <t>SÖDERMANLANDS LÄN</t>
        </is>
      </c>
      <c r="G448" t="inlineStr">
        <is>
          <t>ESKILSTUNA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46317</v>
      </c>
      <c r="F449" t="inlineStr">
        <is>
          <t>SÖDERMANLANDS LÄN</t>
        </is>
      </c>
      <c r="G449" t="inlineStr">
        <is>
          <t>ESKILSTUNA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46317</v>
      </c>
      <c r="F450" t="inlineStr">
        <is>
          <t>SÖDERMANLANDS LÄN</t>
        </is>
      </c>
      <c r="G450" t="inlineStr">
        <is>
          <t>ESKILSTUNA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46317</v>
      </c>
      <c r="F451" t="inlineStr">
        <is>
          <t>SÖDERMANLANDS LÄN</t>
        </is>
      </c>
      <c r="G451" t="inlineStr">
        <is>
          <t>ESKILSTUNA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59138-2024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45637</v>
      </c>
      <c r="E452" s="1" t="n">
        <v>46317</v>
      </c>
      <c r="F452" t="inlineStr">
        <is>
          <t>SÖDERMANLANDS LÄN</t>
        </is>
      </c>
      <c r="G452" t="inlineStr">
        <is>
          <t>ESKILSTUNA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45301</v>
      </c>
      <c r="E453" s="1" t="n">
        <v>46317</v>
      </c>
      <c r="F453" t="inlineStr">
        <is>
          <t>SÖDERMANLANDS LÄN</t>
        </is>
      </c>
      <c r="G453" t="inlineStr">
        <is>
          <t>ESKILSTUNA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53181-2024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45611</v>
      </c>
      <c r="E454" s="1" t="n">
        <v>46317</v>
      </c>
      <c r="F454" t="inlineStr">
        <is>
          <t>SÖDERMANLANDS LÄN</t>
        </is>
      </c>
      <c r="G454" t="inlineStr">
        <is>
          <t>ESKILSTUNA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1538-2025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45670</v>
      </c>
      <c r="E455" s="1" t="n">
        <v>46317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70560-2021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44536</v>
      </c>
      <c r="E456" s="1" t="n">
        <v>46317</v>
      </c>
      <c r="F456" t="inlineStr">
        <is>
          <t>SÖDERMANLANDS LÄN</t>
        </is>
      </c>
      <c r="G456" t="inlineStr">
        <is>
          <t>ESKILSTUNA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45615</v>
      </c>
      <c r="E457" s="1" t="n">
        <v>46317</v>
      </c>
      <c r="F457" t="inlineStr">
        <is>
          <t>SÖDERMANLANDS LÄN</t>
        </is>
      </c>
      <c r="G457" t="inlineStr">
        <is>
          <t>ESKILSTUNA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45183</v>
      </c>
      <c r="E458" s="1" t="n">
        <v>46317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45642</v>
      </c>
      <c r="E459" s="1" t="n">
        <v>46317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44953</v>
      </c>
      <c r="E460" s="1" t="n">
        <v>46317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9.6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46317</v>
      </c>
      <c r="F461" t="inlineStr">
        <is>
          <t>SÖDERMANLANDS LÄN</t>
        </is>
      </c>
      <c r="G461" t="inlineStr">
        <is>
          <t>ESKILSTUNA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46317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46317</v>
      </c>
      <c r="F463" t="inlineStr">
        <is>
          <t>SÖDERMANLANDS LÄN</t>
        </is>
      </c>
      <c r="G463" t="inlineStr">
        <is>
          <t>ESKILSTUNA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46317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42545-2025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45905</v>
      </c>
      <c r="E465" s="1" t="n">
        <v>46317</v>
      </c>
      <c r="F465" t="inlineStr">
        <is>
          <t>SÖDERMANLANDS LÄN</t>
        </is>
      </c>
      <c r="G465" t="inlineStr">
        <is>
          <t>ESKILSTUNA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42935-2026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46310</v>
      </c>
      <c r="E466" s="1" t="n">
        <v>46317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46310</v>
      </c>
      <c r="E467" s="1" t="n">
        <v>46317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46311</v>
      </c>
      <c r="E468" s="1" t="n">
        <v>46317</v>
      </c>
      <c r="F468" t="inlineStr">
        <is>
          <t>SÖDERMANLANDS LÄN</t>
        </is>
      </c>
      <c r="G468" t="inlineStr">
        <is>
          <t>ESKILSTUNA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46317</v>
      </c>
      <c r="F469" t="inlineStr">
        <is>
          <t>SÖDERMANLANDS LÄN</t>
        </is>
      </c>
      <c r="G469" t="inlineStr">
        <is>
          <t>ESKILSTUNA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1333-2020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43993</v>
      </c>
      <c r="E470" s="1" t="n">
        <v>46317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383-2023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44959</v>
      </c>
      <c r="E471" s="1" t="n">
        <v>46317</v>
      </c>
      <c r="F471" t="inlineStr">
        <is>
          <t>SÖDERMANLANDS LÄN</t>
        </is>
      </c>
      <c r="G471" t="inlineStr">
        <is>
          <t>ESKILSTUNA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3665-2023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45217</v>
      </c>
      <c r="E472" s="1" t="n">
        <v>46317</v>
      </c>
      <c r="F472" t="inlineStr">
        <is>
          <t>SÖDERMANLANDS LÄN</t>
        </is>
      </c>
      <c r="G472" t="inlineStr">
        <is>
          <t>ESKILSTUNA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4583-2023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45282</v>
      </c>
      <c r="E473" s="1" t="n">
        <v>46317</v>
      </c>
      <c r="F473" t="inlineStr">
        <is>
          <t>SÖDERMANLANDS LÄN</t>
        </is>
      </c>
      <c r="G473" t="inlineStr">
        <is>
          <t>ESKILSTUNA</t>
        </is>
      </c>
      <c r="I473" t="n">
        <v>31.4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46317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1602-2025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45798</v>
      </c>
      <c r="E475" s="1" t="n">
        <v>46317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45686</v>
      </c>
      <c r="E476" s="1" t="n">
        <v>46317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2917-2024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45504</v>
      </c>
      <c r="E477" s="1" t="n">
        <v>46317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1920-2025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45826</v>
      </c>
      <c r="E478" s="1" t="n">
        <v>46317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1030-2026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46125</v>
      </c>
      <c r="E479" s="1" t="n">
        <v>46317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1870-2026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46317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1871-2026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46199</v>
      </c>
      <c r="E481" s="1" t="n">
        <v>46317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2026-10-22T01:58:37Z</dcterms:created>
  <dcterms:modified xmlns:dcterms="http://purl.org/dc/terms/" xmlns:xsi="http://www.w3.org/2001/XMLSchema-instance" xsi:type="dcterms:W3CDTF">2026-10-22T01:58:38Z</dcterms:modified>
</cp:coreProperties>
</file>