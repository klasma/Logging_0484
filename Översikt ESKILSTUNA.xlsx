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46203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46203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46203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46203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46203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46203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46203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46203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46203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46203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46203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Motaggsvamp
Mindre märgborre
Blåsippa
Mattlummer
Tjäder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  <c r="Z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s="1" t="n">
        <v>44916</v>
      </c>
      <c r="C13" s="1" t="n">
        <v>46203</v>
      </c>
      <c r="D13" t="inlineStr">
        <is>
          <t>SÖDERMANLANDS LÄN</t>
        </is>
      </c>
      <c r="E13" t="inlineStr">
        <is>
          <t>ESKILSTUNA</t>
        </is>
      </c>
      <c r="G13" t="n">
        <v>1.8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Mindre bastardsvärmare
Jungfrulin
Klasefibbla
Silversmygare
Skogsklocka
Svinrot</t>
        </is>
      </c>
      <c r="S13">
        <f>HYPERLINK("https://klasma.github.io/Logging_0484/artfynd/A 61503-2022 artfynd.xlsx", "A 61503-2022")</f>
        <v/>
      </c>
      <c r="T13">
        <f>HYPERLINK("https://klasma.github.io/Logging_0484/kartor/A 61503-2022 karta.png", "A 61503-2022")</f>
        <v/>
      </c>
      <c r="V13">
        <f>HYPERLINK("https://klasma.github.io/Logging_0484/klagomål/A 61503-2022 FSC-klagomål.docx", "A 61503-2022")</f>
        <v/>
      </c>
      <c r="W13">
        <f>HYPERLINK("https://klasma.github.io/Logging_0484/klagomålsmail/A 61503-2022 FSC-klagomål mail.docx", "A 61503-2022")</f>
        <v/>
      </c>
      <c r="X13">
        <f>HYPERLINK("https://klasma.github.io/Logging_0484/tillsyn/A 61503-2022 tillsynsbegäran.docx", "A 61503-2022")</f>
        <v/>
      </c>
      <c r="Y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s="1" t="n">
        <v>46000</v>
      </c>
      <c r="C14" s="1" t="n">
        <v>46203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0.5</v>
      </c>
      <c r="H14" t="n">
        <v>2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Ask
Tibast
Vätteros
Blåsippa
Gullviva</t>
        </is>
      </c>
      <c r="S14">
        <f>HYPERLINK("https://klasma.github.io/Logging_0484/artfynd/A 61070-2025 artfynd.xlsx", "A 61070-2025")</f>
        <v/>
      </c>
      <c r="T14">
        <f>HYPERLINK("https://klasma.github.io/Logging_0484/kartor/A 61070-2025 karta.png", "A 61070-2025")</f>
        <v/>
      </c>
      <c r="V14">
        <f>HYPERLINK("https://klasma.github.io/Logging_0484/klagomål/A 61070-2025 FSC-klagomål.docx", "A 61070-2025")</f>
        <v/>
      </c>
      <c r="W14">
        <f>HYPERLINK("https://klasma.github.io/Logging_0484/klagomålsmail/A 61070-2025 FSC-klagomål mail.docx", "A 61070-2025")</f>
        <v/>
      </c>
      <c r="X14">
        <f>HYPERLINK("https://klasma.github.io/Logging_0484/tillsyn/A 61070-2025 tillsynsbegäran.docx", "A 61070-2025")</f>
        <v/>
      </c>
      <c r="Y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s="1" t="n">
        <v>45229</v>
      </c>
      <c r="C15" s="1" t="n">
        <v>46203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Ask
Gullpudra
Tibast
Underviol
Blåsippa</t>
        </is>
      </c>
      <c r="S15">
        <f>HYPERLINK("https://klasma.github.io/Logging_0484/artfynd/A 53415-2023 artfynd.xlsx", "A 53415-2023")</f>
        <v/>
      </c>
      <c r="T15">
        <f>HYPERLINK("https://klasma.github.io/Logging_0484/kartor/A 53415-2023 karta.png", "A 53415-2023")</f>
        <v/>
      </c>
      <c r="V15">
        <f>HYPERLINK("https://klasma.github.io/Logging_0484/klagomål/A 53415-2023 FSC-klagomål.docx", "A 53415-2023")</f>
        <v/>
      </c>
      <c r="W15">
        <f>HYPERLINK("https://klasma.github.io/Logging_0484/klagomålsmail/A 53415-2023 FSC-klagomål mail.docx", "A 53415-2023")</f>
        <v/>
      </c>
      <c r="X15">
        <f>HYPERLINK("https://klasma.github.io/Logging_0484/tillsyn/A 53415-2023 tillsynsbegäran.docx", "A 53415-2023")</f>
        <v/>
      </c>
      <c r="Y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46203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s="1" t="n">
        <v>44903</v>
      </c>
      <c r="C17" s="1" t="n">
        <v>46203</v>
      </c>
      <c r="D17" t="inlineStr">
        <is>
          <t>SÖDERMANLANDS LÄN</t>
        </is>
      </c>
      <c r="E17" t="inlineStr">
        <is>
          <t>ESKILSTUNA</t>
        </is>
      </c>
      <c r="G17" t="n">
        <v>2.9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HYPERLINK("https://klasma.github.io/Logging_0484/artfynd/A 58994-2022 artfynd.xlsx", "A 58994-2022")</f>
        <v/>
      </c>
      <c r="T17">
        <f>HYPERLINK("https://klasma.github.io/Logging_0484/kartor/A 58994-2022 karta.png", "A 58994-2022")</f>
        <v/>
      </c>
      <c r="V17">
        <f>HYPERLINK("https://klasma.github.io/Logging_0484/klagomål/A 58994-2022 FSC-klagomål.docx", "A 58994-2022")</f>
        <v/>
      </c>
      <c r="W17">
        <f>HYPERLINK("https://klasma.github.io/Logging_0484/klagomålsmail/A 58994-2022 FSC-klagomål mail.docx", "A 58994-2022")</f>
        <v/>
      </c>
      <c r="X17">
        <f>HYPERLINK("https://klasma.github.io/Logging_0484/tillsyn/A 58994-2022 tillsynsbegäran.docx", "A 58994-2022")</f>
        <v/>
      </c>
      <c r="Y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46203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Mindre hackspett
Granbarkgnagare
Grönpyrola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46203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s="1" t="n">
        <v>44998</v>
      </c>
      <c r="C20" s="1" t="n">
        <v>46203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Kommuner</t>
        </is>
      </c>
      <c r="G20" t="n">
        <v>16.7</v>
      </c>
      <c r="H20" t="n">
        <v>4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Pärluggla
Mindre hackspett
Havsörn
Kungsfågel</t>
        </is>
      </c>
      <c r="S20">
        <f>HYPERLINK("https://klasma.github.io/Logging_0484/artfynd/A 12296-2023 artfynd.xlsx", "A 12296-2023")</f>
        <v/>
      </c>
      <c r="T20">
        <f>HYPERLINK("https://klasma.github.io/Logging_0484/kartor/A 12296-2023 karta.png", "A 12296-2023")</f>
        <v/>
      </c>
      <c r="V20">
        <f>HYPERLINK("https://klasma.github.io/Logging_0484/klagomål/A 12296-2023 FSC-klagomål.docx", "A 12296-2023")</f>
        <v/>
      </c>
      <c r="W20">
        <f>HYPERLINK("https://klasma.github.io/Logging_0484/klagomålsmail/A 12296-2023 FSC-klagomål mail.docx", "A 12296-2023")</f>
        <v/>
      </c>
      <c r="X20">
        <f>HYPERLINK("https://klasma.github.io/Logging_0484/tillsyn/A 12296-2023 tillsynsbegäran.docx", "A 12296-2023")</f>
        <v/>
      </c>
      <c r="Y20">
        <f>HYPERLINK("https://klasma.github.io/Logging_0484/tillsynsmail/A 12296-2023 tillsynsbegäran mail.docx", "A 12296-2023")</f>
        <v/>
      </c>
      <c r="Z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46203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46203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40857-2025</t>
        </is>
      </c>
      <c r="B23" s="1" t="n">
        <v>45897</v>
      </c>
      <c r="C23" s="1" t="n">
        <v>46203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10.8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märgborre
Kungsfågel
Revlummer</t>
        </is>
      </c>
      <c r="S23">
        <f>HYPERLINK("https://klasma.github.io/Logging_0484/artfynd/A 40857-2025 artfynd.xlsx", "A 40857-2025")</f>
        <v/>
      </c>
      <c r="T23">
        <f>HYPERLINK("https://klasma.github.io/Logging_0484/kartor/A 40857-2025 karta.png", "A 40857-2025")</f>
        <v/>
      </c>
      <c r="V23">
        <f>HYPERLINK("https://klasma.github.io/Logging_0484/klagomål/A 40857-2025 FSC-klagomål.docx", "A 40857-2025")</f>
        <v/>
      </c>
      <c r="W23">
        <f>HYPERLINK("https://klasma.github.io/Logging_0484/klagomålsmail/A 40857-2025 FSC-klagomål mail.docx", "A 40857-2025")</f>
        <v/>
      </c>
      <c r="X23">
        <f>HYPERLINK("https://klasma.github.io/Logging_0484/tillsyn/A 40857-2025 tillsynsbegäran.docx", "A 40857-2025")</f>
        <v/>
      </c>
      <c r="Y23">
        <f>HYPERLINK("https://klasma.github.io/Logging_0484/tillsynsmail/A 40857-2025 tillsynsbegäran mail.docx", "A 40857-2025")</f>
        <v/>
      </c>
    </row>
    <row r="24" ht="15" customHeight="1">
      <c r="A24" t="inlineStr">
        <is>
          <t>A 24543-2025</t>
        </is>
      </c>
      <c r="B24" s="1" t="n">
        <v>45798</v>
      </c>
      <c r="C24" s="1" t="n">
        <v>46203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0.4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Ängsskära
Svart trolldruva
Blåsippa</t>
        </is>
      </c>
      <c r="S24">
        <f>HYPERLINK("https://klasma.github.io/Logging_0484/artfynd/A 24543-2025 artfynd.xlsx", "A 24543-2025")</f>
        <v/>
      </c>
      <c r="T24">
        <f>HYPERLINK("https://klasma.github.io/Logging_0484/kartor/A 24543-2025 karta.png", "A 24543-2025")</f>
        <v/>
      </c>
      <c r="V24">
        <f>HYPERLINK("https://klasma.github.io/Logging_0484/klagomål/A 24543-2025 FSC-klagomål.docx", "A 24543-2025")</f>
        <v/>
      </c>
      <c r="W24">
        <f>HYPERLINK("https://klasma.github.io/Logging_0484/klagomålsmail/A 24543-2025 FSC-klagomål mail.docx", "A 24543-2025")</f>
        <v/>
      </c>
      <c r="X24">
        <f>HYPERLINK("https://klasma.github.io/Logging_0484/tillsyn/A 24543-2025 tillsynsbegäran.docx", "A 24543-2025")</f>
        <v/>
      </c>
      <c r="Y24">
        <f>HYPERLINK("https://klasma.github.io/Logging_0484/tillsynsmail/A 24543-2025 tillsynsbegäran mail.docx", "A 24543-2025")</f>
        <v/>
      </c>
    </row>
    <row r="25" ht="15" customHeight="1">
      <c r="A25" t="inlineStr">
        <is>
          <t>A 24539-2025</t>
        </is>
      </c>
      <c r="B25" s="1" t="n">
        <v>45798</v>
      </c>
      <c r="C25" s="1" t="n">
        <v>46203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4.8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Ängsskära
Svart trolldruva
Blåsippa</t>
        </is>
      </c>
      <c r="S25">
        <f>HYPERLINK("https://klasma.github.io/Logging_0484/artfynd/A 24539-2025 artfynd.xlsx", "A 24539-2025")</f>
        <v/>
      </c>
      <c r="T25">
        <f>HYPERLINK("https://klasma.github.io/Logging_0484/kartor/A 24539-2025 karta.png", "A 24539-2025")</f>
        <v/>
      </c>
      <c r="V25">
        <f>HYPERLINK("https://klasma.github.io/Logging_0484/klagomål/A 24539-2025 FSC-klagomål.docx", "A 24539-2025")</f>
        <v/>
      </c>
      <c r="W25">
        <f>HYPERLINK("https://klasma.github.io/Logging_0484/klagomålsmail/A 24539-2025 FSC-klagomål mail.docx", "A 24539-2025")</f>
        <v/>
      </c>
      <c r="X25">
        <f>HYPERLINK("https://klasma.github.io/Logging_0484/tillsyn/A 24539-2025 tillsynsbegäran.docx", "A 24539-2025")</f>
        <v/>
      </c>
      <c r="Y25">
        <f>HYPERLINK("https://klasma.github.io/Logging_0484/tillsynsmail/A 24539-2025 tillsynsbegäran mail.docx", "A 24539-2025")</f>
        <v/>
      </c>
    </row>
    <row r="26" ht="15" customHeight="1">
      <c r="A26" t="inlineStr">
        <is>
          <t>A 60926-2025</t>
        </is>
      </c>
      <c r="B26" s="1" t="n">
        <v>45999</v>
      </c>
      <c r="C26" s="1" t="n">
        <v>46203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2.3</v>
      </c>
      <c r="H26" t="n">
        <v>2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Talltita
Älg</t>
        </is>
      </c>
      <c r="S26">
        <f>HYPERLINK("https://klasma.github.io/Logging_0484/artfynd/A 60926-2025 artfynd.xlsx", "A 60926-2025")</f>
        <v/>
      </c>
      <c r="T26">
        <f>HYPERLINK("https://klasma.github.io/Logging_0484/kartor/A 60926-2025 karta.png", "A 60926-2025")</f>
        <v/>
      </c>
      <c r="U26">
        <f>HYPERLINK("https://klasma.github.io/Logging_0484/knärot/A 60926-2025 karta knärot.png", "A 60926-2025")</f>
        <v/>
      </c>
      <c r="V26">
        <f>HYPERLINK("https://klasma.github.io/Logging_0484/klagomål/A 60926-2025 FSC-klagomål.docx", "A 60926-2025")</f>
        <v/>
      </c>
      <c r="W26">
        <f>HYPERLINK("https://klasma.github.io/Logging_0484/klagomålsmail/A 60926-2025 FSC-klagomål mail.docx", "A 60926-2025")</f>
        <v/>
      </c>
      <c r="X26">
        <f>HYPERLINK("https://klasma.github.io/Logging_0484/tillsyn/A 60926-2025 tillsynsbegäran.docx", "A 60926-2025")</f>
        <v/>
      </c>
      <c r="Y26">
        <f>HYPERLINK("https://klasma.github.io/Logging_0484/tillsynsmail/A 60926-2025 tillsynsbegäran mail.docx", "A 60926-2025")</f>
        <v/>
      </c>
      <c r="Z26">
        <f>HYPERLINK("https://klasma.github.io/Logging_0484/fåglar/A 60926-2025 prioriterade fågelarter.docx", "A 60926-2025")</f>
        <v/>
      </c>
    </row>
    <row r="27" ht="15" customHeight="1">
      <c r="A27" t="inlineStr">
        <is>
          <t>A 571-2023</t>
        </is>
      </c>
      <c r="B27" s="1" t="n">
        <v>44930</v>
      </c>
      <c r="C27" s="1" t="n">
        <v>46203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2.6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Spillkråka
Trädlärka
Revlummer</t>
        </is>
      </c>
      <c r="S27">
        <f>HYPERLINK("https://klasma.github.io/Logging_0484/artfynd/A 571-2023 artfynd.xlsx", "A 571-2023")</f>
        <v/>
      </c>
      <c r="T27">
        <f>HYPERLINK("https://klasma.github.io/Logging_0484/kartor/A 571-2023 karta.png", "A 571-2023")</f>
        <v/>
      </c>
      <c r="V27">
        <f>HYPERLINK("https://klasma.github.io/Logging_0484/klagomål/A 571-2023 FSC-klagomål.docx", "A 571-2023")</f>
        <v/>
      </c>
      <c r="W27">
        <f>HYPERLINK("https://klasma.github.io/Logging_0484/klagomålsmail/A 571-2023 FSC-klagomål mail.docx", "A 571-2023")</f>
        <v/>
      </c>
      <c r="X27">
        <f>HYPERLINK("https://klasma.github.io/Logging_0484/tillsyn/A 571-2023 tillsynsbegäran.docx", "A 571-2023")</f>
        <v/>
      </c>
      <c r="Y27">
        <f>HYPERLINK("https://klasma.github.io/Logging_0484/tillsynsmail/A 571-2023 tillsynsbegäran mail.docx", "A 571-2023")</f>
        <v/>
      </c>
      <c r="Z27">
        <f>HYPERLINK("https://klasma.github.io/Logging_0484/fåglar/A 571-2023 prioriterade fågelarter.docx", "A 571-2023")</f>
        <v/>
      </c>
    </row>
    <row r="28" ht="15" customHeight="1">
      <c r="A28" t="inlineStr">
        <is>
          <t>A 28983-2026</t>
        </is>
      </c>
      <c r="B28" s="1" t="n">
        <v>46199</v>
      </c>
      <c r="C28" s="1" t="n">
        <v>46203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Rävticka
Trådticka</t>
        </is>
      </c>
      <c r="S28">
        <f>HYPERLINK("https://klasma.github.io/Logging_0484/artfynd/A 28983-2026 artfynd.xlsx", "A 28983-2026")</f>
        <v/>
      </c>
      <c r="T28">
        <f>HYPERLINK("https://klasma.github.io/Logging_0484/kartor/A 28983-2026 karta.png", "A 28983-2026")</f>
        <v/>
      </c>
      <c r="V28">
        <f>HYPERLINK("https://klasma.github.io/Logging_0484/klagomål/A 28983-2026 FSC-klagomål.docx", "A 28983-2026")</f>
        <v/>
      </c>
      <c r="W28">
        <f>HYPERLINK("https://klasma.github.io/Logging_0484/klagomålsmail/A 28983-2026 FSC-klagomål mail.docx", "A 28983-2026")</f>
        <v/>
      </c>
      <c r="X28">
        <f>HYPERLINK("https://klasma.github.io/Logging_0484/tillsyn/A 28983-2026 tillsynsbegäran.docx", "A 28983-2026")</f>
        <v/>
      </c>
      <c r="Y28">
        <f>HYPERLINK("https://klasma.github.io/Logging_0484/tillsynsmail/A 28983-2026 tillsynsbegäran mail.docx", "A 28983-2026")</f>
        <v/>
      </c>
    </row>
    <row r="29" ht="15" customHeight="1">
      <c r="A29" t="inlineStr">
        <is>
          <t>A 18968-2023</t>
        </is>
      </c>
      <c r="B29" s="1" t="n">
        <v>45044</v>
      </c>
      <c r="C29" s="1" t="n">
        <v>46203</v>
      </c>
      <c r="D29" t="inlineStr">
        <is>
          <t>SÖDERMANLANDS LÄN</t>
        </is>
      </c>
      <c r="E29" t="inlineStr">
        <is>
          <t>ESKILSTUNA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Svart trolldruva
Tibast</t>
        </is>
      </c>
      <c r="S29">
        <f>HYPERLINK("https://klasma.github.io/Logging_0484/artfynd/A 18968-2023 artfynd.xlsx", "A 18968-2023")</f>
        <v/>
      </c>
      <c r="T29">
        <f>HYPERLINK("https://klasma.github.io/Logging_0484/kartor/A 18968-2023 karta.png", "A 18968-2023")</f>
        <v/>
      </c>
      <c r="V29">
        <f>HYPERLINK("https://klasma.github.io/Logging_0484/klagomål/A 18968-2023 FSC-klagomål.docx", "A 18968-2023")</f>
        <v/>
      </c>
      <c r="W29">
        <f>HYPERLINK("https://klasma.github.io/Logging_0484/klagomålsmail/A 18968-2023 FSC-klagomål mail.docx", "A 18968-2023")</f>
        <v/>
      </c>
      <c r="X29">
        <f>HYPERLINK("https://klasma.github.io/Logging_0484/tillsyn/A 18968-2023 tillsynsbegäran.docx", "A 18968-2023")</f>
        <v/>
      </c>
      <c r="Y29">
        <f>HYPERLINK("https://klasma.github.io/Logging_0484/tillsynsmail/A 18968-2023 tillsynsbegäran mail.docx", "A 18968-2023")</f>
        <v/>
      </c>
    </row>
    <row r="30" ht="15" customHeight="1">
      <c r="A30" t="inlineStr">
        <is>
          <t>A 12443-2024</t>
        </is>
      </c>
      <c r="B30" s="1" t="n">
        <v>45379</v>
      </c>
      <c r="C30" s="1" t="n">
        <v>46203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Allmännings- och besparingsskogar</t>
        </is>
      </c>
      <c r="G30" t="n">
        <v>8.9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Blåsippa
Mattlummer
Revlummer</t>
        </is>
      </c>
      <c r="S30">
        <f>HYPERLINK("https://klasma.github.io/Logging_0484/artfynd/A 12443-2024 artfynd.xlsx", "A 12443-2024")</f>
        <v/>
      </c>
      <c r="T30">
        <f>HYPERLINK("https://klasma.github.io/Logging_0484/kartor/A 12443-2024 karta.png", "A 12443-2024")</f>
        <v/>
      </c>
      <c r="V30">
        <f>HYPERLINK("https://klasma.github.io/Logging_0484/klagomål/A 12443-2024 FSC-klagomål.docx", "A 12443-2024")</f>
        <v/>
      </c>
      <c r="W30">
        <f>HYPERLINK("https://klasma.github.io/Logging_0484/klagomålsmail/A 12443-2024 FSC-klagomål mail.docx", "A 12443-2024")</f>
        <v/>
      </c>
      <c r="X30">
        <f>HYPERLINK("https://klasma.github.io/Logging_0484/tillsyn/A 12443-2024 tillsynsbegäran.docx", "A 12443-2024")</f>
        <v/>
      </c>
      <c r="Y30">
        <f>HYPERLINK("https://klasma.github.io/Logging_0484/tillsynsmail/A 12443-2024 tillsynsbegäran mail.docx", "A 12443-2024")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46203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46203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46203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34985-2025</t>
        </is>
      </c>
      <c r="B34" s="1" t="n">
        <v>45849</v>
      </c>
      <c r="C34" s="1" t="n">
        <v>46203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Allmännings- och besparingsskogar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Krusfrö
Tjäder</t>
        </is>
      </c>
      <c r="S34">
        <f>HYPERLINK("https://klasma.github.io/Logging_0484/artfynd/A 34985-2025 artfynd.xlsx", "A 34985-2025")</f>
        <v/>
      </c>
      <c r="T34">
        <f>HYPERLINK("https://klasma.github.io/Logging_0484/kartor/A 34985-2025 karta.png", "A 34985-2025")</f>
        <v/>
      </c>
      <c r="V34">
        <f>HYPERLINK("https://klasma.github.io/Logging_0484/klagomål/A 34985-2025 FSC-klagomål.docx", "A 34985-2025")</f>
        <v/>
      </c>
      <c r="W34">
        <f>HYPERLINK("https://klasma.github.io/Logging_0484/klagomålsmail/A 34985-2025 FSC-klagomål mail.docx", "A 34985-2025")</f>
        <v/>
      </c>
      <c r="X34">
        <f>HYPERLINK("https://klasma.github.io/Logging_0484/tillsyn/A 34985-2025 tillsynsbegäran.docx", "A 34985-2025")</f>
        <v/>
      </c>
      <c r="Y34">
        <f>HYPERLINK("https://klasma.github.io/Logging_0484/tillsynsmail/A 34985-2025 tillsynsbegäran mail.docx", "A 34985-2025")</f>
        <v/>
      </c>
      <c r="Z34">
        <f>HYPERLINK("https://klasma.github.io/Logging_0484/fåglar/A 34985-2025 prioriterade fågelarter.docx", "A 34985-2025")</f>
        <v/>
      </c>
    </row>
    <row r="35" ht="15" customHeight="1">
      <c r="A35" t="inlineStr">
        <is>
          <t>A 61105-2025</t>
        </is>
      </c>
      <c r="B35" s="1" t="n">
        <v>46000</v>
      </c>
      <c r="C35" s="1" t="n">
        <v>46203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Krusfrö
Tibast</t>
        </is>
      </c>
      <c r="S35">
        <f>HYPERLINK("https://klasma.github.io/Logging_0484/artfynd/A 61105-2025 artfynd.xlsx", "A 61105-2025")</f>
        <v/>
      </c>
      <c r="T35">
        <f>HYPERLINK("https://klasma.github.io/Logging_0484/kartor/A 61105-2025 karta.png", "A 61105-2025")</f>
        <v/>
      </c>
      <c r="V35">
        <f>HYPERLINK("https://klasma.github.io/Logging_0484/klagomål/A 61105-2025 FSC-klagomål.docx", "A 61105-2025")</f>
        <v/>
      </c>
      <c r="W35">
        <f>HYPERLINK("https://klasma.github.io/Logging_0484/klagomålsmail/A 61105-2025 FSC-klagomål mail.docx", "A 61105-2025")</f>
        <v/>
      </c>
      <c r="X35">
        <f>HYPERLINK("https://klasma.github.io/Logging_0484/tillsyn/A 61105-2025 tillsynsbegäran.docx", "A 61105-2025")</f>
        <v/>
      </c>
      <c r="Y35">
        <f>HYPERLINK("https://klasma.github.io/Logging_0484/tillsynsmail/A 61105-2025 tillsynsbegäran mail.docx", "A 61105-2025")</f>
        <v/>
      </c>
    </row>
    <row r="36" ht="15" customHeight="1">
      <c r="A36" t="inlineStr">
        <is>
          <t>A 63042-2025</t>
        </is>
      </c>
      <c r="B36" s="1" t="n">
        <v>46009</v>
      </c>
      <c r="C36" s="1" t="n">
        <v>46203</v>
      </c>
      <c r="D36" t="inlineStr">
        <is>
          <t>SÖDERMANLANDS LÄN</t>
        </is>
      </c>
      <c r="E36" t="inlineStr">
        <is>
          <t>ESKILSTUNA</t>
        </is>
      </c>
      <c r="G36" t="n">
        <v>1.4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Kungsfågel
Revlummer</t>
        </is>
      </c>
      <c r="S36">
        <f>HYPERLINK("https://klasma.github.io/Logging_0484/artfynd/A 63042-2025 artfynd.xlsx", "A 63042-2025")</f>
        <v/>
      </c>
      <c r="T36">
        <f>HYPERLINK("https://klasma.github.io/Logging_0484/kartor/A 63042-2025 karta.png", "A 63042-2025")</f>
        <v/>
      </c>
      <c r="V36">
        <f>HYPERLINK("https://klasma.github.io/Logging_0484/klagomål/A 63042-2025 FSC-klagomål.docx", "A 63042-2025")</f>
        <v/>
      </c>
      <c r="W36">
        <f>HYPERLINK("https://klasma.github.io/Logging_0484/klagomålsmail/A 63042-2025 FSC-klagomål mail.docx", "A 63042-2025")</f>
        <v/>
      </c>
      <c r="X36">
        <f>HYPERLINK("https://klasma.github.io/Logging_0484/tillsyn/A 63042-2025 tillsynsbegäran.docx", "A 63042-2025")</f>
        <v/>
      </c>
      <c r="Y36">
        <f>HYPERLINK("https://klasma.github.io/Logging_0484/tillsynsmail/A 63042-2025 tillsynsbegäran mail.docx", "A 63042-2025")</f>
        <v/>
      </c>
    </row>
    <row r="37" ht="15" customHeight="1">
      <c r="A37" t="inlineStr">
        <is>
          <t>A 34986-2025</t>
        </is>
      </c>
      <c r="B37" s="1" t="n">
        <v>45849</v>
      </c>
      <c r="C37" s="1" t="n">
        <v>46203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Allmännings- och besparingsskogar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Spillkråka</t>
        </is>
      </c>
      <c r="S37">
        <f>HYPERLINK("https://klasma.github.io/Logging_0484/artfynd/A 34986-2025 artfynd.xlsx", "A 34986-2025")</f>
        <v/>
      </c>
      <c r="T37">
        <f>HYPERLINK("https://klasma.github.io/Logging_0484/kartor/A 34986-2025 karta.png", "A 34986-2025")</f>
        <v/>
      </c>
      <c r="V37">
        <f>HYPERLINK("https://klasma.github.io/Logging_0484/klagomål/A 34986-2025 FSC-klagomål.docx", "A 34986-2025")</f>
        <v/>
      </c>
      <c r="W37">
        <f>HYPERLINK("https://klasma.github.io/Logging_0484/klagomålsmail/A 34986-2025 FSC-klagomål mail.docx", "A 34986-2025")</f>
        <v/>
      </c>
      <c r="X37">
        <f>HYPERLINK("https://klasma.github.io/Logging_0484/tillsyn/A 34986-2025 tillsynsbegäran.docx", "A 34986-2025")</f>
        <v/>
      </c>
      <c r="Y37">
        <f>HYPERLINK("https://klasma.github.io/Logging_0484/tillsynsmail/A 34986-2025 tillsynsbegäran mail.docx", "A 34986-2025")</f>
        <v/>
      </c>
      <c r="Z37">
        <f>HYPERLINK("https://klasma.github.io/Logging_0484/fåglar/A 34986-2025 prioriterade fågelarter.docx", "A 34986-2025")</f>
        <v/>
      </c>
    </row>
    <row r="38" ht="15" customHeight="1">
      <c r="A38" t="inlineStr">
        <is>
          <t>A 59822-2025</t>
        </is>
      </c>
      <c r="B38" s="1" t="n">
        <v>45992</v>
      </c>
      <c r="C38" s="1" t="n">
        <v>46203</v>
      </c>
      <c r="D38" t="inlineStr">
        <is>
          <t>SÖDERMANLANDS LÄN</t>
        </is>
      </c>
      <c r="E38" t="inlineStr">
        <is>
          <t>ESKILSTUNA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Stubbspretmossa
Timmerticka</t>
        </is>
      </c>
      <c r="S38">
        <f>HYPERLINK("https://klasma.github.io/Logging_0484/artfynd/A 59822-2025 artfynd.xlsx", "A 59822-2025")</f>
        <v/>
      </c>
      <c r="T38">
        <f>HYPERLINK("https://klasma.github.io/Logging_0484/kartor/A 59822-2025 karta.png", "A 59822-2025")</f>
        <v/>
      </c>
      <c r="V38">
        <f>HYPERLINK("https://klasma.github.io/Logging_0484/klagomål/A 59822-2025 FSC-klagomål.docx", "A 59822-2025")</f>
        <v/>
      </c>
      <c r="W38">
        <f>HYPERLINK("https://klasma.github.io/Logging_0484/klagomålsmail/A 59822-2025 FSC-klagomål mail.docx", "A 59822-2025")</f>
        <v/>
      </c>
      <c r="X38">
        <f>HYPERLINK("https://klasma.github.io/Logging_0484/tillsyn/A 59822-2025 tillsynsbegäran.docx", "A 59822-2025")</f>
        <v/>
      </c>
      <c r="Y38">
        <f>HYPERLINK("https://klasma.github.io/Logging_0484/tillsynsmail/A 59822-2025 tillsynsbegäran mail.docx", "A 59822-2025")</f>
        <v/>
      </c>
    </row>
    <row r="39" ht="15" customHeight="1">
      <c r="A39" t="inlineStr">
        <is>
          <t>A 17362-2024</t>
        </is>
      </c>
      <c r="B39" s="1" t="n">
        <v>45414</v>
      </c>
      <c r="C39" s="1" t="n">
        <v>46203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dropplav
Sotlav</t>
        </is>
      </c>
      <c r="S39">
        <f>HYPERLINK("https://klasma.github.io/Logging_0484/artfynd/A 17362-2024 artfynd.xlsx", "A 17362-2024")</f>
        <v/>
      </c>
      <c r="T39">
        <f>HYPERLINK("https://klasma.github.io/Logging_0484/kartor/A 17362-2024 karta.png", "A 17362-2024")</f>
        <v/>
      </c>
      <c r="V39">
        <f>HYPERLINK("https://klasma.github.io/Logging_0484/klagomål/A 17362-2024 FSC-klagomål.docx", "A 17362-2024")</f>
        <v/>
      </c>
      <c r="W39">
        <f>HYPERLINK("https://klasma.github.io/Logging_0484/klagomålsmail/A 17362-2024 FSC-klagomål mail.docx", "A 17362-2024")</f>
        <v/>
      </c>
      <c r="X39">
        <f>HYPERLINK("https://klasma.github.io/Logging_0484/tillsyn/A 17362-2024 tillsynsbegäran.docx", "A 17362-2024")</f>
        <v/>
      </c>
      <c r="Y39">
        <f>HYPERLINK("https://klasma.github.io/Logging_0484/tillsynsmail/A 17362-2024 tillsynsbegäran mail.docx", "A 17362-2024")</f>
        <v/>
      </c>
    </row>
    <row r="40" ht="15" customHeight="1">
      <c r="A40" t="inlineStr">
        <is>
          <t>A 26105-2026</t>
        </is>
      </c>
      <c r="B40" s="1" t="n">
        <v>46181</v>
      </c>
      <c r="C40" s="1" t="n">
        <v>46203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1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Backsippa
Backtimjan</t>
        </is>
      </c>
      <c r="S40">
        <f>HYPERLINK("https://klasma.github.io/Logging_0484/artfynd/A 26105-2026 artfynd.xlsx", "A 26105-2026")</f>
        <v/>
      </c>
      <c r="T40">
        <f>HYPERLINK("https://klasma.github.io/Logging_0484/kartor/A 26105-2026 karta.png", "A 26105-2026")</f>
        <v/>
      </c>
      <c r="V40">
        <f>HYPERLINK("https://klasma.github.io/Logging_0484/klagomål/A 26105-2026 FSC-klagomål.docx", "A 26105-2026")</f>
        <v/>
      </c>
      <c r="W40">
        <f>HYPERLINK("https://klasma.github.io/Logging_0484/klagomålsmail/A 26105-2026 FSC-klagomål mail.docx", "A 26105-2026")</f>
        <v/>
      </c>
      <c r="X40">
        <f>HYPERLINK("https://klasma.github.io/Logging_0484/tillsyn/A 26105-2026 tillsynsbegäran.docx", "A 26105-2026")</f>
        <v/>
      </c>
      <c r="Y40">
        <f>HYPERLINK("https://klasma.github.io/Logging_0484/tillsynsmail/A 26105-2026 tillsynsbegäran mail.docx", "A 26105-2026")</f>
        <v/>
      </c>
    </row>
    <row r="41" ht="15" customHeight="1">
      <c r="A41" t="inlineStr">
        <is>
          <t>A 22760-2026</t>
        </is>
      </c>
      <c r="B41" s="1" t="n">
        <v>46157</v>
      </c>
      <c r="C41" s="1" t="n">
        <v>46203</v>
      </c>
      <c r="D41" t="inlineStr">
        <is>
          <t>SÖDERMANLANDS LÄN</t>
        </is>
      </c>
      <c r="E41" t="inlineStr">
        <is>
          <t>ESKILSTUNA</t>
        </is>
      </c>
      <c r="G41" t="n">
        <v>4.4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Jungfrulin
Solvända</t>
        </is>
      </c>
      <c r="S41">
        <f>HYPERLINK("https://klasma.github.io/Logging_0484/artfynd/A 22760-2026 artfynd.xlsx", "A 22760-2026")</f>
        <v/>
      </c>
      <c r="T41">
        <f>HYPERLINK("https://klasma.github.io/Logging_0484/kartor/A 22760-2026 karta.png", "A 22760-2026")</f>
        <v/>
      </c>
      <c r="V41">
        <f>HYPERLINK("https://klasma.github.io/Logging_0484/klagomål/A 22760-2026 FSC-klagomål.docx", "A 22760-2026")</f>
        <v/>
      </c>
      <c r="W41">
        <f>HYPERLINK("https://klasma.github.io/Logging_0484/klagomålsmail/A 22760-2026 FSC-klagomål mail.docx", "A 22760-2026")</f>
        <v/>
      </c>
      <c r="X41">
        <f>HYPERLINK("https://klasma.github.io/Logging_0484/tillsyn/A 22760-2026 tillsynsbegäran.docx", "A 22760-2026")</f>
        <v/>
      </c>
      <c r="Y41">
        <f>HYPERLINK("https://klasma.github.io/Logging_0484/tillsynsmail/A 22760-2026 tillsynsbegäran mail.docx", "A 22760-2026")</f>
        <v/>
      </c>
    </row>
    <row r="42" ht="15" customHeight="1">
      <c r="A42" t="inlineStr">
        <is>
          <t>A 61987-2022</t>
        </is>
      </c>
      <c r="B42" s="1" t="n">
        <v>44918</v>
      </c>
      <c r="C42" s="1" t="n">
        <v>46203</v>
      </c>
      <c r="D42" t="inlineStr">
        <is>
          <t>SÖDERMANLANDS LÄN</t>
        </is>
      </c>
      <c r="E42" t="inlineStr">
        <is>
          <t>ESKILSTUNA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Mattlummer</t>
        </is>
      </c>
      <c r="S42">
        <f>HYPERLINK("https://klasma.github.io/Logging_0484/artfynd/A 61987-2022 artfynd.xlsx", "A 61987-2022")</f>
        <v/>
      </c>
      <c r="T42">
        <f>HYPERLINK("https://klasma.github.io/Logging_0484/kartor/A 61987-2022 karta.png", "A 61987-2022")</f>
        <v/>
      </c>
      <c r="V42">
        <f>HYPERLINK("https://klasma.github.io/Logging_0484/klagomål/A 61987-2022 FSC-klagomål.docx", "A 61987-2022")</f>
        <v/>
      </c>
      <c r="W42">
        <f>HYPERLINK("https://klasma.github.io/Logging_0484/klagomålsmail/A 61987-2022 FSC-klagomål mail.docx", "A 61987-2022")</f>
        <v/>
      </c>
      <c r="X42">
        <f>HYPERLINK("https://klasma.github.io/Logging_0484/tillsyn/A 61987-2022 tillsynsbegäran.docx", "A 61987-2022")</f>
        <v/>
      </c>
      <c r="Y42">
        <f>HYPERLINK("https://klasma.github.io/Logging_0484/tillsynsmail/A 61987-2022 tillsynsbegäran mail.docx", "A 61987-2022")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46203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Blåmossa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65380-2021</t>
        </is>
      </c>
      <c r="B44" s="1" t="n">
        <v>44515</v>
      </c>
      <c r="C44" s="1" t="n">
        <v>46203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Älg
Blåsippa</t>
        </is>
      </c>
      <c r="S44">
        <f>HYPERLINK("https://klasma.github.io/Logging_0484/artfynd/A 65380-2021 artfynd.xlsx", "A 65380-2021")</f>
        <v/>
      </c>
      <c r="T44">
        <f>HYPERLINK("https://klasma.github.io/Logging_0484/kartor/A 65380-2021 karta.png", "A 65380-2021")</f>
        <v/>
      </c>
      <c r="V44">
        <f>HYPERLINK("https://klasma.github.io/Logging_0484/klagomål/A 65380-2021 FSC-klagomål.docx", "A 65380-2021")</f>
        <v/>
      </c>
      <c r="W44">
        <f>HYPERLINK("https://klasma.github.io/Logging_0484/klagomålsmail/A 65380-2021 FSC-klagomål mail.docx", "A 65380-2021")</f>
        <v/>
      </c>
      <c r="X44">
        <f>HYPERLINK("https://klasma.github.io/Logging_0484/tillsyn/A 65380-2021 tillsynsbegäran.docx", "A 65380-2021")</f>
        <v/>
      </c>
      <c r="Y44">
        <f>HYPERLINK("https://klasma.github.io/Logging_0484/tillsynsmail/A 65380-2021 tillsynsbegäran mail.docx", "A 65380-2021")</f>
        <v/>
      </c>
    </row>
    <row r="45" ht="15" customHeight="1">
      <c r="A45" t="inlineStr">
        <is>
          <t>A 32314-2023</t>
        </is>
      </c>
      <c r="B45" s="1" t="n">
        <v>45120</v>
      </c>
      <c r="C45" s="1" t="n">
        <v>46203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Sveaskog</t>
        </is>
      </c>
      <c r="G45" t="n">
        <v>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Svavelriska</t>
        </is>
      </c>
      <c r="S45">
        <f>HYPERLINK("https://klasma.github.io/Logging_0484/artfynd/A 32314-2023 artfynd.xlsx", "A 32314-2023")</f>
        <v/>
      </c>
      <c r="T45">
        <f>HYPERLINK("https://klasma.github.io/Logging_0484/kartor/A 32314-2023 karta.png", "A 32314-2023")</f>
        <v/>
      </c>
      <c r="V45">
        <f>HYPERLINK("https://klasma.github.io/Logging_0484/klagomål/A 32314-2023 FSC-klagomål.docx", "A 32314-2023")</f>
        <v/>
      </c>
      <c r="W45">
        <f>HYPERLINK("https://klasma.github.io/Logging_0484/klagomålsmail/A 32314-2023 FSC-klagomål mail.docx", "A 32314-2023")</f>
        <v/>
      </c>
      <c r="X45">
        <f>HYPERLINK("https://klasma.github.io/Logging_0484/tillsyn/A 32314-2023 tillsynsbegäran.docx", "A 32314-2023")</f>
        <v/>
      </c>
      <c r="Y45">
        <f>HYPERLINK("https://klasma.github.io/Logging_0484/tillsynsmail/A 32314-2023 tillsynsbegäran mail.docx", "A 32314-2023")</f>
        <v/>
      </c>
    </row>
    <row r="46" ht="15" customHeight="1">
      <c r="A46" t="inlineStr">
        <is>
          <t>A 62009-2024</t>
        </is>
      </c>
      <c r="B46" s="1" t="n">
        <v>45655</v>
      </c>
      <c r="C46" s="1" t="n">
        <v>46203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11.9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Mattlummer
Revlummer</t>
        </is>
      </c>
      <c r="S46">
        <f>HYPERLINK("https://klasma.github.io/Logging_0484/artfynd/A 62009-2024 artfynd.xlsx", "A 62009-2024")</f>
        <v/>
      </c>
      <c r="T46">
        <f>HYPERLINK("https://klasma.github.io/Logging_0484/kartor/A 62009-2024 karta.png", "A 62009-2024")</f>
        <v/>
      </c>
      <c r="V46">
        <f>HYPERLINK("https://klasma.github.io/Logging_0484/klagomål/A 62009-2024 FSC-klagomål.docx", "A 62009-2024")</f>
        <v/>
      </c>
      <c r="W46">
        <f>HYPERLINK("https://klasma.github.io/Logging_0484/klagomålsmail/A 62009-2024 FSC-klagomål mail.docx", "A 62009-2024")</f>
        <v/>
      </c>
      <c r="X46">
        <f>HYPERLINK("https://klasma.github.io/Logging_0484/tillsyn/A 62009-2024 tillsynsbegäran.docx", "A 62009-2024")</f>
        <v/>
      </c>
      <c r="Y46">
        <f>HYPERLINK("https://klasma.github.io/Logging_0484/tillsynsmail/A 62009-2024 tillsynsbegäran mail.docx", "A 62009-2024")</f>
        <v/>
      </c>
    </row>
    <row r="47" ht="15" customHeight="1">
      <c r="A47" t="inlineStr">
        <is>
          <t>A 19494-2024</t>
        </is>
      </c>
      <c r="B47" s="1" t="n">
        <v>45429</v>
      </c>
      <c r="C47" s="1" t="n">
        <v>46203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Svart trolldruva
Blåsippa</t>
        </is>
      </c>
      <c r="S47">
        <f>HYPERLINK("https://klasma.github.io/Logging_0484/artfynd/A 19494-2024 artfynd.xlsx", "A 19494-2024")</f>
        <v/>
      </c>
      <c r="T47">
        <f>HYPERLINK("https://klasma.github.io/Logging_0484/kartor/A 19494-2024 karta.png", "A 19494-2024")</f>
        <v/>
      </c>
      <c r="V47">
        <f>HYPERLINK("https://klasma.github.io/Logging_0484/klagomål/A 19494-2024 FSC-klagomål.docx", "A 19494-2024")</f>
        <v/>
      </c>
      <c r="W47">
        <f>HYPERLINK("https://klasma.github.io/Logging_0484/klagomålsmail/A 19494-2024 FSC-klagomål mail.docx", "A 19494-2024")</f>
        <v/>
      </c>
      <c r="X47">
        <f>HYPERLINK("https://klasma.github.io/Logging_0484/tillsyn/A 19494-2024 tillsynsbegäran.docx", "A 19494-2024")</f>
        <v/>
      </c>
      <c r="Y47">
        <f>HYPERLINK("https://klasma.github.io/Logging_0484/tillsynsmail/A 19494-2024 tillsynsbegäran mail.docx", "A 19494-2024")</f>
        <v/>
      </c>
    </row>
    <row r="48" ht="15" customHeight="1">
      <c r="A48" t="inlineStr">
        <is>
          <t>A 36140-2022</t>
        </is>
      </c>
      <c r="B48" s="1" t="n">
        <v>44803</v>
      </c>
      <c r="C48" s="1" t="n">
        <v>46203</v>
      </c>
      <c r="D48" t="inlineStr">
        <is>
          <t>SÖDERMANLANDS LÄN</t>
        </is>
      </c>
      <c r="E48" t="inlineStr">
        <is>
          <t>ESKILSTUNA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HYPERLINK("https://klasma.github.io/Logging_0484/artfynd/A 36140-2022 artfynd.xlsx", "A 36140-2022")</f>
        <v/>
      </c>
      <c r="T48">
        <f>HYPERLINK("https://klasma.github.io/Logging_0484/kartor/A 36140-2022 karta.png", "A 36140-2022")</f>
        <v/>
      </c>
      <c r="V48">
        <f>HYPERLINK("https://klasma.github.io/Logging_0484/klagomål/A 36140-2022 FSC-klagomål.docx", "A 36140-2022")</f>
        <v/>
      </c>
      <c r="W48">
        <f>HYPERLINK("https://klasma.github.io/Logging_0484/klagomålsmail/A 36140-2022 FSC-klagomål mail.docx", "A 36140-2022")</f>
        <v/>
      </c>
      <c r="X48">
        <f>HYPERLINK("https://klasma.github.io/Logging_0484/tillsyn/A 36140-2022 tillsynsbegäran.docx", "A 36140-2022")</f>
        <v/>
      </c>
      <c r="Y48">
        <f>HYPERLINK("https://klasma.github.io/Logging_0484/tillsynsmail/A 36140-2022 tillsynsbegäran mail.docx", "A 36140-2022")</f>
        <v/>
      </c>
    </row>
    <row r="49" ht="15" customHeight="1">
      <c r="A49" t="inlineStr">
        <is>
          <t>A 18780-2022</t>
        </is>
      </c>
      <c r="B49" s="1" t="n">
        <v>44689</v>
      </c>
      <c r="C49" s="1" t="n">
        <v>46203</v>
      </c>
      <c r="D49" t="inlineStr">
        <is>
          <t>SÖDERMANLANDS LÄN</t>
        </is>
      </c>
      <c r="E49" t="inlineStr">
        <is>
          <t>ESKILSTUNA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18780-2022 artfynd.xlsx", "A 18780-2022")</f>
        <v/>
      </c>
      <c r="T49">
        <f>HYPERLINK("https://klasma.github.io/Logging_0484/kartor/A 18780-2022 karta.png", "A 18780-2022")</f>
        <v/>
      </c>
      <c r="V49">
        <f>HYPERLINK("https://klasma.github.io/Logging_0484/klagomål/A 18780-2022 FSC-klagomål.docx", "A 18780-2022")</f>
        <v/>
      </c>
      <c r="W49">
        <f>HYPERLINK("https://klasma.github.io/Logging_0484/klagomålsmail/A 18780-2022 FSC-klagomål mail.docx", "A 18780-2022")</f>
        <v/>
      </c>
      <c r="X49">
        <f>HYPERLINK("https://klasma.github.io/Logging_0484/tillsyn/A 18780-2022 tillsynsbegäran.docx", "A 18780-2022")</f>
        <v/>
      </c>
      <c r="Y49">
        <f>HYPERLINK("https://klasma.github.io/Logging_0484/tillsynsmail/A 18780-2022 tillsynsbegäran mail.docx", "A 18780-2022")</f>
        <v/>
      </c>
    </row>
    <row r="50" ht="15" customHeight="1">
      <c r="A50" t="inlineStr">
        <is>
          <t>A 28269-2022</t>
        </is>
      </c>
      <c r="B50" s="1" t="n">
        <v>44746</v>
      </c>
      <c r="C50" s="1" t="n">
        <v>46203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HYPERLINK("https://klasma.github.io/Logging_0484/artfynd/A 28269-2022 artfynd.xlsx", "A 28269-2022")</f>
        <v/>
      </c>
      <c r="T50">
        <f>HYPERLINK("https://klasma.github.io/Logging_0484/kartor/A 28269-2022 karta.png", "A 28269-2022")</f>
        <v/>
      </c>
      <c r="V50">
        <f>HYPERLINK("https://klasma.github.io/Logging_0484/klagomål/A 28269-2022 FSC-klagomål.docx", "A 28269-2022")</f>
        <v/>
      </c>
      <c r="W50">
        <f>HYPERLINK("https://klasma.github.io/Logging_0484/klagomålsmail/A 28269-2022 FSC-klagomål mail.docx", "A 28269-2022")</f>
        <v/>
      </c>
      <c r="X50">
        <f>HYPERLINK("https://klasma.github.io/Logging_0484/tillsyn/A 28269-2022 tillsynsbegäran.docx", "A 28269-2022")</f>
        <v/>
      </c>
      <c r="Y50">
        <f>HYPERLINK("https://klasma.github.io/Logging_0484/tillsynsmail/A 28269-2022 tillsynsbegäran mail.docx", "A 28269-2022")</f>
        <v/>
      </c>
    </row>
    <row r="51" ht="15" customHeight="1">
      <c r="A51" t="inlineStr">
        <is>
          <t>A 3162-2022</t>
        </is>
      </c>
      <c r="B51" s="1" t="n">
        <v>44582</v>
      </c>
      <c r="C51" s="1" t="n">
        <v>46203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HYPERLINK("https://klasma.github.io/Logging_0484/artfynd/A 3162-2022 artfynd.xlsx", "A 3162-2022")</f>
        <v/>
      </c>
      <c r="T51">
        <f>HYPERLINK("https://klasma.github.io/Logging_0484/kartor/A 3162-2022 karta.png", "A 3162-2022")</f>
        <v/>
      </c>
      <c r="V51">
        <f>HYPERLINK("https://klasma.github.io/Logging_0484/klagomål/A 3162-2022 FSC-klagomål.docx", "A 3162-2022")</f>
        <v/>
      </c>
      <c r="W51">
        <f>HYPERLINK("https://klasma.github.io/Logging_0484/klagomålsmail/A 3162-2022 FSC-klagomål mail.docx", "A 3162-2022")</f>
        <v/>
      </c>
      <c r="X51">
        <f>HYPERLINK("https://klasma.github.io/Logging_0484/tillsyn/A 3162-2022 tillsynsbegäran.docx", "A 3162-2022")</f>
        <v/>
      </c>
      <c r="Y51">
        <f>HYPERLINK("https://klasma.github.io/Logging_0484/tillsynsmail/A 3162-2022 tillsynsbegäran mail.docx", "A 3162-2022")</f>
        <v/>
      </c>
    </row>
    <row r="52" ht="15" customHeight="1">
      <c r="A52" t="inlineStr">
        <is>
          <t>A 61368-2021</t>
        </is>
      </c>
      <c r="B52" s="1" t="n">
        <v>44499</v>
      </c>
      <c r="C52" s="1" t="n">
        <v>46203</v>
      </c>
      <c r="D52" t="inlineStr">
        <is>
          <t>SÖDERMANLANDS LÄN</t>
        </is>
      </c>
      <c r="E52" t="inlineStr">
        <is>
          <t>ESKILSTUNA</t>
        </is>
      </c>
      <c r="G52" t="n">
        <v>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61368-2021 artfynd.xlsx", "A 61368-2021")</f>
        <v/>
      </c>
      <c r="T52">
        <f>HYPERLINK("https://klasma.github.io/Logging_0484/kartor/A 61368-2021 karta.png", "A 61368-2021")</f>
        <v/>
      </c>
      <c r="V52">
        <f>HYPERLINK("https://klasma.github.io/Logging_0484/klagomål/A 61368-2021 FSC-klagomål.docx", "A 61368-2021")</f>
        <v/>
      </c>
      <c r="W52">
        <f>HYPERLINK("https://klasma.github.io/Logging_0484/klagomålsmail/A 61368-2021 FSC-klagomål mail.docx", "A 61368-2021")</f>
        <v/>
      </c>
      <c r="X52">
        <f>HYPERLINK("https://klasma.github.io/Logging_0484/tillsyn/A 61368-2021 tillsynsbegäran.docx", "A 61368-2021")</f>
        <v/>
      </c>
      <c r="Y52">
        <f>HYPERLINK("https://klasma.github.io/Logging_0484/tillsynsmail/A 61368-2021 tillsynsbegäran mail.docx", "A 61368-2021")</f>
        <v/>
      </c>
    </row>
    <row r="53" ht="15" customHeight="1">
      <c r="A53" t="inlineStr">
        <is>
          <t>A 42002-2021</t>
        </is>
      </c>
      <c r="B53" s="1" t="n">
        <v>44426</v>
      </c>
      <c r="C53" s="1" t="n">
        <v>46203</v>
      </c>
      <c r="D53" t="inlineStr">
        <is>
          <t>SÖDERMANLANDS LÄN</t>
        </is>
      </c>
      <c r="E53" t="inlineStr">
        <is>
          <t>ESKILSTUNA</t>
        </is>
      </c>
      <c r="G53" t="n">
        <v>5.5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HYPERLINK("https://klasma.github.io/Logging_0484/artfynd/A 42002-2021 artfynd.xlsx", "A 42002-2021")</f>
        <v/>
      </c>
      <c r="T53">
        <f>HYPERLINK("https://klasma.github.io/Logging_0484/kartor/A 42002-2021 karta.png", "A 42002-2021")</f>
        <v/>
      </c>
      <c r="V53">
        <f>HYPERLINK("https://klasma.github.io/Logging_0484/klagomål/A 42002-2021 FSC-klagomål.docx", "A 42002-2021")</f>
        <v/>
      </c>
      <c r="W53">
        <f>HYPERLINK("https://klasma.github.io/Logging_0484/klagomålsmail/A 42002-2021 FSC-klagomål mail.docx", "A 42002-2021")</f>
        <v/>
      </c>
      <c r="X53">
        <f>HYPERLINK("https://klasma.github.io/Logging_0484/tillsyn/A 42002-2021 tillsynsbegäran.docx", "A 42002-2021")</f>
        <v/>
      </c>
      <c r="Y53">
        <f>HYPERLINK("https://klasma.github.io/Logging_0484/tillsynsmail/A 42002-2021 tillsynsbegäran mail.docx", "A 42002-2021")</f>
        <v/>
      </c>
      <c r="Z53">
        <f>HYPERLINK("https://klasma.github.io/Logging_0484/fåglar/A 42002-2021 prioriterade fågelarter.docx", "A 42002-2021")</f>
        <v/>
      </c>
    </row>
    <row r="54" ht="15" customHeight="1">
      <c r="A54" t="inlineStr">
        <is>
          <t>A 49439-2021</t>
        </is>
      </c>
      <c r="B54" s="1" t="n">
        <v>44454</v>
      </c>
      <c r="C54" s="1" t="n">
        <v>46203</v>
      </c>
      <c r="D54" t="inlineStr">
        <is>
          <t>SÖDERMANLANDS LÄN</t>
        </is>
      </c>
      <c r="E54" t="inlineStr">
        <is>
          <t>ESKILSTUNA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HYPERLINK("https://klasma.github.io/Logging_0484/artfynd/A 49439-2021 artfynd.xlsx", "A 49439-2021")</f>
        <v/>
      </c>
      <c r="T54">
        <f>HYPERLINK("https://klasma.github.io/Logging_0484/kartor/A 49439-2021 karta.png", "A 49439-2021")</f>
        <v/>
      </c>
      <c r="V54">
        <f>HYPERLINK("https://klasma.github.io/Logging_0484/klagomål/A 49439-2021 FSC-klagomål.docx", "A 49439-2021")</f>
        <v/>
      </c>
      <c r="W54">
        <f>HYPERLINK("https://klasma.github.io/Logging_0484/klagomålsmail/A 49439-2021 FSC-klagomål mail.docx", "A 49439-2021")</f>
        <v/>
      </c>
      <c r="X54">
        <f>HYPERLINK("https://klasma.github.io/Logging_0484/tillsyn/A 49439-2021 tillsynsbegäran.docx", "A 49439-2021")</f>
        <v/>
      </c>
      <c r="Y54">
        <f>HYPERLINK("https://klasma.github.io/Logging_0484/tillsynsmail/A 49439-2021 tillsynsbegäran mail.docx", "A 49439-2021")</f>
        <v/>
      </c>
    </row>
    <row r="55" ht="15" customHeight="1">
      <c r="A55" t="inlineStr">
        <is>
          <t>A 2512-2025</t>
        </is>
      </c>
      <c r="B55" s="1" t="n">
        <v>45674</v>
      </c>
      <c r="C55" s="1" t="n">
        <v>46203</v>
      </c>
      <c r="D55" t="inlineStr">
        <is>
          <t>SÖDERMANLANDS LÄN</t>
        </is>
      </c>
      <c r="E55" t="inlineStr">
        <is>
          <t>ESKILSTUNA</t>
        </is>
      </c>
      <c r="G55" t="n">
        <v>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HYPERLINK("https://klasma.github.io/Logging_0484/artfynd/A 2512-2025 artfynd.xlsx", "A 2512-2025")</f>
        <v/>
      </c>
      <c r="T55">
        <f>HYPERLINK("https://klasma.github.io/Logging_0484/kartor/A 2512-2025 karta.png", "A 2512-2025")</f>
        <v/>
      </c>
      <c r="V55">
        <f>HYPERLINK("https://klasma.github.io/Logging_0484/klagomål/A 2512-2025 FSC-klagomål.docx", "A 2512-2025")</f>
        <v/>
      </c>
      <c r="W55">
        <f>HYPERLINK("https://klasma.github.io/Logging_0484/klagomålsmail/A 2512-2025 FSC-klagomål mail.docx", "A 2512-2025")</f>
        <v/>
      </c>
      <c r="X55">
        <f>HYPERLINK("https://klasma.github.io/Logging_0484/tillsyn/A 2512-2025 tillsynsbegäran.docx", "A 2512-2025")</f>
        <v/>
      </c>
      <c r="Y55">
        <f>HYPERLINK("https://klasma.github.io/Logging_0484/tillsynsmail/A 2512-2025 tillsynsbegäran mail.docx", "A 2512-2025")</f>
        <v/>
      </c>
    </row>
    <row r="56" ht="15" customHeight="1">
      <c r="A56" t="inlineStr">
        <is>
          <t>A 12984-2024</t>
        </is>
      </c>
      <c r="B56" s="1" t="n">
        <v>45385</v>
      </c>
      <c r="C56" s="1" t="n">
        <v>46203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6.4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HYPERLINK("https://klasma.github.io/Logging_0484/artfynd/A 12984-2024 artfynd.xlsx", "A 12984-2024")</f>
        <v/>
      </c>
      <c r="T56">
        <f>HYPERLINK("https://klasma.github.io/Logging_0484/kartor/A 12984-2024 karta.png", "A 12984-2024")</f>
        <v/>
      </c>
      <c r="V56">
        <f>HYPERLINK("https://klasma.github.io/Logging_0484/klagomål/A 12984-2024 FSC-klagomål.docx", "A 12984-2024")</f>
        <v/>
      </c>
      <c r="W56">
        <f>HYPERLINK("https://klasma.github.io/Logging_0484/klagomålsmail/A 12984-2024 FSC-klagomål mail.docx", "A 12984-2024")</f>
        <v/>
      </c>
      <c r="X56">
        <f>HYPERLINK("https://klasma.github.io/Logging_0484/tillsyn/A 12984-2024 tillsynsbegäran.docx", "A 12984-2024")</f>
        <v/>
      </c>
      <c r="Y56">
        <f>HYPERLINK("https://klasma.github.io/Logging_0484/tillsynsmail/A 12984-2024 tillsynsbegäran mail.docx", "A 12984-2024")</f>
        <v/>
      </c>
    </row>
    <row r="57" ht="15" customHeight="1">
      <c r="A57" t="inlineStr">
        <is>
          <t>A 52840-2025</t>
        </is>
      </c>
      <c r="B57" s="1" t="n">
        <v>45957</v>
      </c>
      <c r="C57" s="1" t="n">
        <v>46203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53399-2023</t>
        </is>
      </c>
      <c r="B58" s="1" t="n">
        <v>45229</v>
      </c>
      <c r="C58" s="1" t="n">
        <v>46203</v>
      </c>
      <c r="D58" t="inlineStr">
        <is>
          <t>SÖDERMANLANDS LÄN</t>
        </is>
      </c>
      <c r="E58" t="inlineStr">
        <is>
          <t>ESKILSTUNA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HYPERLINK("https://klasma.github.io/Logging_0484/artfynd/A 53399-2023 artfynd.xlsx", "A 53399-2023")</f>
        <v/>
      </c>
      <c r="T58">
        <f>HYPERLINK("https://klasma.github.io/Logging_0484/kartor/A 53399-2023 karta.png", "A 53399-2023")</f>
        <v/>
      </c>
      <c r="V58">
        <f>HYPERLINK("https://klasma.github.io/Logging_0484/klagomål/A 53399-2023 FSC-klagomål.docx", "A 53399-2023")</f>
        <v/>
      </c>
      <c r="W58">
        <f>HYPERLINK("https://klasma.github.io/Logging_0484/klagomålsmail/A 53399-2023 FSC-klagomål mail.docx", "A 53399-2023")</f>
        <v/>
      </c>
      <c r="X58">
        <f>HYPERLINK("https://klasma.github.io/Logging_0484/tillsyn/A 53399-2023 tillsynsbegäran.docx", "A 53399-2023")</f>
        <v/>
      </c>
      <c r="Y58">
        <f>HYPERLINK("https://klasma.github.io/Logging_0484/tillsynsmail/A 53399-2023 tillsynsbegäran mail.docx", "A 53399-2023")</f>
        <v/>
      </c>
    </row>
    <row r="59" ht="15" customHeight="1">
      <c r="A59" t="inlineStr">
        <is>
          <t>A 5203-2025</t>
        </is>
      </c>
      <c r="B59" s="1" t="n">
        <v>45691</v>
      </c>
      <c r="C59" s="1" t="n">
        <v>46203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HYPERLINK("https://klasma.github.io/Logging_0484/artfynd/A 5203-2025 artfynd.xlsx", "A 5203-2025")</f>
        <v/>
      </c>
      <c r="T59">
        <f>HYPERLINK("https://klasma.github.io/Logging_0484/kartor/A 5203-2025 karta.png", "A 5203-2025")</f>
        <v/>
      </c>
      <c r="V59">
        <f>HYPERLINK("https://klasma.github.io/Logging_0484/klagomål/A 5203-2025 FSC-klagomål.docx", "A 5203-2025")</f>
        <v/>
      </c>
      <c r="W59">
        <f>HYPERLINK("https://klasma.github.io/Logging_0484/klagomålsmail/A 5203-2025 FSC-klagomål mail.docx", "A 5203-2025")</f>
        <v/>
      </c>
      <c r="X59">
        <f>HYPERLINK("https://klasma.github.io/Logging_0484/tillsyn/A 5203-2025 tillsynsbegäran.docx", "A 5203-2025")</f>
        <v/>
      </c>
      <c r="Y59">
        <f>HYPERLINK("https://klasma.github.io/Logging_0484/tillsynsmail/A 5203-2025 tillsynsbegäran mail.docx", "A 5203-2025")</f>
        <v/>
      </c>
      <c r="Z59">
        <f>HYPERLINK("https://klasma.github.io/Logging_0484/fåglar/A 5203-2025 prioriterade fågelarter.docx", "A 5203-2025")</f>
        <v/>
      </c>
    </row>
    <row r="60" ht="15" customHeight="1">
      <c r="A60" t="inlineStr">
        <is>
          <t>A 31056-2025</t>
        </is>
      </c>
      <c r="B60" s="1" t="n">
        <v>45832</v>
      </c>
      <c r="C60" s="1" t="n">
        <v>46203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HYPERLINK("https://klasma.github.io/Logging_0484/artfynd/A 31056-2025 artfynd.xlsx", "A 31056-2025")</f>
        <v/>
      </c>
      <c r="T60">
        <f>HYPERLINK("https://klasma.github.io/Logging_0484/kartor/A 31056-2025 karta.png", "A 31056-2025")</f>
        <v/>
      </c>
      <c r="V60">
        <f>HYPERLINK("https://klasma.github.io/Logging_0484/klagomål/A 31056-2025 FSC-klagomål.docx", "A 31056-2025")</f>
        <v/>
      </c>
      <c r="W60">
        <f>HYPERLINK("https://klasma.github.io/Logging_0484/klagomålsmail/A 31056-2025 FSC-klagomål mail.docx", "A 31056-2025")</f>
        <v/>
      </c>
      <c r="X60">
        <f>HYPERLINK("https://klasma.github.io/Logging_0484/tillsyn/A 31056-2025 tillsynsbegäran.docx", "A 31056-2025")</f>
        <v/>
      </c>
      <c r="Y60">
        <f>HYPERLINK("https://klasma.github.io/Logging_0484/tillsynsmail/A 31056-2025 tillsynsbegäran mail.docx", "A 31056-2025")</f>
        <v/>
      </c>
    </row>
    <row r="61" ht="15" customHeight="1">
      <c r="A61" t="inlineStr">
        <is>
          <t>A 43547-2022</t>
        </is>
      </c>
      <c r="B61" s="1" t="n">
        <v>44834</v>
      </c>
      <c r="C61" s="1" t="n">
        <v>46203</v>
      </c>
      <c r="D61" t="inlineStr">
        <is>
          <t>SÖDERMANLANDS LÄN</t>
        </is>
      </c>
      <c r="E61" t="inlineStr">
        <is>
          <t>ESKILSTUNA</t>
        </is>
      </c>
      <c r="G61" t="n">
        <v>3.2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HYPERLINK("https://klasma.github.io/Logging_0484/artfynd/A 43547-2022 artfynd.xlsx", "A 43547-2022")</f>
        <v/>
      </c>
      <c r="T61">
        <f>HYPERLINK("https://klasma.github.io/Logging_0484/kartor/A 43547-2022 karta.png", "A 43547-2022")</f>
        <v/>
      </c>
      <c r="U61">
        <f>HYPERLINK("https://klasma.github.io/Logging_0484/knärot/A 43547-2022 karta knärot.png", "A 43547-2022")</f>
        <v/>
      </c>
      <c r="V61">
        <f>HYPERLINK("https://klasma.github.io/Logging_0484/klagomål/A 43547-2022 FSC-klagomål.docx", "A 43547-2022")</f>
        <v/>
      </c>
      <c r="W61">
        <f>HYPERLINK("https://klasma.github.io/Logging_0484/klagomålsmail/A 43547-2022 FSC-klagomål mail.docx", "A 43547-2022")</f>
        <v/>
      </c>
      <c r="X61">
        <f>HYPERLINK("https://klasma.github.io/Logging_0484/tillsyn/A 43547-2022 tillsynsbegäran.docx", "A 43547-2022")</f>
        <v/>
      </c>
      <c r="Y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s="1" t="n">
        <v>44854</v>
      </c>
      <c r="C62" s="1" t="n">
        <v>46203</v>
      </c>
      <c r="D62" t="inlineStr">
        <is>
          <t>SÖDERMANLANDS LÄN</t>
        </is>
      </c>
      <c r="E62" t="inlineStr">
        <is>
          <t>ESKILSTUNA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HYPERLINK("https://klasma.github.io/Logging_0484/artfynd/A 47648-2022 artfynd.xlsx", "A 47648-2022")</f>
        <v/>
      </c>
      <c r="T62">
        <f>HYPERLINK("https://klasma.github.io/Logging_0484/kartor/A 47648-2022 karta.png", "A 47648-2022")</f>
        <v/>
      </c>
      <c r="V62">
        <f>HYPERLINK("https://klasma.github.io/Logging_0484/klagomål/A 47648-2022 FSC-klagomål.docx", "A 47648-2022")</f>
        <v/>
      </c>
      <c r="W62">
        <f>HYPERLINK("https://klasma.github.io/Logging_0484/klagomålsmail/A 47648-2022 FSC-klagomål mail.docx", "A 47648-2022")</f>
        <v/>
      </c>
      <c r="X62">
        <f>HYPERLINK("https://klasma.github.io/Logging_0484/tillsyn/A 47648-2022 tillsynsbegäran.docx", "A 47648-2022")</f>
        <v/>
      </c>
      <c r="Y62">
        <f>HYPERLINK("https://klasma.github.io/Logging_0484/tillsynsmail/A 47648-2022 tillsynsbegäran mail.docx", "A 47648-2022")</f>
        <v/>
      </c>
      <c r="Z62">
        <f>HYPERLINK("https://klasma.github.io/Logging_0484/fåglar/A 47648-2022 prioriterade fågelarter.docx", "A 47648-2022")</f>
        <v/>
      </c>
    </row>
    <row r="63" ht="15" customHeight="1">
      <c r="A63" t="inlineStr">
        <is>
          <t>A 36216-2025</t>
        </is>
      </c>
      <c r="B63" s="1" t="n">
        <v>45867</v>
      </c>
      <c r="C63" s="1" t="n">
        <v>46203</v>
      </c>
      <c r="D63" t="inlineStr">
        <is>
          <t>SÖDERMANLANDS LÄN</t>
        </is>
      </c>
      <c r="E63" t="inlineStr">
        <is>
          <t>ESKILSTUNA</t>
        </is>
      </c>
      <c r="G63" t="n">
        <v>18.7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HYPERLINK("https://klasma.github.io/Logging_0484/artfynd/A 36216-2025 artfynd.xlsx", "A 36216-2025")</f>
        <v/>
      </c>
      <c r="T63">
        <f>HYPERLINK("https://klasma.github.io/Logging_0484/kartor/A 36216-2025 karta.png", "A 36216-2025")</f>
        <v/>
      </c>
      <c r="V63">
        <f>HYPERLINK("https://klasma.github.io/Logging_0484/klagomål/A 36216-2025 FSC-klagomål.docx", "A 36216-2025")</f>
        <v/>
      </c>
      <c r="W63">
        <f>HYPERLINK("https://klasma.github.io/Logging_0484/klagomålsmail/A 36216-2025 FSC-klagomål mail.docx", "A 36216-2025")</f>
        <v/>
      </c>
      <c r="X63">
        <f>HYPERLINK("https://klasma.github.io/Logging_0484/tillsyn/A 36216-2025 tillsynsbegäran.docx", "A 36216-2025")</f>
        <v/>
      </c>
      <c r="Y63">
        <f>HYPERLINK("https://klasma.github.io/Logging_0484/tillsynsmail/A 36216-2025 tillsynsbegäran mail.docx", "A 36216-2025")</f>
        <v/>
      </c>
    </row>
    <row r="64" ht="15" customHeight="1">
      <c r="A64" t="inlineStr">
        <is>
          <t>A 8518-2026</t>
        </is>
      </c>
      <c r="B64" s="1" t="n">
        <v>46065</v>
      </c>
      <c r="C64" s="1" t="n">
        <v>46203</v>
      </c>
      <c r="D64" t="inlineStr">
        <is>
          <t>SÖDERMANLANDS LÄN</t>
        </is>
      </c>
      <c r="E64" t="inlineStr">
        <is>
          <t>ESKILSTUNA</t>
        </is>
      </c>
      <c r="G64" t="n">
        <v>8.9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Igelkott</t>
        </is>
      </c>
      <c r="S64">
        <f>HYPERLINK("https://klasma.github.io/Logging_0484/artfynd/A 8518-2026 artfynd.xlsx", "A 8518-2026")</f>
        <v/>
      </c>
      <c r="T64">
        <f>HYPERLINK("https://klasma.github.io/Logging_0484/kartor/A 8518-2026 karta.png", "A 8518-2026")</f>
        <v/>
      </c>
      <c r="V64">
        <f>HYPERLINK("https://klasma.github.io/Logging_0484/klagomål/A 8518-2026 FSC-klagomål.docx", "A 8518-2026")</f>
        <v/>
      </c>
      <c r="W64">
        <f>HYPERLINK("https://klasma.github.io/Logging_0484/klagomålsmail/A 8518-2026 FSC-klagomål mail.docx", "A 8518-2026")</f>
        <v/>
      </c>
      <c r="X64">
        <f>HYPERLINK("https://klasma.github.io/Logging_0484/tillsyn/A 8518-2026 tillsynsbegäran.docx", "A 8518-2026")</f>
        <v/>
      </c>
      <c r="Y64">
        <f>HYPERLINK("https://klasma.github.io/Logging_0484/tillsynsmail/A 8518-2026 tillsynsbegäran mail.docx", "A 8518-2026")</f>
        <v/>
      </c>
    </row>
    <row r="65" ht="15" customHeight="1">
      <c r="A65" t="inlineStr">
        <is>
          <t>A 15608-2026</t>
        </is>
      </c>
      <c r="B65" s="1" t="n">
        <v>46106</v>
      </c>
      <c r="C65" s="1" t="n">
        <v>46203</v>
      </c>
      <c r="D65" t="inlineStr">
        <is>
          <t>SÖDERMANLANDS LÄN</t>
        </is>
      </c>
      <c r="E65" t="inlineStr">
        <is>
          <t>ESKILSTUNA</t>
        </is>
      </c>
      <c r="G65" t="n">
        <v>9.6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Igelkott</t>
        </is>
      </c>
      <c r="S65">
        <f>HYPERLINK("https://klasma.github.io/Logging_0484/artfynd/A 15608-2026 artfynd.xlsx", "A 15608-2026")</f>
        <v/>
      </c>
      <c r="T65">
        <f>HYPERLINK("https://klasma.github.io/Logging_0484/kartor/A 15608-2026 karta.png", "A 15608-2026")</f>
        <v/>
      </c>
      <c r="V65">
        <f>HYPERLINK("https://klasma.github.io/Logging_0484/klagomål/A 15608-2026 FSC-klagomål.docx", "A 15608-2026")</f>
        <v/>
      </c>
      <c r="W65">
        <f>HYPERLINK("https://klasma.github.io/Logging_0484/klagomålsmail/A 15608-2026 FSC-klagomål mail.docx", "A 15608-2026")</f>
        <v/>
      </c>
      <c r="X65">
        <f>HYPERLINK("https://klasma.github.io/Logging_0484/tillsyn/A 15608-2026 tillsynsbegäran.docx", "A 15608-2026")</f>
        <v/>
      </c>
      <c r="Y65">
        <f>HYPERLINK("https://klasma.github.io/Logging_0484/tillsynsmail/A 15608-2026 tillsynsbegäran mail.docx", "A 15608-2026")</f>
        <v/>
      </c>
    </row>
    <row r="66" ht="15" customHeight="1">
      <c r="A66" t="inlineStr">
        <is>
          <t>A 26008-2026</t>
        </is>
      </c>
      <c r="B66" s="1" t="n">
        <v>46181</v>
      </c>
      <c r="C66" s="1" t="n">
        <v>46203</v>
      </c>
      <c r="D66" t="inlineStr">
        <is>
          <t>SÖDERMANLANDS LÄN</t>
        </is>
      </c>
      <c r="E66" t="inlineStr">
        <is>
          <t>ESKILSTUNA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26008-2026 artfynd.xlsx", "A 26008-2026")</f>
        <v/>
      </c>
      <c r="T66">
        <f>HYPERLINK("https://klasma.github.io/Logging_0484/kartor/A 26008-2026 karta.png", "A 26008-2026")</f>
        <v/>
      </c>
      <c r="V66">
        <f>HYPERLINK("https://klasma.github.io/Logging_0484/klagomål/A 26008-2026 FSC-klagomål.docx", "A 26008-2026")</f>
        <v/>
      </c>
      <c r="W66">
        <f>HYPERLINK("https://klasma.github.io/Logging_0484/klagomålsmail/A 26008-2026 FSC-klagomål mail.docx", "A 26008-2026")</f>
        <v/>
      </c>
      <c r="X66">
        <f>HYPERLINK("https://klasma.github.io/Logging_0484/tillsyn/A 26008-2026 tillsynsbegäran.docx", "A 26008-2026")</f>
        <v/>
      </c>
      <c r="Y66">
        <f>HYPERLINK("https://klasma.github.io/Logging_0484/tillsynsmail/A 26008-2026 tillsynsbegäran mail.docx", "A 26008-2026")</f>
        <v/>
      </c>
    </row>
    <row r="67" ht="15" customHeight="1">
      <c r="A67" t="inlineStr">
        <is>
          <t>A 26148-2022</t>
        </is>
      </c>
      <c r="B67" s="1" t="n">
        <v>44735</v>
      </c>
      <c r="C67" s="1" t="n">
        <v>46203</v>
      </c>
      <c r="D67" t="inlineStr">
        <is>
          <t>SÖDERMANLANDS LÄN</t>
        </is>
      </c>
      <c r="E67" t="inlineStr">
        <is>
          <t>ESKILSTUNA</t>
        </is>
      </c>
      <c r="G67" t="n">
        <v>3.3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Rödvingetrast</t>
        </is>
      </c>
      <c r="S67">
        <f>HYPERLINK("https://klasma.github.io/Logging_0484/artfynd/A 26148-2022 artfynd.xlsx", "A 26148-2022")</f>
        <v/>
      </c>
      <c r="T67">
        <f>HYPERLINK("https://klasma.github.io/Logging_0484/kartor/A 26148-2022 karta.png", "A 26148-2022")</f>
        <v/>
      </c>
      <c r="V67">
        <f>HYPERLINK("https://klasma.github.io/Logging_0484/klagomål/A 26148-2022 FSC-klagomål.docx", "A 26148-2022")</f>
        <v/>
      </c>
      <c r="W67">
        <f>HYPERLINK("https://klasma.github.io/Logging_0484/klagomålsmail/A 26148-2022 FSC-klagomål mail.docx", "A 26148-2022")</f>
        <v/>
      </c>
      <c r="X67">
        <f>HYPERLINK("https://klasma.github.io/Logging_0484/tillsyn/A 26148-2022 tillsynsbegäran.docx", "A 26148-2022")</f>
        <v/>
      </c>
      <c r="Y67">
        <f>HYPERLINK("https://klasma.github.io/Logging_0484/tillsynsmail/A 26148-2022 tillsynsbegäran mail.docx", "A 26148-2022")</f>
        <v/>
      </c>
      <c r="Z67">
        <f>HYPERLINK("https://klasma.github.io/Logging_0484/fåglar/A 26148-2022 prioriterade fågelarter.docx", "A 26148-2022")</f>
        <v/>
      </c>
    </row>
    <row r="68" ht="15" customHeight="1">
      <c r="A68" t="inlineStr">
        <is>
          <t>A 27892-2026</t>
        </is>
      </c>
      <c r="B68" s="1" t="n">
        <v>46191</v>
      </c>
      <c r="C68" s="1" t="n">
        <v>46203</v>
      </c>
      <c r="D68" t="inlineStr">
        <is>
          <t>SÖDERMANLANDS LÄN</t>
        </is>
      </c>
      <c r="E68" t="inlineStr">
        <is>
          <t>ESKILSTUNA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HYPERLINK("https://klasma.github.io/Logging_0484/artfynd/A 27892-2026 artfynd.xlsx", "A 27892-2026")</f>
        <v/>
      </c>
      <c r="T68">
        <f>HYPERLINK("https://klasma.github.io/Logging_0484/kartor/A 27892-2026 karta.png", "A 27892-2026")</f>
        <v/>
      </c>
      <c r="V68">
        <f>HYPERLINK("https://klasma.github.io/Logging_0484/klagomål/A 27892-2026 FSC-klagomål.docx", "A 27892-2026")</f>
        <v/>
      </c>
      <c r="W68">
        <f>HYPERLINK("https://klasma.github.io/Logging_0484/klagomålsmail/A 27892-2026 FSC-klagomål mail.docx", "A 27892-2026")</f>
        <v/>
      </c>
      <c r="X68">
        <f>HYPERLINK("https://klasma.github.io/Logging_0484/tillsyn/A 27892-2026 tillsynsbegäran.docx", "A 27892-2026")</f>
        <v/>
      </c>
      <c r="Y68">
        <f>HYPERLINK("https://klasma.github.io/Logging_0484/tillsynsmail/A 27892-2026 tillsynsbegäran mail.docx", "A 27892-2026")</f>
        <v/>
      </c>
    </row>
    <row r="69" ht="15" customHeight="1">
      <c r="A69" t="inlineStr">
        <is>
          <t>A 29047-2026</t>
        </is>
      </c>
      <c r="B69" s="1" t="n">
        <v>46199</v>
      </c>
      <c r="C69" s="1" t="n">
        <v>46203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HYPERLINK("https://klasma.github.io/Logging_0484/artfynd/A 29047-2026 artfynd.xlsx", "A 29047-2026")</f>
        <v/>
      </c>
      <c r="T69">
        <f>HYPERLINK("https://klasma.github.io/Logging_0484/kartor/A 29047-2026 karta.png", "A 29047-2026")</f>
        <v/>
      </c>
      <c r="V69">
        <f>HYPERLINK("https://klasma.github.io/Logging_0484/klagomål/A 29047-2026 FSC-klagomål.docx", "A 29047-2026")</f>
        <v/>
      </c>
      <c r="W69">
        <f>HYPERLINK("https://klasma.github.io/Logging_0484/klagomålsmail/A 29047-2026 FSC-klagomål mail.docx", "A 29047-2026")</f>
        <v/>
      </c>
      <c r="X69">
        <f>HYPERLINK("https://klasma.github.io/Logging_0484/tillsyn/A 29047-2026 tillsynsbegäran.docx", "A 29047-2026")</f>
        <v/>
      </c>
      <c r="Y69">
        <f>HYPERLINK("https://klasma.github.io/Logging_0484/tillsynsmail/A 29047-2026 tillsynsbegäran mail.docx", "A 29047-2026")</f>
        <v/>
      </c>
    </row>
    <row r="70" ht="15" customHeight="1">
      <c r="A70" t="inlineStr">
        <is>
          <t>A 59070-2022</t>
        </is>
      </c>
      <c r="B70" s="1" t="n">
        <v>44904</v>
      </c>
      <c r="C70" s="1" t="n">
        <v>46203</v>
      </c>
      <c r="D70" t="inlineStr">
        <is>
          <t>SÖDERMANLANDS LÄN</t>
        </is>
      </c>
      <c r="E70" t="inlineStr">
        <is>
          <t>ESKILSTUNA</t>
        </is>
      </c>
      <c r="G70" t="n">
        <v>6.6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Igelkott</t>
        </is>
      </c>
      <c r="S70">
        <f>HYPERLINK("https://klasma.github.io/Logging_0484/artfynd/A 59070-2022 artfynd.xlsx", "A 59070-2022")</f>
        <v/>
      </c>
      <c r="T70">
        <f>HYPERLINK("https://klasma.github.io/Logging_0484/kartor/A 59070-2022 karta.png", "A 59070-2022")</f>
        <v/>
      </c>
      <c r="V70">
        <f>HYPERLINK("https://klasma.github.io/Logging_0484/klagomål/A 59070-2022 FSC-klagomål.docx", "A 59070-2022")</f>
        <v/>
      </c>
      <c r="W70">
        <f>HYPERLINK("https://klasma.github.io/Logging_0484/klagomålsmail/A 59070-2022 FSC-klagomål mail.docx", "A 59070-2022")</f>
        <v/>
      </c>
      <c r="X70">
        <f>HYPERLINK("https://klasma.github.io/Logging_0484/tillsyn/A 59070-2022 tillsynsbegäran.docx", "A 59070-2022")</f>
        <v/>
      </c>
      <c r="Y70">
        <f>HYPERLINK("https://klasma.github.io/Logging_0484/tillsynsmail/A 59070-2022 tillsynsbegäran mail.docx", "A 59070-2022")</f>
        <v/>
      </c>
    </row>
    <row r="71" ht="15" customHeight="1">
      <c r="A71" t="inlineStr">
        <is>
          <t>A 57349-2021</t>
        </is>
      </c>
      <c r="B71" s="1" t="n">
        <v>44483</v>
      </c>
      <c r="C71" s="1" t="n">
        <v>46203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HYPERLINK("https://klasma.github.io/Logging_0484/artfynd/A 57349-2021 artfynd.xlsx", "A 57349-2021")</f>
        <v/>
      </c>
      <c r="T71">
        <f>HYPERLINK("https://klasma.github.io/Logging_0484/kartor/A 57349-2021 karta.png", "A 57349-2021")</f>
        <v/>
      </c>
      <c r="V71">
        <f>HYPERLINK("https://klasma.github.io/Logging_0484/klagomål/A 57349-2021 FSC-klagomål.docx", "A 57349-2021")</f>
        <v/>
      </c>
      <c r="W71">
        <f>HYPERLINK("https://klasma.github.io/Logging_0484/klagomålsmail/A 57349-2021 FSC-klagomål mail.docx", "A 57349-2021")</f>
        <v/>
      </c>
      <c r="X71">
        <f>HYPERLINK("https://klasma.github.io/Logging_0484/tillsyn/A 57349-2021 tillsynsbegäran.docx", "A 57349-2021")</f>
        <v/>
      </c>
      <c r="Y71">
        <f>HYPERLINK("https://klasma.github.io/Logging_0484/tillsynsmail/A 57349-2021 tillsynsbegäran mail.docx", "A 57349-2021")</f>
        <v/>
      </c>
    </row>
    <row r="72" ht="15" customHeight="1">
      <c r="A72" t="inlineStr">
        <is>
          <t>A 9645-2023</t>
        </is>
      </c>
      <c r="B72" s="1" t="n">
        <v>44984</v>
      </c>
      <c r="C72" s="1" t="n">
        <v>46203</v>
      </c>
      <c r="D72" t="inlineStr">
        <is>
          <t>SÖDERMANLANDS LÄN</t>
        </is>
      </c>
      <c r="E72" t="inlineStr">
        <is>
          <t>ESKILSTUNA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Skogsduva</t>
        </is>
      </c>
      <c r="S72">
        <f>HYPERLINK("https://klasma.github.io/Logging_0484/artfynd/A 9645-2023 artfynd.xlsx", "A 9645-2023")</f>
        <v/>
      </c>
      <c r="T72">
        <f>HYPERLINK("https://klasma.github.io/Logging_0484/kartor/A 9645-2023 karta.png", "A 9645-2023")</f>
        <v/>
      </c>
      <c r="V72">
        <f>HYPERLINK("https://klasma.github.io/Logging_0484/klagomål/A 9645-2023 FSC-klagomål.docx", "A 9645-2023")</f>
        <v/>
      </c>
      <c r="W72">
        <f>HYPERLINK("https://klasma.github.io/Logging_0484/klagomålsmail/A 9645-2023 FSC-klagomål mail.docx", "A 9645-2023")</f>
        <v/>
      </c>
      <c r="X72">
        <f>HYPERLINK("https://klasma.github.io/Logging_0484/tillsyn/A 9645-2023 tillsynsbegäran.docx", "A 9645-2023")</f>
        <v/>
      </c>
      <c r="Y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s="1" t="n">
        <v>44525</v>
      </c>
      <c r="C73" s="1" t="n">
        <v>46203</v>
      </c>
      <c r="D73" t="inlineStr">
        <is>
          <t>SÖDERMANLANDS LÄN</t>
        </is>
      </c>
      <c r="E73" t="inlineStr">
        <is>
          <t>ESKILSTUNA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HYPERLINK("https://klasma.github.io/Logging_0484/artfynd/A 68018-2021 artfynd.xlsx", "A 68018-2021")</f>
        <v/>
      </c>
      <c r="T73">
        <f>HYPERLINK("https://klasma.github.io/Logging_0484/kartor/A 68018-2021 karta.png", "A 68018-2021")</f>
        <v/>
      </c>
      <c r="V73">
        <f>HYPERLINK("https://klasma.github.io/Logging_0484/klagomål/A 68018-2021 FSC-klagomål.docx", "A 68018-2021")</f>
        <v/>
      </c>
      <c r="W73">
        <f>HYPERLINK("https://klasma.github.io/Logging_0484/klagomålsmail/A 68018-2021 FSC-klagomål mail.docx", "A 68018-2021")</f>
        <v/>
      </c>
      <c r="X73">
        <f>HYPERLINK("https://klasma.github.io/Logging_0484/tillsyn/A 68018-2021 tillsynsbegäran.docx", "A 68018-2021")</f>
        <v/>
      </c>
      <c r="Y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s="1" t="n">
        <v>45603</v>
      </c>
      <c r="C74" s="1" t="n">
        <v>46203</v>
      </c>
      <c r="D74" t="inlineStr">
        <is>
          <t>SÖDERMANLANDS LÄN</t>
        </is>
      </c>
      <c r="E74" t="inlineStr">
        <is>
          <t>ESKILSTUNA</t>
        </is>
      </c>
      <c r="G74" t="n">
        <v>4.9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51345-2024 artfynd.xlsx", "A 51345-2024")</f>
        <v/>
      </c>
      <c r="T74">
        <f>HYPERLINK("https://klasma.github.io/Logging_0484/kartor/A 51345-2024 karta.png", "A 51345-2024")</f>
        <v/>
      </c>
      <c r="V74">
        <f>HYPERLINK("https://klasma.github.io/Logging_0484/klagomål/A 51345-2024 FSC-klagomål.docx", "A 51345-2024")</f>
        <v/>
      </c>
      <c r="W74">
        <f>HYPERLINK("https://klasma.github.io/Logging_0484/klagomålsmail/A 51345-2024 FSC-klagomål mail.docx", "A 51345-2024")</f>
        <v/>
      </c>
      <c r="X74">
        <f>HYPERLINK("https://klasma.github.io/Logging_0484/tillsyn/A 51345-2024 tillsynsbegäran.docx", "A 51345-2024")</f>
        <v/>
      </c>
      <c r="Y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s="1" t="n">
        <v>45107</v>
      </c>
      <c r="C75" s="1" t="n">
        <v>46203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Rödvingetrast</t>
        </is>
      </c>
      <c r="S75">
        <f>HYPERLINK("https://klasma.github.io/Logging_0484/artfynd/A 29647-2023 artfynd.xlsx", "A 29647-2023")</f>
        <v/>
      </c>
      <c r="T75">
        <f>HYPERLINK("https://klasma.github.io/Logging_0484/kartor/A 29647-2023 karta.png", "A 29647-2023")</f>
        <v/>
      </c>
      <c r="V75">
        <f>HYPERLINK("https://klasma.github.io/Logging_0484/klagomål/A 29647-2023 FSC-klagomål.docx", "A 29647-2023")</f>
        <v/>
      </c>
      <c r="W75">
        <f>HYPERLINK("https://klasma.github.io/Logging_0484/klagomålsmail/A 29647-2023 FSC-klagomål mail.docx", "A 29647-2023")</f>
        <v/>
      </c>
      <c r="X75">
        <f>HYPERLINK("https://klasma.github.io/Logging_0484/tillsyn/A 29647-2023 tillsynsbegäran.docx", "A 29647-2023")</f>
        <v/>
      </c>
      <c r="Y75">
        <f>HYPERLINK("https://klasma.github.io/Logging_0484/tillsynsmail/A 29647-2023 tillsynsbegäran mail.docx", "A 29647-2023")</f>
        <v/>
      </c>
      <c r="Z75">
        <f>HYPERLINK("https://klasma.github.io/Logging_0484/fåglar/A 29647-2023 prioriterade fågelarter.docx", "A 29647-2023")</f>
        <v/>
      </c>
    </row>
    <row r="76" ht="15" customHeight="1">
      <c r="A76" t="inlineStr">
        <is>
          <t>A 30975-2023</t>
        </is>
      </c>
      <c r="B76" s="1" t="n">
        <v>45103</v>
      </c>
      <c r="C76" s="1" t="n">
        <v>46203</v>
      </c>
      <c r="D76" t="inlineStr">
        <is>
          <t>SÖDERMANLANDS LÄN</t>
        </is>
      </c>
      <c r="E76" t="inlineStr">
        <is>
          <t>ESKILSTUNA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HYPERLINK("https://klasma.github.io/Logging_0484/artfynd/A 30975-2023 artfynd.xlsx", "A 30975-2023")</f>
        <v/>
      </c>
      <c r="T76">
        <f>HYPERLINK("https://klasma.github.io/Logging_0484/kartor/A 30975-2023 karta.png", "A 30975-2023")</f>
        <v/>
      </c>
      <c r="V76">
        <f>HYPERLINK("https://klasma.github.io/Logging_0484/klagomål/A 30975-2023 FSC-klagomål.docx", "A 30975-2023")</f>
        <v/>
      </c>
      <c r="W76">
        <f>HYPERLINK("https://klasma.github.io/Logging_0484/klagomålsmail/A 30975-2023 FSC-klagomål mail.docx", "A 30975-2023")</f>
        <v/>
      </c>
      <c r="X76">
        <f>HYPERLINK("https://klasma.github.io/Logging_0484/tillsyn/A 30975-2023 tillsynsbegäran.docx", "A 30975-2023")</f>
        <v/>
      </c>
      <c r="Y76">
        <f>HYPERLINK("https://klasma.github.io/Logging_0484/tillsynsmail/A 30975-2023 tillsynsbegäran mail.docx", "A 30975-2023")</f>
        <v/>
      </c>
    </row>
    <row r="77" ht="15" customHeight="1">
      <c r="A77" t="inlineStr">
        <is>
          <t>A 50760-2023</t>
        </is>
      </c>
      <c r="B77" s="1" t="n">
        <v>45217</v>
      </c>
      <c r="C77" s="1" t="n">
        <v>46203</v>
      </c>
      <c r="D77" t="inlineStr">
        <is>
          <t>SÖDERMANLANDS LÄN</t>
        </is>
      </c>
      <c r="E77" t="inlineStr">
        <is>
          <t>ESKILSTUNA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Pärluggla</t>
        </is>
      </c>
      <c r="S77">
        <f>HYPERLINK("https://klasma.github.io/Logging_0484/artfynd/A 50760-2023 artfynd.xlsx", "A 50760-2023")</f>
        <v/>
      </c>
      <c r="T77">
        <f>HYPERLINK("https://klasma.github.io/Logging_0484/kartor/A 50760-2023 karta.png", "A 50760-2023")</f>
        <v/>
      </c>
      <c r="V77">
        <f>HYPERLINK("https://klasma.github.io/Logging_0484/klagomål/A 50760-2023 FSC-klagomål.docx", "A 50760-2023")</f>
        <v/>
      </c>
      <c r="W77">
        <f>HYPERLINK("https://klasma.github.io/Logging_0484/klagomålsmail/A 50760-2023 FSC-klagomål mail.docx", "A 50760-2023")</f>
        <v/>
      </c>
      <c r="X77">
        <f>HYPERLINK("https://klasma.github.io/Logging_0484/tillsyn/A 50760-2023 tillsynsbegäran.docx", "A 50760-2023")</f>
        <v/>
      </c>
      <c r="Y77">
        <f>HYPERLINK("https://klasma.github.io/Logging_0484/tillsynsmail/A 50760-2023 tillsynsbegäran mail.docx", "A 50760-2023")</f>
        <v/>
      </c>
      <c r="Z77">
        <f>HYPERLINK("https://klasma.github.io/Logging_0484/fåglar/A 50760-2023 prioriterade fågelarter.docx", "A 50760-2023")</f>
        <v/>
      </c>
    </row>
    <row r="78" ht="15" customHeight="1">
      <c r="A78" t="inlineStr">
        <is>
          <t>A 55087-2022</t>
        </is>
      </c>
      <c r="B78" s="1" t="n">
        <v>44886</v>
      </c>
      <c r="C78" s="1" t="n">
        <v>46203</v>
      </c>
      <c r="D78" t="inlineStr">
        <is>
          <t>SÖDERMANLANDS LÄN</t>
        </is>
      </c>
      <c r="E78" t="inlineStr">
        <is>
          <t>ESKILSTUNA</t>
        </is>
      </c>
      <c r="G78" t="n">
        <v>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HYPERLINK("https://klasma.github.io/Logging_0484/artfynd/A 55087-2022 artfynd.xlsx", "A 55087-2022")</f>
        <v/>
      </c>
      <c r="T78">
        <f>HYPERLINK("https://klasma.github.io/Logging_0484/kartor/A 55087-2022 karta.png", "A 55087-2022")</f>
        <v/>
      </c>
      <c r="V78">
        <f>HYPERLINK("https://klasma.github.io/Logging_0484/klagomål/A 55087-2022 FSC-klagomål.docx", "A 55087-2022")</f>
        <v/>
      </c>
      <c r="W78">
        <f>HYPERLINK("https://klasma.github.io/Logging_0484/klagomålsmail/A 55087-2022 FSC-klagomål mail.docx", "A 55087-2022")</f>
        <v/>
      </c>
      <c r="X78">
        <f>HYPERLINK("https://klasma.github.io/Logging_0484/tillsyn/A 55087-2022 tillsynsbegäran.docx", "A 55087-2022")</f>
        <v/>
      </c>
      <c r="Y78">
        <f>HYPERLINK("https://klasma.github.io/Logging_0484/tillsynsmail/A 55087-2022 tillsynsbegäran mail.docx", "A 55087-2022")</f>
        <v/>
      </c>
      <c r="Z78">
        <f>HYPERLINK("https://klasma.github.io/Logging_0484/fåglar/A 55087-2022 prioriterade fågelarter.docx", "A 55087-2022")</f>
        <v/>
      </c>
    </row>
    <row r="79" ht="15" customHeight="1">
      <c r="A79" t="inlineStr">
        <is>
          <t>A 71976-2021</t>
        </is>
      </c>
      <c r="B79" s="1" t="n">
        <v>44544</v>
      </c>
      <c r="C79" s="1" t="n">
        <v>46203</v>
      </c>
      <c r="D79" t="inlineStr">
        <is>
          <t>SÖDERMANLANDS LÄN</t>
        </is>
      </c>
      <c r="E79" t="inlineStr">
        <is>
          <t>ESKILSTUNA</t>
        </is>
      </c>
      <c r="G79" t="n">
        <v>19.6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Jungfrulin</t>
        </is>
      </c>
      <c r="S79">
        <f>HYPERLINK("https://klasma.github.io/Logging_0484/artfynd/A 71976-2021 artfynd.xlsx", "A 71976-2021")</f>
        <v/>
      </c>
      <c r="T79">
        <f>HYPERLINK("https://klasma.github.io/Logging_0484/kartor/A 71976-2021 karta.png", "A 71976-2021")</f>
        <v/>
      </c>
      <c r="V79">
        <f>HYPERLINK("https://klasma.github.io/Logging_0484/klagomål/A 71976-2021 FSC-klagomål.docx", "A 71976-2021")</f>
        <v/>
      </c>
      <c r="W79">
        <f>HYPERLINK("https://klasma.github.io/Logging_0484/klagomålsmail/A 71976-2021 FSC-klagomål mail.docx", "A 71976-2021")</f>
        <v/>
      </c>
      <c r="X79">
        <f>HYPERLINK("https://klasma.github.io/Logging_0484/tillsyn/A 71976-2021 tillsynsbegäran.docx", "A 71976-2021")</f>
        <v/>
      </c>
      <c r="Y79">
        <f>HYPERLINK("https://klasma.github.io/Logging_0484/tillsynsmail/A 71976-2021 tillsynsbegäran mail.docx", "A 71976-2021")</f>
        <v/>
      </c>
    </row>
    <row r="80" ht="15" customHeight="1">
      <c r="A80" t="inlineStr">
        <is>
          <t>A 67047-2021</t>
        </is>
      </c>
      <c r="B80" s="1" t="n">
        <v>44522</v>
      </c>
      <c r="C80" s="1" t="n">
        <v>46203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67047-2021 artfynd.xlsx", "A 67047-2021")</f>
        <v/>
      </c>
      <c r="T80">
        <f>HYPERLINK("https://klasma.github.io/Logging_0484/kartor/A 67047-2021 karta.png", "A 67047-2021")</f>
        <v/>
      </c>
      <c r="V80">
        <f>HYPERLINK("https://klasma.github.io/Logging_0484/klagomål/A 67047-2021 FSC-klagomål.docx", "A 67047-2021")</f>
        <v/>
      </c>
      <c r="W80">
        <f>HYPERLINK("https://klasma.github.io/Logging_0484/klagomålsmail/A 67047-2021 FSC-klagomål mail.docx", "A 67047-2021")</f>
        <v/>
      </c>
      <c r="X80">
        <f>HYPERLINK("https://klasma.github.io/Logging_0484/tillsyn/A 67047-2021 tillsynsbegäran.docx", "A 67047-2021")</f>
        <v/>
      </c>
      <c r="Y80">
        <f>HYPERLINK("https://klasma.github.io/Logging_0484/tillsynsmail/A 67047-2021 tillsynsbegäran mail.docx", "A 67047-2021")</f>
        <v/>
      </c>
    </row>
    <row r="81" ht="15" customHeight="1">
      <c r="A81" t="inlineStr">
        <is>
          <t>A 38361-2024</t>
        </is>
      </c>
      <c r="B81" s="1" t="n">
        <v>45545</v>
      </c>
      <c r="C81" s="1" t="n">
        <v>46203</v>
      </c>
      <c r="D81" t="inlineStr">
        <is>
          <t>SÖDERMANLANDS LÄN</t>
        </is>
      </c>
      <c r="E81" t="inlineStr">
        <is>
          <t>ESKILSTUNA</t>
        </is>
      </c>
      <c r="G81" t="n">
        <v>0.4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38361-2024 artfynd.xlsx", "A 38361-2024")</f>
        <v/>
      </c>
      <c r="T81">
        <f>HYPERLINK("https://klasma.github.io/Logging_0484/kartor/A 38361-2024 karta.png", "A 38361-2024")</f>
        <v/>
      </c>
      <c r="V81">
        <f>HYPERLINK("https://klasma.github.io/Logging_0484/klagomål/A 38361-2024 FSC-klagomål.docx", "A 38361-2024")</f>
        <v/>
      </c>
      <c r="W81">
        <f>HYPERLINK("https://klasma.github.io/Logging_0484/klagomålsmail/A 38361-2024 FSC-klagomål mail.docx", "A 38361-2024")</f>
        <v/>
      </c>
      <c r="X81">
        <f>HYPERLINK("https://klasma.github.io/Logging_0484/tillsyn/A 38361-2024 tillsynsbegäran.docx", "A 38361-2024")</f>
        <v/>
      </c>
      <c r="Y81">
        <f>HYPERLINK("https://klasma.github.io/Logging_0484/tillsynsmail/A 38361-2024 tillsynsbegäran mail.docx", "A 38361-2024")</f>
        <v/>
      </c>
      <c r="Z81">
        <f>HYPERLINK("https://klasma.github.io/Logging_0484/fåglar/A 38361-2024 prioriterade fågelarter.docx", "A 38361-2024")</f>
        <v/>
      </c>
    </row>
    <row r="82" ht="15" customHeight="1">
      <c r="A82" t="inlineStr">
        <is>
          <t>A 42012-2021</t>
        </is>
      </c>
      <c r="B82" s="1" t="n">
        <v>44426</v>
      </c>
      <c r="C82" s="1" t="n">
        <v>46203</v>
      </c>
      <c r="D82" t="inlineStr">
        <is>
          <t>SÖDERMANLANDS LÄN</t>
        </is>
      </c>
      <c r="E82" t="inlineStr">
        <is>
          <t>ESKILSTUNA</t>
        </is>
      </c>
      <c r="G82" t="n">
        <v>7.9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HYPERLINK("https://klasma.github.io/Logging_0484/artfynd/A 42012-2021 artfynd.xlsx", "A 42012-2021")</f>
        <v/>
      </c>
      <c r="T82">
        <f>HYPERLINK("https://klasma.github.io/Logging_0484/kartor/A 42012-2021 karta.png", "A 42012-2021")</f>
        <v/>
      </c>
      <c r="V82">
        <f>HYPERLINK("https://klasma.github.io/Logging_0484/klagomål/A 42012-2021 FSC-klagomål.docx", "A 42012-2021")</f>
        <v/>
      </c>
      <c r="W82">
        <f>HYPERLINK("https://klasma.github.io/Logging_0484/klagomålsmail/A 42012-2021 FSC-klagomål mail.docx", "A 42012-2021")</f>
        <v/>
      </c>
      <c r="X82">
        <f>HYPERLINK("https://klasma.github.io/Logging_0484/tillsyn/A 42012-2021 tillsynsbegäran.docx", "A 42012-2021")</f>
        <v/>
      </c>
      <c r="Y82">
        <f>HYPERLINK("https://klasma.github.io/Logging_0484/tillsynsmail/A 42012-2021 tillsynsbegäran mail.docx", "A 42012-2021")</f>
        <v/>
      </c>
    </row>
    <row r="83" ht="15" customHeight="1">
      <c r="A83" t="inlineStr">
        <is>
          <t>A 48676-2021</t>
        </is>
      </c>
      <c r="B83" s="1" t="n">
        <v>44452</v>
      </c>
      <c r="C83" s="1" t="n">
        <v>46203</v>
      </c>
      <c r="D83" t="inlineStr">
        <is>
          <t>SÖDERMANLANDS LÄN</t>
        </is>
      </c>
      <c r="E83" t="inlineStr">
        <is>
          <t>ESKILSTUNA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Bronshjon</t>
        </is>
      </c>
      <c r="S83">
        <f>HYPERLINK("https://klasma.github.io/Logging_0484/artfynd/A 48676-2021 artfynd.xlsx", "A 48676-2021")</f>
        <v/>
      </c>
      <c r="T83">
        <f>HYPERLINK("https://klasma.github.io/Logging_0484/kartor/A 48676-2021 karta.png", "A 48676-2021")</f>
        <v/>
      </c>
      <c r="V83">
        <f>HYPERLINK("https://klasma.github.io/Logging_0484/klagomål/A 48676-2021 FSC-klagomål.docx", "A 48676-2021")</f>
        <v/>
      </c>
      <c r="W83">
        <f>HYPERLINK("https://klasma.github.io/Logging_0484/klagomålsmail/A 48676-2021 FSC-klagomål mail.docx", "A 48676-2021")</f>
        <v/>
      </c>
      <c r="X83">
        <f>HYPERLINK("https://klasma.github.io/Logging_0484/tillsyn/A 48676-2021 tillsynsbegäran.docx", "A 48676-2021")</f>
        <v/>
      </c>
      <c r="Y83">
        <f>HYPERLINK("https://klasma.github.io/Logging_0484/tillsynsmail/A 48676-2021 tillsynsbegäran mail.docx", "A 48676-2021")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46203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14327-2023</t>
        </is>
      </c>
      <c r="B85" s="1" t="n">
        <v>45012</v>
      </c>
      <c r="C85" s="1" t="n">
        <v>46203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Kommuner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HYPERLINK("https://klasma.github.io/Logging_0484/artfynd/A 14327-2023 artfynd.xlsx", "A 14327-2023")</f>
        <v/>
      </c>
      <c r="T85">
        <f>HYPERLINK("https://klasma.github.io/Logging_0484/kartor/A 14327-2023 karta.png", "A 14327-2023")</f>
        <v/>
      </c>
      <c r="V85">
        <f>HYPERLINK("https://klasma.github.io/Logging_0484/klagomål/A 14327-2023 FSC-klagomål.docx", "A 14327-2023")</f>
        <v/>
      </c>
      <c r="W85">
        <f>HYPERLINK("https://klasma.github.io/Logging_0484/klagomålsmail/A 14327-2023 FSC-klagomål mail.docx", "A 14327-2023")</f>
        <v/>
      </c>
      <c r="X85">
        <f>HYPERLINK("https://klasma.github.io/Logging_0484/tillsyn/A 14327-2023 tillsynsbegäran.docx", "A 14327-2023")</f>
        <v/>
      </c>
      <c r="Y85">
        <f>HYPERLINK("https://klasma.github.io/Logging_0484/tillsynsmail/A 14327-2023 tillsynsbegäran mail.docx", "A 14327-2023")</f>
        <v/>
      </c>
    </row>
    <row r="86" ht="15" customHeight="1">
      <c r="A86" t="inlineStr">
        <is>
          <t>A 38824-2021</t>
        </is>
      </c>
      <c r="B86" s="1" t="n">
        <v>44410</v>
      </c>
      <c r="C86" s="1" t="n">
        <v>46203</v>
      </c>
      <c r="D86" t="inlineStr">
        <is>
          <t>SÖDERMANLANDS LÄN</t>
        </is>
      </c>
      <c r="E86" t="inlineStr">
        <is>
          <t>ESKILSTUNA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43389-2021</t>
        </is>
      </c>
      <c r="B87" s="1" t="n">
        <v>44432</v>
      </c>
      <c r="C87" s="1" t="n">
        <v>46203</v>
      </c>
      <c r="D87" t="inlineStr">
        <is>
          <t>SÖDERMANLANDS LÄN</t>
        </is>
      </c>
      <c r="E87" t="inlineStr">
        <is>
          <t>ESKILSTUNA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35096-2022</t>
        </is>
      </c>
      <c r="B88" s="1" t="n">
        <v>44797</v>
      </c>
      <c r="C88" s="1" t="n">
        <v>46203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54633-2021</t>
        </is>
      </c>
      <c r="B89" s="1" t="n">
        <v>44473</v>
      </c>
      <c r="C89" s="1" t="n">
        <v>46203</v>
      </c>
      <c r="D89" t="inlineStr">
        <is>
          <t>SÖDERMANLANDS LÄN</t>
        </is>
      </c>
      <c r="E89" t="inlineStr">
        <is>
          <t>ESKILSTUNA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59271-2021</t>
        </is>
      </c>
      <c r="B90" s="1" t="n">
        <v>44490</v>
      </c>
      <c r="C90" s="1" t="n">
        <v>46203</v>
      </c>
      <c r="D90" t="inlineStr">
        <is>
          <t>SÖDERMANLANDS LÄN</t>
        </is>
      </c>
      <c r="E90" t="inlineStr">
        <is>
          <t>ESKILSTUNA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22191-2022</t>
        </is>
      </c>
      <c r="B91" s="1" t="n">
        <v>44712</v>
      </c>
      <c r="C91" s="1" t="n">
        <v>46203</v>
      </c>
      <c r="D91" t="inlineStr">
        <is>
          <t>SÖDERMANLANDS LÄN</t>
        </is>
      </c>
      <c r="E91" t="inlineStr">
        <is>
          <t>ESKILSTUNA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46203</v>
      </c>
      <c r="D92" t="inlineStr">
        <is>
          <t>SÖDERMANLANDS LÄN</t>
        </is>
      </c>
      <c r="E92" t="inlineStr">
        <is>
          <t>ESKILSTUNA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46203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46203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46203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46203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32401-2022</t>
        </is>
      </c>
      <c r="B97" s="1" t="n">
        <v>44781</v>
      </c>
      <c r="C97" s="1" t="n">
        <v>46203</v>
      </c>
      <c r="D97" t="inlineStr">
        <is>
          <t>SÖDERMANLANDS LÄN</t>
        </is>
      </c>
      <c r="E97" t="inlineStr">
        <is>
          <t>ESKILSTUNA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4331-2022</t>
        </is>
      </c>
      <c r="B98" s="1" t="n">
        <v>44588</v>
      </c>
      <c r="C98" s="1" t="n">
        <v>46203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46203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30698-2022</t>
        </is>
      </c>
      <c r="B100" s="1" t="n">
        <v>44763</v>
      </c>
      <c r="C100" s="1" t="n">
        <v>46203</v>
      </c>
      <c r="D100" t="inlineStr">
        <is>
          <t>SÖDERMANLANDS LÄN</t>
        </is>
      </c>
      <c r="E100" t="inlineStr">
        <is>
          <t>ESKILSTUNA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37908-2021</t>
        </is>
      </c>
      <c r="B101" s="1" t="n">
        <v>44403</v>
      </c>
      <c r="C101" s="1" t="n">
        <v>46203</v>
      </c>
      <c r="D101" t="inlineStr">
        <is>
          <t>SÖDERMANLANDS LÄN</t>
        </is>
      </c>
      <c r="E101" t="inlineStr">
        <is>
          <t>ESKILSTUNA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70051-2021</t>
        </is>
      </c>
      <c r="B102" s="1" t="n">
        <v>44533</v>
      </c>
      <c r="C102" s="1" t="n">
        <v>46203</v>
      </c>
      <c r="D102" t="inlineStr">
        <is>
          <t>SÖDERMANLANDS LÄN</t>
        </is>
      </c>
      <c r="E102" t="inlineStr">
        <is>
          <t>ESKILSTUNA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43397-2021</t>
        </is>
      </c>
      <c r="B103" s="1" t="n">
        <v>44432</v>
      </c>
      <c r="C103" s="1" t="n">
        <v>46203</v>
      </c>
      <c r="D103" t="inlineStr">
        <is>
          <t>SÖDERMANLANDS LÄN</t>
        </is>
      </c>
      <c r="E103" t="inlineStr">
        <is>
          <t>ESKILSTUNA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43403-2021</t>
        </is>
      </c>
      <c r="B104" s="1" t="n">
        <v>44432</v>
      </c>
      <c r="C104" s="1" t="n">
        <v>46203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54047-2021</t>
        </is>
      </c>
      <c r="B105" s="1" t="n">
        <v>44470</v>
      </c>
      <c r="C105" s="1" t="n">
        <v>46203</v>
      </c>
      <c r="D105" t="inlineStr">
        <is>
          <t>SÖDERMANLANDS LÄN</t>
        </is>
      </c>
      <c r="E105" t="inlineStr">
        <is>
          <t>ESKILSTUNA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65694-2021</t>
        </is>
      </c>
      <c r="B106" s="1" t="n">
        <v>44516</v>
      </c>
      <c r="C106" s="1" t="n">
        <v>46203</v>
      </c>
      <c r="D106" t="inlineStr">
        <is>
          <t>SÖDERMANLANDS LÄN</t>
        </is>
      </c>
      <c r="E106" t="inlineStr">
        <is>
          <t>ESKILSTUNA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29626-2022</t>
        </is>
      </c>
      <c r="B107" s="1" t="n">
        <v>44754</v>
      </c>
      <c r="C107" s="1" t="n">
        <v>46203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28071-2022</t>
        </is>
      </c>
      <c r="B108" s="1" t="n">
        <v>44746</v>
      </c>
      <c r="C108" s="1" t="n">
        <v>46203</v>
      </c>
      <c r="D108" t="inlineStr">
        <is>
          <t>SÖDERMANLANDS LÄN</t>
        </is>
      </c>
      <c r="E108" t="inlineStr">
        <is>
          <t>ESKILSTUNA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17841-2022</t>
        </is>
      </c>
      <c r="B109" s="1" t="n">
        <v>44683</v>
      </c>
      <c r="C109" s="1" t="n">
        <v>46203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49055-2021</t>
        </is>
      </c>
      <c r="B110" s="1" t="n">
        <v>44453</v>
      </c>
      <c r="C110" s="1" t="n">
        <v>46203</v>
      </c>
      <c r="D110" t="inlineStr">
        <is>
          <t>SÖDERMANLANDS LÄN</t>
        </is>
      </c>
      <c r="E110" t="inlineStr">
        <is>
          <t>ESKILSTUNA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22185-2022</t>
        </is>
      </c>
      <c r="B111" s="1" t="n">
        <v>44712</v>
      </c>
      <c r="C111" s="1" t="n">
        <v>46203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11137-2022</t>
        </is>
      </c>
      <c r="B112" s="1" t="n">
        <v>44628</v>
      </c>
      <c r="C112" s="1" t="n">
        <v>46203</v>
      </c>
      <c r="D112" t="inlineStr">
        <is>
          <t>SÖDERMANLANDS LÄN</t>
        </is>
      </c>
      <c r="E112" t="inlineStr">
        <is>
          <t>ESKILSTUNA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35693-2022</t>
        </is>
      </c>
      <c r="B113" s="1" t="n">
        <v>44799</v>
      </c>
      <c r="C113" s="1" t="n">
        <v>46203</v>
      </c>
      <c r="D113" t="inlineStr">
        <is>
          <t>SÖDERMANLANDS LÄN</t>
        </is>
      </c>
      <c r="E113" t="inlineStr">
        <is>
          <t>ESKILSTUNA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17816-2022</t>
        </is>
      </c>
      <c r="B114" s="1" t="n">
        <v>44683</v>
      </c>
      <c r="C114" s="1" t="n">
        <v>46203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38263-2021</t>
        </is>
      </c>
      <c r="B115" s="1" t="n">
        <v>44405</v>
      </c>
      <c r="C115" s="1" t="n">
        <v>46203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28060-2022</t>
        </is>
      </c>
      <c r="B116" s="1" t="n">
        <v>44746</v>
      </c>
      <c r="C116" s="1" t="n">
        <v>46203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28066-2022</t>
        </is>
      </c>
      <c r="B117" s="1" t="n">
        <v>44746</v>
      </c>
      <c r="C117" s="1" t="n">
        <v>46203</v>
      </c>
      <c r="D117" t="inlineStr">
        <is>
          <t>SÖDERMANLANDS LÄN</t>
        </is>
      </c>
      <c r="E117" t="inlineStr">
        <is>
          <t>ESKILSTUNA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47965-2021</t>
        </is>
      </c>
      <c r="B118" s="1" t="n">
        <v>44449</v>
      </c>
      <c r="C118" s="1" t="n">
        <v>46203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67516-2021</t>
        </is>
      </c>
      <c r="B119" s="1" t="n">
        <v>44524</v>
      </c>
      <c r="C119" s="1" t="n">
        <v>46203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70038-2021</t>
        </is>
      </c>
      <c r="B120" s="1" t="n">
        <v>44533</v>
      </c>
      <c r="C120" s="1" t="n">
        <v>46203</v>
      </c>
      <c r="D120" t="inlineStr">
        <is>
          <t>SÖDERMANLANDS LÄN</t>
        </is>
      </c>
      <c r="E120" t="inlineStr">
        <is>
          <t>ESKILSTUNA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53208-2021</t>
        </is>
      </c>
      <c r="B121" s="1" t="n">
        <v>44468</v>
      </c>
      <c r="C121" s="1" t="n">
        <v>46203</v>
      </c>
      <c r="D121" t="inlineStr">
        <is>
          <t>SÖDERMANLANDS LÄN</t>
        </is>
      </c>
      <c r="E121" t="inlineStr">
        <is>
          <t>ESKILSTUNA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46203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32925-2022</t>
        </is>
      </c>
      <c r="B123" s="1" t="n">
        <v>44784</v>
      </c>
      <c r="C123" s="1" t="n">
        <v>46203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46203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46203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</v>
      </c>
      <c r="C126" s="1" t="n">
        <v>46203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46203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46203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46203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32406-2022</t>
        </is>
      </c>
      <c r="B130" s="1" t="n">
        <v>44781</v>
      </c>
      <c r="C130" s="1" t="n">
        <v>46203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46203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46203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46203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25961-2022</t>
        </is>
      </c>
      <c r="B134" s="1" t="n">
        <v>44734</v>
      </c>
      <c r="C134" s="1" t="n">
        <v>46203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</v>
      </c>
      <c r="C135" s="1" t="n">
        <v>46203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46203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46203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46203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46203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</v>
      </c>
      <c r="C140" s="1" t="n">
        <v>46203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46203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46203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46203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1565-2022</t>
        </is>
      </c>
      <c r="B144" s="1" t="n">
        <v>44573</v>
      </c>
      <c r="C144" s="1" t="n">
        <v>46203</v>
      </c>
      <c r="D144" t="inlineStr">
        <is>
          <t>SÖDERMANLANDS LÄN</t>
        </is>
      </c>
      <c r="E144" t="inlineStr">
        <is>
          <t>ESKILSTUNA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46203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32588-2022</t>
        </is>
      </c>
      <c r="B146" s="1" t="n">
        <v>44783</v>
      </c>
      <c r="C146" s="1" t="n">
        <v>46203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14470-2022</t>
        </is>
      </c>
      <c r="B147" s="1" t="n">
        <v>44654</v>
      </c>
      <c r="C147" s="1" t="n">
        <v>46203</v>
      </c>
      <c r="D147" t="inlineStr">
        <is>
          <t>SÖDERMANLANDS LÄN</t>
        </is>
      </c>
      <c r="E147" t="inlineStr">
        <is>
          <t>ESKILSTUNA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47988-2021</t>
        </is>
      </c>
      <c r="B148" s="1" t="n">
        <v>44449</v>
      </c>
      <c r="C148" s="1" t="n">
        <v>46203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43396-2021</t>
        </is>
      </c>
      <c r="B149" s="1" t="n">
        <v>44432</v>
      </c>
      <c r="C149" s="1" t="n">
        <v>46203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59275-2021</t>
        </is>
      </c>
      <c r="B150" s="1" t="n">
        <v>44490</v>
      </c>
      <c r="C150" s="1" t="n">
        <v>46203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44347-2021</t>
        </is>
      </c>
      <c r="B151" s="1" t="n">
        <v>44435</v>
      </c>
      <c r="C151" s="1" t="n">
        <v>46203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9521-2022</t>
        </is>
      </c>
      <c r="B152" s="1" t="n">
        <v>44616</v>
      </c>
      <c r="C152" s="1" t="n">
        <v>46203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2215-2022</t>
        </is>
      </c>
      <c r="B153" s="1" t="n">
        <v>44578</v>
      </c>
      <c r="C153" s="1" t="n">
        <v>46203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42016-2021</t>
        </is>
      </c>
      <c r="B154" s="1" t="n">
        <v>44426</v>
      </c>
      <c r="C154" s="1" t="n">
        <v>46203</v>
      </c>
      <c r="D154" t="inlineStr">
        <is>
          <t>SÖDERMANLANDS LÄN</t>
        </is>
      </c>
      <c r="E154" t="inlineStr">
        <is>
          <t>ESKILSTUNA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64147-2021</t>
        </is>
      </c>
      <c r="B155" s="1" t="n">
        <v>44510</v>
      </c>
      <c r="C155" s="1" t="n">
        <v>46203</v>
      </c>
      <c r="D155" t="inlineStr">
        <is>
          <t>SÖDERMANLANDS LÄN</t>
        </is>
      </c>
      <c r="E155" t="inlineStr">
        <is>
          <t>ESKILSTUNA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13613-2022</t>
        </is>
      </c>
      <c r="B156" s="1" t="n">
        <v>44643</v>
      </c>
      <c r="C156" s="1" t="n">
        <v>46203</v>
      </c>
      <c r="D156" t="inlineStr">
        <is>
          <t>SÖDERMANLANDS LÄN</t>
        </is>
      </c>
      <c r="E156" t="inlineStr">
        <is>
          <t>ESKILSTUNA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32390-2022</t>
        </is>
      </c>
      <c r="B157" s="1" t="n">
        <v>44781</v>
      </c>
      <c r="C157" s="1" t="n">
        <v>46203</v>
      </c>
      <c r="D157" t="inlineStr">
        <is>
          <t>SÖDERMANLANDS LÄN</t>
        </is>
      </c>
      <c r="E157" t="inlineStr">
        <is>
          <t>ESKILSTUNA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12072-2022</t>
        </is>
      </c>
      <c r="B158" s="1" t="n">
        <v>44636</v>
      </c>
      <c r="C158" s="1" t="n">
        <v>46203</v>
      </c>
      <c r="D158" t="inlineStr">
        <is>
          <t>SÖDERMANLANDS LÄN</t>
        </is>
      </c>
      <c r="E158" t="inlineStr">
        <is>
          <t>ESKILSTUNA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32484-2022</t>
        </is>
      </c>
      <c r="B159" s="1" t="n">
        <v>44782</v>
      </c>
      <c r="C159" s="1" t="n">
        <v>46203</v>
      </c>
      <c r="D159" t="inlineStr">
        <is>
          <t>SÖDERMANLANDS LÄN</t>
        </is>
      </c>
      <c r="E159" t="inlineStr">
        <is>
          <t>ESKILSTUNA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50269-2022</t>
        </is>
      </c>
      <c r="B160" s="1" t="n">
        <v>44865</v>
      </c>
      <c r="C160" s="1" t="n">
        <v>46203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70191-2021</t>
        </is>
      </c>
      <c r="B161" s="1" t="n">
        <v>44533</v>
      </c>
      <c r="C161" s="1" t="n">
        <v>46203</v>
      </c>
      <c r="D161" t="inlineStr">
        <is>
          <t>SÖDERMANLANDS LÄN</t>
        </is>
      </c>
      <c r="E161" t="inlineStr">
        <is>
          <t>ESKILSTUNA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28577-2022</t>
        </is>
      </c>
      <c r="B162" s="1" t="n">
        <v>44748</v>
      </c>
      <c r="C162" s="1" t="n">
        <v>46203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15247-2022</t>
        </is>
      </c>
      <c r="B163" s="1" t="n">
        <v>44658</v>
      </c>
      <c r="C163" s="1" t="n">
        <v>46203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36643-2022</t>
        </is>
      </c>
      <c r="B164" s="1" t="n">
        <v>44804</v>
      </c>
      <c r="C164" s="1" t="n">
        <v>46203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5695-2024</t>
        </is>
      </c>
      <c r="B165" s="1" t="n">
        <v>45334</v>
      </c>
      <c r="C165" s="1" t="n">
        <v>46203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59276-2021</t>
        </is>
      </c>
      <c r="B166" s="1" t="n">
        <v>44490</v>
      </c>
      <c r="C166" s="1" t="n">
        <v>46203</v>
      </c>
      <c r="D166" t="inlineStr">
        <is>
          <t>SÖDERMANLANDS LÄN</t>
        </is>
      </c>
      <c r="E166" t="inlineStr">
        <is>
          <t>ESKILSTUNA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5844-2025</t>
        </is>
      </c>
      <c r="B167" s="1" t="n">
        <v>45695</v>
      </c>
      <c r="C167" s="1" t="n">
        <v>46203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26532-2022</t>
        </is>
      </c>
      <c r="B168" s="1" t="n">
        <v>44739</v>
      </c>
      <c r="C168" s="1" t="n">
        <v>46203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15592-2023</t>
        </is>
      </c>
      <c r="B169" s="1" t="n">
        <v>45020</v>
      </c>
      <c r="C169" s="1" t="n">
        <v>46203</v>
      </c>
      <c r="D169" t="inlineStr">
        <is>
          <t>SÖDERMANLANDS LÄN</t>
        </is>
      </c>
      <c r="E169" t="inlineStr">
        <is>
          <t>ESKILSTUNA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6659-2024</t>
        </is>
      </c>
      <c r="B170" s="1" t="n">
        <v>45341</v>
      </c>
      <c r="C170" s="1" t="n">
        <v>46203</v>
      </c>
      <c r="D170" t="inlineStr">
        <is>
          <t>SÖDERMANLANDS LÄN</t>
        </is>
      </c>
      <c r="E170" t="inlineStr">
        <is>
          <t>ESKILSTUNA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5841-2025</t>
        </is>
      </c>
      <c r="B171" s="1" t="n">
        <v>45695</v>
      </c>
      <c r="C171" s="1" t="n">
        <v>46203</v>
      </c>
      <c r="D171" t="inlineStr">
        <is>
          <t>SÖDERMANLANDS LÄN</t>
        </is>
      </c>
      <c r="E171" t="inlineStr">
        <is>
          <t>ESKILSTUNA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5842-2025</t>
        </is>
      </c>
      <c r="B172" s="1" t="n">
        <v>45695</v>
      </c>
      <c r="C172" s="1" t="n">
        <v>46203</v>
      </c>
      <c r="D172" t="inlineStr">
        <is>
          <t>SÖDERMANLANDS LÄN</t>
        </is>
      </c>
      <c r="E172" t="inlineStr">
        <is>
          <t>ESKILSTUNA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47845-2025</t>
        </is>
      </c>
      <c r="B173" s="1" t="n">
        <v>45931</v>
      </c>
      <c r="C173" s="1" t="n">
        <v>46203</v>
      </c>
      <c r="D173" t="inlineStr">
        <is>
          <t>SÖDERMANLANDS LÄN</t>
        </is>
      </c>
      <c r="E173" t="inlineStr">
        <is>
          <t>ESKILSTUNA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59138-2024</t>
        </is>
      </c>
      <c r="B174" s="1" t="n">
        <v>45637</v>
      </c>
      <c r="C174" s="1" t="n">
        <v>46203</v>
      </c>
      <c r="D174" t="inlineStr">
        <is>
          <t>SÖDERMANLANDS LÄN</t>
        </is>
      </c>
      <c r="E174" t="inlineStr">
        <is>
          <t>ESKILSTUNA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970-2024</t>
        </is>
      </c>
      <c r="B175" s="1" t="n">
        <v>45301</v>
      </c>
      <c r="C175" s="1" t="n">
        <v>46203</v>
      </c>
      <c r="D175" t="inlineStr">
        <is>
          <t>SÖDERMANLANDS LÄN</t>
        </is>
      </c>
      <c r="E175" t="inlineStr">
        <is>
          <t>ESKILSTUNA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53181-2024</t>
        </is>
      </c>
      <c r="B176" s="1" t="n">
        <v>45611</v>
      </c>
      <c r="C176" s="1" t="n">
        <v>46203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1538-2025</t>
        </is>
      </c>
      <c r="B177" s="1" t="n">
        <v>45670</v>
      </c>
      <c r="C177" s="1" t="n">
        <v>46203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70560-2021</t>
        </is>
      </c>
      <c r="B178" s="1" t="n">
        <v>44536</v>
      </c>
      <c r="C178" s="1" t="n">
        <v>46203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53933-2024</t>
        </is>
      </c>
      <c r="B179" s="1" t="n">
        <v>45615</v>
      </c>
      <c r="C179" s="1" t="n">
        <v>46203</v>
      </c>
      <c r="D179" t="inlineStr">
        <is>
          <t>SÖDERMANLANDS LÄN</t>
        </is>
      </c>
      <c r="E179" t="inlineStr">
        <is>
          <t>ESKILSTUNA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43261-2023</t>
        </is>
      </c>
      <c r="B180" s="1" t="n">
        <v>45183</v>
      </c>
      <c r="C180" s="1" t="n">
        <v>46203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10715-2022</t>
        </is>
      </c>
      <c r="B181" s="1" t="n">
        <v>44626</v>
      </c>
      <c r="C181" s="1" t="n">
        <v>46203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60276-2024</t>
        </is>
      </c>
      <c r="B182" s="1" t="n">
        <v>45642</v>
      </c>
      <c r="C182" s="1" t="n">
        <v>46203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61367-2021</t>
        </is>
      </c>
      <c r="B183" s="1" t="n">
        <v>44499</v>
      </c>
      <c r="C183" s="1" t="n">
        <v>46203</v>
      </c>
      <c r="D183" t="inlineStr">
        <is>
          <t>SÖDERMANLANDS LÄN</t>
        </is>
      </c>
      <c r="E183" t="inlineStr">
        <is>
          <t>ESKILSTUNA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4334-2023</t>
        </is>
      </c>
      <c r="B184" s="1" t="n">
        <v>44953</v>
      </c>
      <c r="C184" s="1" t="n">
        <v>46203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60246-2024</t>
        </is>
      </c>
      <c r="B185" s="1" t="n">
        <v>45642</v>
      </c>
      <c r="C185" s="1" t="n">
        <v>46203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13826-2025</t>
        </is>
      </c>
      <c r="B186" s="1" t="n">
        <v>45737</v>
      </c>
      <c r="C186" s="1" t="n">
        <v>46203</v>
      </c>
      <c r="D186" t="inlineStr">
        <is>
          <t>SÖDERMANLANDS LÄN</t>
        </is>
      </c>
      <c r="E186" t="inlineStr">
        <is>
          <t>ESKILSTUNA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4954-2022</t>
        </is>
      </c>
      <c r="B187" s="1" t="n">
        <v>44593</v>
      </c>
      <c r="C187" s="1" t="n">
        <v>46203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10352-2024</t>
        </is>
      </c>
      <c r="B188" s="1" t="n">
        <v>45365</v>
      </c>
      <c r="C188" s="1" t="n">
        <v>46203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19502-2024</t>
        </is>
      </c>
      <c r="B189" s="1" t="n">
        <v>45429</v>
      </c>
      <c r="C189" s="1" t="n">
        <v>46203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46881-2022</t>
        </is>
      </c>
      <c r="B190" s="1" t="n">
        <v>44851</v>
      </c>
      <c r="C190" s="1" t="n">
        <v>46203</v>
      </c>
      <c r="D190" t="inlineStr">
        <is>
          <t>SÖDERMANLANDS LÄN</t>
        </is>
      </c>
      <c r="E190" t="inlineStr">
        <is>
          <t>ESKILSTUNA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19285-2023</t>
        </is>
      </c>
      <c r="B191" s="1" t="n">
        <v>45049</v>
      </c>
      <c r="C191" s="1" t="n">
        <v>46203</v>
      </c>
      <c r="D191" t="inlineStr">
        <is>
          <t>SÖDERMANLANDS LÄN</t>
        </is>
      </c>
      <c r="E191" t="inlineStr">
        <is>
          <t>ESKILSTUNA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48362-2022</t>
        </is>
      </c>
      <c r="B192" s="1" t="n">
        <v>44858</v>
      </c>
      <c r="C192" s="1" t="n">
        <v>46203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39460-2025</t>
        </is>
      </c>
      <c r="B193" s="1" t="n">
        <v>45889</v>
      </c>
      <c r="C193" s="1" t="n">
        <v>46203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39461-2025</t>
        </is>
      </c>
      <c r="B194" s="1" t="n">
        <v>45889</v>
      </c>
      <c r="C194" s="1" t="n">
        <v>46203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51332-2025</t>
        </is>
      </c>
      <c r="B195" s="1" t="n">
        <v>45950</v>
      </c>
      <c r="C195" s="1" t="n">
        <v>46203</v>
      </c>
      <c r="D195" t="inlineStr">
        <is>
          <t>SÖDERMANLANDS LÄN</t>
        </is>
      </c>
      <c r="E195" t="inlineStr">
        <is>
          <t>ESKILSTUNA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18192-2023</t>
        </is>
      </c>
      <c r="B196" s="1" t="n">
        <v>45041</v>
      </c>
      <c r="C196" s="1" t="n">
        <v>46203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57304-2023</t>
        </is>
      </c>
      <c r="B197" s="1" t="n">
        <v>45245</v>
      </c>
      <c r="C197" s="1" t="n">
        <v>46203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52221-2025</t>
        </is>
      </c>
      <c r="B198" s="1" t="n">
        <v>45953</v>
      </c>
      <c r="C198" s="1" t="n">
        <v>46203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52222-2025</t>
        </is>
      </c>
      <c r="B199" s="1" t="n">
        <v>45953</v>
      </c>
      <c r="C199" s="1" t="n">
        <v>46203</v>
      </c>
      <c r="D199" t="inlineStr">
        <is>
          <t>SÖDERMANLANDS LÄN</t>
        </is>
      </c>
      <c r="E199" t="inlineStr">
        <is>
          <t>ESKILSTUNA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52233-2025</t>
        </is>
      </c>
      <c r="B200" s="1" t="n">
        <v>45953</v>
      </c>
      <c r="C200" s="1" t="n">
        <v>46203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52248-2025</t>
        </is>
      </c>
      <c r="B201" s="1" t="n">
        <v>45953</v>
      </c>
      <c r="C201" s="1" t="n">
        <v>46203</v>
      </c>
      <c r="D201" t="inlineStr">
        <is>
          <t>SÖDERMANLANDS LÄN</t>
        </is>
      </c>
      <c r="E201" t="inlineStr">
        <is>
          <t>ESKILSTUNA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52633-2025</t>
        </is>
      </c>
      <c r="B202" s="1" t="n">
        <v>45954</v>
      </c>
      <c r="C202" s="1" t="n">
        <v>46203</v>
      </c>
      <c r="D202" t="inlineStr">
        <is>
          <t>SÖDERMANLANDS LÄN</t>
        </is>
      </c>
      <c r="E202" t="inlineStr">
        <is>
          <t>ESKILSTUNA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40813-2025</t>
        </is>
      </c>
      <c r="B203" s="1" t="n">
        <v>45897</v>
      </c>
      <c r="C203" s="1" t="n">
        <v>46203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41183-2025</t>
        </is>
      </c>
      <c r="B204" s="1" t="n">
        <v>45898</v>
      </c>
      <c r="C204" s="1" t="n">
        <v>46203</v>
      </c>
      <c r="D204" t="inlineStr">
        <is>
          <t>SÖDERMANLANDS LÄN</t>
        </is>
      </c>
      <c r="E204" t="inlineStr">
        <is>
          <t>ESKILSTUNA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40773-2025</t>
        </is>
      </c>
      <c r="B205" s="1" t="n">
        <v>45897</v>
      </c>
      <c r="C205" s="1" t="n">
        <v>46203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53406-2023</t>
        </is>
      </c>
      <c r="B206" s="1" t="n">
        <v>45229</v>
      </c>
      <c r="C206" s="1" t="n">
        <v>46203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35698-2022</t>
        </is>
      </c>
      <c r="B207" s="1" t="n">
        <v>44799</v>
      </c>
      <c r="C207" s="1" t="n">
        <v>46203</v>
      </c>
      <c r="D207" t="inlineStr">
        <is>
          <t>SÖDERMANLANDS LÄN</t>
        </is>
      </c>
      <c r="E207" t="inlineStr">
        <is>
          <t>ESKILSTUNA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40910-2025</t>
        </is>
      </c>
      <c r="B208" s="1" t="n">
        <v>45897</v>
      </c>
      <c r="C208" s="1" t="n">
        <v>46203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41597-2025</t>
        </is>
      </c>
      <c r="B209" s="1" t="n">
        <v>45901</v>
      </c>
      <c r="C209" s="1" t="n">
        <v>46203</v>
      </c>
      <c r="D209" t="inlineStr">
        <is>
          <t>SÖDERMANLANDS LÄN</t>
        </is>
      </c>
      <c r="E209" t="inlineStr">
        <is>
          <t>ESKILSTUNA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24669-2025</t>
        </is>
      </c>
      <c r="B210" s="1" t="n">
        <v>45798</v>
      </c>
      <c r="C210" s="1" t="n">
        <v>46203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24691-2025</t>
        </is>
      </c>
      <c r="B211" s="1" t="n">
        <v>45798</v>
      </c>
      <c r="C211" s="1" t="n">
        <v>46203</v>
      </c>
      <c r="D211" t="inlineStr">
        <is>
          <t>SÖDERMANLANDS LÄN</t>
        </is>
      </c>
      <c r="E211" t="inlineStr">
        <is>
          <t>ESKILSTUNA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47000-2022</t>
        </is>
      </c>
      <c r="B212" s="1" t="n">
        <v>44852</v>
      </c>
      <c r="C212" s="1" t="n">
        <v>46203</v>
      </c>
      <c r="D212" t="inlineStr">
        <is>
          <t>SÖDERMANLANDS LÄN</t>
        </is>
      </c>
      <c r="E212" t="inlineStr">
        <is>
          <t>ESKILSTUNA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24537-2025</t>
        </is>
      </c>
      <c r="B213" s="1" t="n">
        <v>45798</v>
      </c>
      <c r="C213" s="1" t="n">
        <v>46203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24534-2025</t>
        </is>
      </c>
      <c r="B214" s="1" t="n">
        <v>45798</v>
      </c>
      <c r="C214" s="1" t="n">
        <v>46203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24535-2025</t>
        </is>
      </c>
      <c r="B215" s="1" t="n">
        <v>45798</v>
      </c>
      <c r="C215" s="1" t="n">
        <v>46203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24536-2025</t>
        </is>
      </c>
      <c r="B216" s="1" t="n">
        <v>45798</v>
      </c>
      <c r="C216" s="1" t="n">
        <v>46203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24686-2025</t>
        </is>
      </c>
      <c r="B217" s="1" t="n">
        <v>45798</v>
      </c>
      <c r="C217" s="1" t="n">
        <v>46203</v>
      </c>
      <c r="D217" t="inlineStr">
        <is>
          <t>SÖDERMANLANDS LÄN</t>
        </is>
      </c>
      <c r="E217" t="inlineStr">
        <is>
          <t>ESKILSTUNA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24652-2025</t>
        </is>
      </c>
      <c r="B218" s="1" t="n">
        <v>45798</v>
      </c>
      <c r="C218" s="1" t="n">
        <v>46203</v>
      </c>
      <c r="D218" t="inlineStr">
        <is>
          <t>SÖDERMANLANDS LÄN</t>
        </is>
      </c>
      <c r="E218" t="inlineStr">
        <is>
          <t>ESKILSTUNA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24662-2025</t>
        </is>
      </c>
      <c r="B219" s="1" t="n">
        <v>45798</v>
      </c>
      <c r="C219" s="1" t="n">
        <v>46203</v>
      </c>
      <c r="D219" t="inlineStr">
        <is>
          <t>SÖDERMANLANDS LÄN</t>
        </is>
      </c>
      <c r="E219" t="inlineStr">
        <is>
          <t>ESKILSTUNA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24667-2025</t>
        </is>
      </c>
      <c r="B220" s="1" t="n">
        <v>45798</v>
      </c>
      <c r="C220" s="1" t="n">
        <v>46203</v>
      </c>
      <c r="D220" t="inlineStr">
        <is>
          <t>SÖDERMANLANDS LÄN</t>
        </is>
      </c>
      <c r="E220" t="inlineStr">
        <is>
          <t>ESKILSTUNA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49469-2022</t>
        </is>
      </c>
      <c r="B221" s="1" t="n">
        <v>44861</v>
      </c>
      <c r="C221" s="1" t="n">
        <v>46203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43488-2024</t>
        </is>
      </c>
      <c r="B222" s="1" t="n">
        <v>45568</v>
      </c>
      <c r="C222" s="1" t="n">
        <v>46203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42578-2025</t>
        </is>
      </c>
      <c r="B223" s="1" t="n">
        <v>45905</v>
      </c>
      <c r="C223" s="1" t="n">
        <v>46203</v>
      </c>
      <c r="D223" t="inlineStr">
        <is>
          <t>SÖDERMANLANDS LÄN</t>
        </is>
      </c>
      <c r="E223" t="inlineStr">
        <is>
          <t>ESKILSTUNA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43489-2024</t>
        </is>
      </c>
      <c r="B224" s="1" t="n">
        <v>45568</v>
      </c>
      <c r="C224" s="1" t="n">
        <v>46203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43204-2025</t>
        </is>
      </c>
      <c r="B225" s="1" t="n">
        <v>45910</v>
      </c>
      <c r="C225" s="1" t="n">
        <v>46203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56389-2025</t>
        </is>
      </c>
      <c r="B226" s="1" t="n">
        <v>45974</v>
      </c>
      <c r="C226" s="1" t="n">
        <v>46203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57134-2025</t>
        </is>
      </c>
      <c r="B227" s="1" t="n">
        <v>45979</v>
      </c>
      <c r="C227" s="1" t="n">
        <v>46203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45766-2025</t>
        </is>
      </c>
      <c r="B228" s="1" t="n">
        <v>45923</v>
      </c>
      <c r="C228" s="1" t="n">
        <v>46203</v>
      </c>
      <c r="D228" t="inlineStr">
        <is>
          <t>SÖDERMANLANDS LÄN</t>
        </is>
      </c>
      <c r="E228" t="inlineStr">
        <is>
          <t>ESKILSTUNA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57128-2025</t>
        </is>
      </c>
      <c r="B229" s="1" t="n">
        <v>45979</v>
      </c>
      <c r="C229" s="1" t="n">
        <v>46203</v>
      </c>
      <c r="D229" t="inlineStr">
        <is>
          <t>SÖDERMANLANDS LÄN</t>
        </is>
      </c>
      <c r="E229" t="inlineStr">
        <is>
          <t>ESKILSTUNA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13426-2024</t>
        </is>
      </c>
      <c r="B230" s="1" t="n">
        <v>45387</v>
      </c>
      <c r="C230" s="1" t="n">
        <v>46203</v>
      </c>
      <c r="D230" t="inlineStr">
        <is>
          <t>SÖDERMANLANDS LÄN</t>
        </is>
      </c>
      <c r="E230" t="inlineStr">
        <is>
          <t>ESKILSTUNA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57138-2025</t>
        </is>
      </c>
      <c r="B231" s="1" t="n">
        <v>45979</v>
      </c>
      <c r="C231" s="1" t="n">
        <v>46203</v>
      </c>
      <c r="D231" t="inlineStr">
        <is>
          <t>SÖDERMANLANDS LÄN</t>
        </is>
      </c>
      <c r="E231" t="inlineStr">
        <is>
          <t>ESKILSTUNA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10019-2024</t>
        </is>
      </c>
      <c r="B232" s="1" t="n">
        <v>45363</v>
      </c>
      <c r="C232" s="1" t="n">
        <v>46203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58991-2022</t>
        </is>
      </c>
      <c r="B233" s="1" t="n">
        <v>44903</v>
      </c>
      <c r="C233" s="1" t="n">
        <v>46203</v>
      </c>
      <c r="D233" t="inlineStr">
        <is>
          <t>SÖDERMANLANDS LÄN</t>
        </is>
      </c>
      <c r="E233" t="inlineStr">
        <is>
          <t>ESKILSTUNA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30096-2025</t>
        </is>
      </c>
      <c r="B234" s="1" t="n">
        <v>45826</v>
      </c>
      <c r="C234" s="1" t="n">
        <v>46203</v>
      </c>
      <c r="D234" t="inlineStr">
        <is>
          <t>SÖDERMANLANDS LÄN</t>
        </is>
      </c>
      <c r="E234" t="inlineStr">
        <is>
          <t>ESKILSTUNA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30113-2025</t>
        </is>
      </c>
      <c r="B235" s="1" t="n">
        <v>45826</v>
      </c>
      <c r="C235" s="1" t="n">
        <v>46203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30004-2025</t>
        </is>
      </c>
      <c r="B236" s="1" t="n">
        <v>45826</v>
      </c>
      <c r="C236" s="1" t="n">
        <v>46203</v>
      </c>
      <c r="D236" t="inlineStr">
        <is>
          <t>SÖDERMANLANDS LÄN</t>
        </is>
      </c>
      <c r="E236" t="inlineStr">
        <is>
          <t>ESKILSTUNA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30117-2025</t>
        </is>
      </c>
      <c r="B237" s="1" t="n">
        <v>45826</v>
      </c>
      <c r="C237" s="1" t="n">
        <v>46203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25731-2024</t>
        </is>
      </c>
      <c r="B238" s="1" t="n">
        <v>45464</v>
      </c>
      <c r="C238" s="1" t="n">
        <v>46203</v>
      </c>
      <c r="D238" t="inlineStr">
        <is>
          <t>SÖDERMANLANDS LÄN</t>
        </is>
      </c>
      <c r="E238" t="inlineStr">
        <is>
          <t>ESKILSTUNA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8996-2023</t>
        </is>
      </c>
      <c r="B239" s="1" t="n">
        <v>44979</v>
      </c>
      <c r="C239" s="1" t="n">
        <v>46203</v>
      </c>
      <c r="D239" t="inlineStr">
        <is>
          <t>SÖDERMANLANDS LÄN</t>
        </is>
      </c>
      <c r="E239" t="inlineStr">
        <is>
          <t>ESKILSTUNA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25730-2024</t>
        </is>
      </c>
      <c r="B240" s="1" t="n">
        <v>45464</v>
      </c>
      <c r="C240" s="1" t="n">
        <v>46203</v>
      </c>
      <c r="D240" t="inlineStr">
        <is>
          <t>SÖDERMANLANDS LÄN</t>
        </is>
      </c>
      <c r="E240" t="inlineStr">
        <is>
          <t>ESKILSTUNA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60326-2025</t>
        </is>
      </c>
      <c r="B241" s="1" t="n">
        <v>45994</v>
      </c>
      <c r="C241" s="1" t="n">
        <v>46203</v>
      </c>
      <c r="D241" t="inlineStr">
        <is>
          <t>SÖDERMANLANDS LÄN</t>
        </is>
      </c>
      <c r="E241" t="inlineStr">
        <is>
          <t>ESKILSTUNA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60754-2025</t>
        </is>
      </c>
      <c r="B242" s="1" t="n">
        <v>45999</v>
      </c>
      <c r="C242" s="1" t="n">
        <v>46203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54216-2022</t>
        </is>
      </c>
      <c r="B243" s="1" t="n">
        <v>44881</v>
      </c>
      <c r="C243" s="1" t="n">
        <v>46203</v>
      </c>
      <c r="D243" t="inlineStr">
        <is>
          <t>SÖDERMANLANDS LÄN</t>
        </is>
      </c>
      <c r="E243" t="inlineStr">
        <is>
          <t>ESKILSTUNA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61033-2025</t>
        </is>
      </c>
      <c r="B244" s="1" t="n">
        <v>45999</v>
      </c>
      <c r="C244" s="1" t="n">
        <v>46203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55741-2022</t>
        </is>
      </c>
      <c r="B245" s="1" t="n">
        <v>44883</v>
      </c>
      <c r="C245" s="1" t="n">
        <v>46203</v>
      </c>
      <c r="D245" t="inlineStr">
        <is>
          <t>SÖDERMANLANDS LÄN</t>
        </is>
      </c>
      <c r="E245" t="inlineStr">
        <is>
          <t>ESKILSTUNA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5713-2025</t>
        </is>
      </c>
      <c r="B246" s="1" t="n">
        <v>45694</v>
      </c>
      <c r="C246" s="1" t="n">
        <v>46203</v>
      </c>
      <c r="D246" t="inlineStr">
        <is>
          <t>SÖDERMANLANDS LÄN</t>
        </is>
      </c>
      <c r="E246" t="inlineStr">
        <is>
          <t>ESKILSTUNA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51575-2024</t>
        </is>
      </c>
      <c r="B247" s="1" t="n">
        <v>45604</v>
      </c>
      <c r="C247" s="1" t="n">
        <v>46203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14326-2023</t>
        </is>
      </c>
      <c r="B248" s="1" t="n">
        <v>45012</v>
      </c>
      <c r="C248" s="1" t="n">
        <v>46203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Kommuner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54586-2025</t>
        </is>
      </c>
      <c r="B249" s="1" t="n">
        <v>45965</v>
      </c>
      <c r="C249" s="1" t="n">
        <v>46203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65349-2021</t>
        </is>
      </c>
      <c r="B250" s="1" t="n">
        <v>44515</v>
      </c>
      <c r="C250" s="1" t="n">
        <v>46203</v>
      </c>
      <c r="D250" t="inlineStr">
        <is>
          <t>SÖDERMANLANDS LÄN</t>
        </is>
      </c>
      <c r="E250" t="inlineStr">
        <is>
          <t>ESKILSTUNA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55779-2022</t>
        </is>
      </c>
      <c r="B251" s="1" t="n">
        <v>44886</v>
      </c>
      <c r="C251" s="1" t="n">
        <v>46203</v>
      </c>
      <c r="D251" t="inlineStr">
        <is>
          <t>SÖDERMANLANDS LÄN</t>
        </is>
      </c>
      <c r="E251" t="inlineStr">
        <is>
          <t>ESKILSTUNA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55785-2022</t>
        </is>
      </c>
      <c r="B252" s="1" t="n">
        <v>44886</v>
      </c>
      <c r="C252" s="1" t="n">
        <v>46203</v>
      </c>
      <c r="D252" t="inlineStr">
        <is>
          <t>SÖDERMANLANDS LÄN</t>
        </is>
      </c>
      <c r="E252" t="inlineStr">
        <is>
          <t>ESKILSTUNA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979-2022</t>
        </is>
      </c>
      <c r="B253" s="1" t="n">
        <v>44571</v>
      </c>
      <c r="C253" s="1" t="n">
        <v>46203</v>
      </c>
      <c r="D253" t="inlineStr">
        <is>
          <t>SÖDERMANLANDS LÄN</t>
        </is>
      </c>
      <c r="E253" t="inlineStr">
        <is>
          <t>ESKILSTUNA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43501-2022</t>
        </is>
      </c>
      <c r="B254" s="1" t="n">
        <v>44837</v>
      </c>
      <c r="C254" s="1" t="n">
        <v>46203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11796-2022</t>
        </is>
      </c>
      <c r="B255" s="1" t="n">
        <v>44634</v>
      </c>
      <c r="C255" s="1" t="n">
        <v>46203</v>
      </c>
      <c r="D255" t="inlineStr">
        <is>
          <t>SÖDERMANLANDS LÄN</t>
        </is>
      </c>
      <c r="E255" t="inlineStr">
        <is>
          <t>ESKILSTUNA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61298-2022</t>
        </is>
      </c>
      <c r="B256" s="1" t="n">
        <v>44915</v>
      </c>
      <c r="C256" s="1" t="n">
        <v>46203</v>
      </c>
      <c r="D256" t="inlineStr">
        <is>
          <t>SÖDERMANLANDS LÄN</t>
        </is>
      </c>
      <c r="E256" t="inlineStr">
        <is>
          <t>ESKILSTUNA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61314-2022</t>
        </is>
      </c>
      <c r="B257" s="1" t="n">
        <v>44915</v>
      </c>
      <c r="C257" s="1" t="n">
        <v>46203</v>
      </c>
      <c r="D257" t="inlineStr">
        <is>
          <t>SÖDERMANLANDS LÄN</t>
        </is>
      </c>
      <c r="E257" t="inlineStr">
        <is>
          <t>ESKILSTUNA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51547-2024</t>
        </is>
      </c>
      <c r="B258" s="1" t="n">
        <v>45604</v>
      </c>
      <c r="C258" s="1" t="n">
        <v>46203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61988-2022</t>
        </is>
      </c>
      <c r="B259" s="1" t="n">
        <v>44918</v>
      </c>
      <c r="C259" s="1" t="n">
        <v>46203</v>
      </c>
      <c r="D259" t="inlineStr">
        <is>
          <t>SÖDERMANLANDS LÄN</t>
        </is>
      </c>
      <c r="E259" t="inlineStr">
        <is>
          <t>ESKILSTUNA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24519-2024</t>
        </is>
      </c>
      <c r="B260" s="1" t="n">
        <v>45460</v>
      </c>
      <c r="C260" s="1" t="n">
        <v>46203</v>
      </c>
      <c r="D260" t="inlineStr">
        <is>
          <t>SÖDERMANLANDS LÄN</t>
        </is>
      </c>
      <c r="E260" t="inlineStr">
        <is>
          <t>ESKILSTUNA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4211-2022</t>
        </is>
      </c>
      <c r="B261" s="1" t="n">
        <v>44588</v>
      </c>
      <c r="C261" s="1" t="n">
        <v>46203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37147-2025</t>
        </is>
      </c>
      <c r="B262" s="1" t="n">
        <v>45875</v>
      </c>
      <c r="C262" s="1" t="n">
        <v>46203</v>
      </c>
      <c r="D262" t="inlineStr">
        <is>
          <t>SÖDERMANLANDS LÄN</t>
        </is>
      </c>
      <c r="E262" t="inlineStr">
        <is>
          <t>ESKILSTUNA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57524-2022</t>
        </is>
      </c>
      <c r="B263" s="1" t="n">
        <v>44889</v>
      </c>
      <c r="C263" s="1" t="n">
        <v>46203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3675-2026</t>
        </is>
      </c>
      <c r="B264" s="1" t="n">
        <v>46043</v>
      </c>
      <c r="C264" s="1" t="n">
        <v>46203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3672-2026</t>
        </is>
      </c>
      <c r="B265" s="1" t="n">
        <v>46043</v>
      </c>
      <c r="C265" s="1" t="n">
        <v>46203</v>
      </c>
      <c r="D265" t="inlineStr">
        <is>
          <t>SÖDERMANLANDS LÄN</t>
        </is>
      </c>
      <c r="E265" t="inlineStr">
        <is>
          <t>ESKILSTUNA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38075-2024</t>
        </is>
      </c>
      <c r="B266" s="1" t="n">
        <v>45544</v>
      </c>
      <c r="C266" s="1" t="n">
        <v>46203</v>
      </c>
      <c r="D266" t="inlineStr">
        <is>
          <t>SÖDERMANLANDS LÄN</t>
        </is>
      </c>
      <c r="E266" t="inlineStr">
        <is>
          <t>ESKILSTUNA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1129-2023</t>
        </is>
      </c>
      <c r="B267" s="1" t="n">
        <v>44930</v>
      </c>
      <c r="C267" s="1" t="n">
        <v>46203</v>
      </c>
      <c r="D267" t="inlineStr">
        <is>
          <t>SÖDERMANLANDS LÄN</t>
        </is>
      </c>
      <c r="E267" t="inlineStr">
        <is>
          <t>ESKILSTUNA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5476-2026</t>
        </is>
      </c>
      <c r="B268" s="1" t="n">
        <v>46048</v>
      </c>
      <c r="C268" s="1" t="n">
        <v>46203</v>
      </c>
      <c r="D268" t="inlineStr">
        <is>
          <t>SÖDERMANLANDS LÄN</t>
        </is>
      </c>
      <c r="E268" t="inlineStr">
        <is>
          <t>ESKILSTUNA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51801-2025</t>
        </is>
      </c>
      <c r="B269" s="1" t="n">
        <v>45950</v>
      </c>
      <c r="C269" s="1" t="n">
        <v>46203</v>
      </c>
      <c r="D269" t="inlineStr">
        <is>
          <t>SÖDERMANLANDS LÄN</t>
        </is>
      </c>
      <c r="E269" t="inlineStr">
        <is>
          <t>ESKILSTUNA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16150-2025</t>
        </is>
      </c>
      <c r="B270" s="1" t="n">
        <v>45750</v>
      </c>
      <c r="C270" s="1" t="n">
        <v>46203</v>
      </c>
      <c r="D270" t="inlineStr">
        <is>
          <t>SÖDERMANLANDS LÄN</t>
        </is>
      </c>
      <c r="E270" t="inlineStr">
        <is>
          <t>ESKILSTUNA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9455-2022</t>
        </is>
      </c>
      <c r="B271" s="1" t="n">
        <v>44616</v>
      </c>
      <c r="C271" s="1" t="n">
        <v>46203</v>
      </c>
      <c r="D271" t="inlineStr">
        <is>
          <t>SÖDERMANLANDS LÄN</t>
        </is>
      </c>
      <c r="E271" t="inlineStr">
        <is>
          <t>ESKILSTUNA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57546-2022</t>
        </is>
      </c>
      <c r="B272" s="1" t="n">
        <v>44889</v>
      </c>
      <c r="C272" s="1" t="n">
        <v>46203</v>
      </c>
      <c r="D272" t="inlineStr">
        <is>
          <t>SÖDERMANLANDS LÄN</t>
        </is>
      </c>
      <c r="E272" t="inlineStr">
        <is>
          <t>ESKILSTUNA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9646-2022</t>
        </is>
      </c>
      <c r="B273" s="1" t="n">
        <v>44617</v>
      </c>
      <c r="C273" s="1" t="n">
        <v>46203</v>
      </c>
      <c r="D273" t="inlineStr">
        <is>
          <t>SÖDERMANLANDS LÄN</t>
        </is>
      </c>
      <c r="E273" t="inlineStr">
        <is>
          <t>ESKILSTUNA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12547-2022</t>
        </is>
      </c>
      <c r="B274" s="1" t="n">
        <v>44638</v>
      </c>
      <c r="C274" s="1" t="n">
        <v>46203</v>
      </c>
      <c r="D274" t="inlineStr">
        <is>
          <t>SÖDERMANLANDS LÄN</t>
        </is>
      </c>
      <c r="E274" t="inlineStr">
        <is>
          <t>ESKILSTUNA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9133-2026</t>
        </is>
      </c>
      <c r="B275" s="1" t="n">
        <v>46069</v>
      </c>
      <c r="C275" s="1" t="n">
        <v>46203</v>
      </c>
      <c r="D275" t="inlineStr">
        <is>
          <t>SÖDERMANLANDS LÄN</t>
        </is>
      </c>
      <c r="E275" t="inlineStr">
        <is>
          <t>ESKILSTUNA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17727-2023</t>
        </is>
      </c>
      <c r="B276" s="1" t="n">
        <v>45036</v>
      </c>
      <c r="C276" s="1" t="n">
        <v>46203</v>
      </c>
      <c r="D276" t="inlineStr">
        <is>
          <t>SÖDERMANLANDS LÄN</t>
        </is>
      </c>
      <c r="E276" t="inlineStr">
        <is>
          <t>ESKILSTUNA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48877-2023</t>
        </is>
      </c>
      <c r="B277" s="1" t="n">
        <v>45209</v>
      </c>
      <c r="C277" s="1" t="n">
        <v>46203</v>
      </c>
      <c r="D277" t="inlineStr">
        <is>
          <t>SÖDERMANLANDS LÄN</t>
        </is>
      </c>
      <c r="E277" t="inlineStr">
        <is>
          <t>ESKILSTUNA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10010-2024</t>
        </is>
      </c>
      <c r="B278" s="1" t="n">
        <v>45363</v>
      </c>
      <c r="C278" s="1" t="n">
        <v>46203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23-2023</t>
        </is>
      </c>
      <c r="B279" s="1" t="n">
        <v>44928</v>
      </c>
      <c r="C279" s="1" t="n">
        <v>46203</v>
      </c>
      <c r="D279" t="inlineStr">
        <is>
          <t>SÖDERMANLANDS LÄN</t>
        </is>
      </c>
      <c r="E279" t="inlineStr">
        <is>
          <t>ESKILSTUNA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61829-2023</t>
        </is>
      </c>
      <c r="B280" s="1" t="n">
        <v>45266</v>
      </c>
      <c r="C280" s="1" t="n">
        <v>46203</v>
      </c>
      <c r="D280" t="inlineStr">
        <is>
          <t>SÖDERMANLANDS LÄN</t>
        </is>
      </c>
      <c r="E280" t="inlineStr">
        <is>
          <t>ESKILSTUNA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26535-2022</t>
        </is>
      </c>
      <c r="B281" s="1" t="n">
        <v>44739</v>
      </c>
      <c r="C281" s="1" t="n">
        <v>46203</v>
      </c>
      <c r="D281" t="inlineStr">
        <is>
          <t>SÖDERMANLANDS LÄN</t>
        </is>
      </c>
      <c r="E281" t="inlineStr">
        <is>
          <t>ESKILSTUNA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26910-2023</t>
        </is>
      </c>
      <c r="B282" s="1" t="n">
        <v>45093</v>
      </c>
      <c r="C282" s="1" t="n">
        <v>46203</v>
      </c>
      <c r="D282" t="inlineStr">
        <is>
          <t>SÖDERMANLANDS LÄN</t>
        </is>
      </c>
      <c r="E282" t="inlineStr">
        <is>
          <t>ESKILSTUNA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11987-2026</t>
        </is>
      </c>
      <c r="B283" s="1" t="n">
        <v>46085</v>
      </c>
      <c r="C283" s="1" t="n">
        <v>46203</v>
      </c>
      <c r="D283" t="inlineStr">
        <is>
          <t>SÖDERMANLANDS LÄN</t>
        </is>
      </c>
      <c r="E283" t="inlineStr">
        <is>
          <t>ESKILSTUNA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4434-2026</t>
        </is>
      </c>
      <c r="B284" s="1" t="n">
        <v>46044</v>
      </c>
      <c r="C284" s="1" t="n">
        <v>46203</v>
      </c>
      <c r="D284" t="inlineStr">
        <is>
          <t>SÖDERMANLANDS LÄN</t>
        </is>
      </c>
      <c r="E284" t="inlineStr">
        <is>
          <t>ESKILSTUNA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4422-2026</t>
        </is>
      </c>
      <c r="B285" s="1" t="n">
        <v>46044</v>
      </c>
      <c r="C285" s="1" t="n">
        <v>46203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4549-2023</t>
        </is>
      </c>
      <c r="B286" s="1" t="n">
        <v>44956</v>
      </c>
      <c r="C286" s="1" t="n">
        <v>46203</v>
      </c>
      <c r="D286" t="inlineStr">
        <is>
          <t>SÖDERMANLANDS LÄN</t>
        </is>
      </c>
      <c r="E286" t="inlineStr">
        <is>
          <t>ESKILSTUNA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20180-2022</t>
        </is>
      </c>
      <c r="B287" s="1" t="n">
        <v>44698</v>
      </c>
      <c r="C287" s="1" t="n">
        <v>46203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12300-2023</t>
        </is>
      </c>
      <c r="B288" s="1" t="n">
        <v>44998</v>
      </c>
      <c r="C288" s="1" t="n">
        <v>46203</v>
      </c>
      <c r="D288" t="inlineStr">
        <is>
          <t>SÖDERMANLANDS LÄN</t>
        </is>
      </c>
      <c r="E288" t="inlineStr">
        <is>
          <t>ESKILSTUNA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3112-2023</t>
        </is>
      </c>
      <c r="B289" s="1" t="n">
        <v>44946</v>
      </c>
      <c r="C289" s="1" t="n">
        <v>46203</v>
      </c>
      <c r="D289" t="inlineStr">
        <is>
          <t>SÖDERMANLANDS LÄN</t>
        </is>
      </c>
      <c r="E289" t="inlineStr">
        <is>
          <t>ESKILSTUNA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3138-2023</t>
        </is>
      </c>
      <c r="B290" s="1" t="n">
        <v>44946</v>
      </c>
      <c r="C290" s="1" t="n">
        <v>46203</v>
      </c>
      <c r="D290" t="inlineStr">
        <is>
          <t>SÖDERMANLANDS LÄN</t>
        </is>
      </c>
      <c r="E290" t="inlineStr">
        <is>
          <t>ESKILSTUNA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11727-2026</t>
        </is>
      </c>
      <c r="B291" s="1" t="n">
        <v>46084</v>
      </c>
      <c r="C291" s="1" t="n">
        <v>46203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28011-2022</t>
        </is>
      </c>
      <c r="B292" s="1" t="n">
        <v>44746</v>
      </c>
      <c r="C292" s="1" t="n">
        <v>46203</v>
      </c>
      <c r="D292" t="inlineStr">
        <is>
          <t>SÖDERMANLANDS LÄN</t>
        </is>
      </c>
      <c r="E292" t="inlineStr">
        <is>
          <t>ESKILSTUNA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10272-2024</t>
        </is>
      </c>
      <c r="B293" s="1" t="n">
        <v>45365</v>
      </c>
      <c r="C293" s="1" t="n">
        <v>46203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13632-2023</t>
        </is>
      </c>
      <c r="B294" s="1" t="n">
        <v>45006</v>
      </c>
      <c r="C294" s="1" t="n">
        <v>46203</v>
      </c>
      <c r="D294" t="inlineStr">
        <is>
          <t>SÖDERMANLANDS LÄN</t>
        </is>
      </c>
      <c r="E294" t="inlineStr">
        <is>
          <t>ESKILSTUNA</t>
        </is>
      </c>
      <c r="G294" t="n">
        <v>16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1752-2024</t>
        </is>
      </c>
      <c r="B295" s="1" t="n">
        <v>45307</v>
      </c>
      <c r="C295" s="1" t="n">
        <v>46203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10271-2024</t>
        </is>
      </c>
      <c r="B296" s="1" t="n">
        <v>45365</v>
      </c>
      <c r="C296" s="1" t="n">
        <v>46203</v>
      </c>
      <c r="D296" t="inlineStr">
        <is>
          <t>SÖDERMANLANDS LÄN</t>
        </is>
      </c>
      <c r="E296" t="inlineStr">
        <is>
          <t>ESKILSTUNA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3101-2023</t>
        </is>
      </c>
      <c r="B297" s="1" t="n">
        <v>44946</v>
      </c>
      <c r="C297" s="1" t="n">
        <v>46203</v>
      </c>
      <c r="D297" t="inlineStr">
        <is>
          <t>SÖDERMANLANDS LÄN</t>
        </is>
      </c>
      <c r="E297" t="inlineStr">
        <is>
          <t>ESKILSTUNA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16104-2026</t>
        </is>
      </c>
      <c r="B298" s="1" t="n">
        <v>46108</v>
      </c>
      <c r="C298" s="1" t="n">
        <v>46203</v>
      </c>
      <c r="D298" t="inlineStr">
        <is>
          <t>SÖDERMANLANDS LÄN</t>
        </is>
      </c>
      <c r="E298" t="inlineStr">
        <is>
          <t>ESKILSTUNA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9598-2023</t>
        </is>
      </c>
      <c r="B299" s="1" t="n">
        <v>44983</v>
      </c>
      <c r="C299" s="1" t="n">
        <v>46203</v>
      </c>
      <c r="D299" t="inlineStr">
        <is>
          <t>SÖDERMANLANDS LÄN</t>
        </is>
      </c>
      <c r="E299" t="inlineStr">
        <is>
          <t>ESKILSTUNA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61866-2022</t>
        </is>
      </c>
      <c r="B300" s="1" t="n">
        <v>44917</v>
      </c>
      <c r="C300" s="1" t="n">
        <v>46203</v>
      </c>
      <c r="D300" t="inlineStr">
        <is>
          <t>SÖDERMANLANDS LÄN</t>
        </is>
      </c>
      <c r="E300" t="inlineStr">
        <is>
          <t>ESKILSTUNA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31983-2023</t>
        </is>
      </c>
      <c r="B301" s="1" t="n">
        <v>45119</v>
      </c>
      <c r="C301" s="1" t="n">
        <v>46203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16131-2026</t>
        </is>
      </c>
      <c r="B302" s="1" t="n">
        <v>46108</v>
      </c>
      <c r="C302" s="1" t="n">
        <v>46203</v>
      </c>
      <c r="D302" t="inlineStr">
        <is>
          <t>SÖDERMANLANDS LÄN</t>
        </is>
      </c>
      <c r="E302" t="inlineStr">
        <is>
          <t>ESKILSTUNA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16125-2026</t>
        </is>
      </c>
      <c r="B303" s="1" t="n">
        <v>46108</v>
      </c>
      <c r="C303" s="1" t="n">
        <v>46203</v>
      </c>
      <c r="D303" t="inlineStr">
        <is>
          <t>SÖDERMANLANDS LÄN</t>
        </is>
      </c>
      <c r="E303" t="inlineStr">
        <is>
          <t>ESKILSTUNA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16135-2026</t>
        </is>
      </c>
      <c r="B304" s="1" t="n">
        <v>46108</v>
      </c>
      <c r="C304" s="1" t="n">
        <v>46203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42545-2025</t>
        </is>
      </c>
      <c r="B305" s="1" t="n">
        <v>45905</v>
      </c>
      <c r="C305" s="1" t="n">
        <v>46203</v>
      </c>
      <c r="D305" t="inlineStr">
        <is>
          <t>SÖDERMANLANDS LÄN</t>
        </is>
      </c>
      <c r="E305" t="inlineStr">
        <is>
          <t>ESKILSTUNA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22388-2026</t>
        </is>
      </c>
      <c r="B306" s="1" t="n">
        <v>46154</v>
      </c>
      <c r="C306" s="1" t="n">
        <v>46203</v>
      </c>
      <c r="D306" t="inlineStr">
        <is>
          <t>SÖDERMANLANDS LÄN</t>
        </is>
      </c>
      <c r="E306" t="inlineStr">
        <is>
          <t>ESKILSTUNA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13295-2023</t>
        </is>
      </c>
      <c r="B307" s="1" t="n">
        <v>45005</v>
      </c>
      <c r="C307" s="1" t="n">
        <v>46203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23183-2026</t>
        </is>
      </c>
      <c r="B308" s="1" t="n">
        <v>46161</v>
      </c>
      <c r="C308" s="1" t="n">
        <v>46203</v>
      </c>
      <c r="D308" t="inlineStr">
        <is>
          <t>SÖDERMANLANDS LÄN</t>
        </is>
      </c>
      <c r="E308" t="inlineStr">
        <is>
          <t>ESKILSTUNA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23402-2026</t>
        </is>
      </c>
      <c r="B309" s="1" t="n">
        <v>46162</v>
      </c>
      <c r="C309" s="1" t="n">
        <v>46203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18105-2026</t>
        </is>
      </c>
      <c r="B310" s="1" t="n">
        <v>46125</v>
      </c>
      <c r="C310" s="1" t="n">
        <v>46203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23662-2026</t>
        </is>
      </c>
      <c r="B311" s="1" t="n">
        <v>46164</v>
      </c>
      <c r="C311" s="1" t="n">
        <v>46203</v>
      </c>
      <c r="D311" t="inlineStr">
        <is>
          <t>SÖDERMANLANDS LÄN</t>
        </is>
      </c>
      <c r="E311" t="inlineStr">
        <is>
          <t>ESKILSTUNA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23665-2026</t>
        </is>
      </c>
      <c r="B312" s="1" t="n">
        <v>46164</v>
      </c>
      <c r="C312" s="1" t="n">
        <v>46203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27255-2022</t>
        </is>
      </c>
      <c r="B313" s="1" t="n">
        <v>44741</v>
      </c>
      <c r="C313" s="1" t="n">
        <v>46203</v>
      </c>
      <c r="D313" t="inlineStr">
        <is>
          <t>SÖDERMANLANDS LÄN</t>
        </is>
      </c>
      <c r="E313" t="inlineStr">
        <is>
          <t>ESKILSTUNA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61367-2021</t>
        </is>
      </c>
      <c r="B314" s="1" t="n">
        <v>44499</v>
      </c>
      <c r="C314" s="1" t="n">
        <v>46203</v>
      </c>
      <c r="D314" t="inlineStr">
        <is>
          <t>SÖDERMANLANDS LÄN</t>
        </is>
      </c>
      <c r="E314" t="inlineStr">
        <is>
          <t>ESKILSTUNA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65595-2021</t>
        </is>
      </c>
      <c r="B315" s="1" t="n">
        <v>44516</v>
      </c>
      <c r="C315" s="1" t="n">
        <v>46203</v>
      </c>
      <c r="D315" t="inlineStr">
        <is>
          <t>SÖDERMANLANDS LÄN</t>
        </is>
      </c>
      <c r="E315" t="inlineStr">
        <is>
          <t>ESKILSTUNA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43064-2023</t>
        </is>
      </c>
      <c r="B316" s="1" t="n">
        <v>45182</v>
      </c>
      <c r="C316" s="1" t="n">
        <v>46203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1458-2025</t>
        </is>
      </c>
      <c r="B317" s="1" t="n">
        <v>45670</v>
      </c>
      <c r="C317" s="1" t="n">
        <v>46203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13153-2026</t>
        </is>
      </c>
      <c r="B318" s="1" t="n">
        <v>46092</v>
      </c>
      <c r="C318" s="1" t="n">
        <v>46203</v>
      </c>
      <c r="D318" t="inlineStr">
        <is>
          <t>SÖDERMANLANDS LÄN</t>
        </is>
      </c>
      <c r="E318" t="inlineStr">
        <is>
          <t>ESKILSTUNA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38895-2023</t>
        </is>
      </c>
      <c r="B319" s="1" t="n">
        <v>45163</v>
      </c>
      <c r="C319" s="1" t="n">
        <v>46203</v>
      </c>
      <c r="D319" t="inlineStr">
        <is>
          <t>SÖDERMANLANDS LÄN</t>
        </is>
      </c>
      <c r="E319" t="inlineStr">
        <is>
          <t>ESKILSTUNA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8920-2025</t>
        </is>
      </c>
      <c r="B320" s="1" t="n">
        <v>45713</v>
      </c>
      <c r="C320" s="1" t="n">
        <v>46203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54711-2025</t>
        </is>
      </c>
      <c r="B321" s="1" t="n">
        <v>45966</v>
      </c>
      <c r="C321" s="1" t="n">
        <v>46203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42801-2022</t>
        </is>
      </c>
      <c r="B322" s="1" t="n">
        <v>44832</v>
      </c>
      <c r="C322" s="1" t="n">
        <v>46203</v>
      </c>
      <c r="D322" t="inlineStr">
        <is>
          <t>SÖDERMANLANDS LÄN</t>
        </is>
      </c>
      <c r="E322" t="inlineStr">
        <is>
          <t>ESKILSTUNA</t>
        </is>
      </c>
      <c r="G322" t="n">
        <v>19.9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56383-2025</t>
        </is>
      </c>
      <c r="B323" s="1" t="n">
        <v>45974</v>
      </c>
      <c r="C323" s="1" t="n">
        <v>46203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56384-2025</t>
        </is>
      </c>
      <c r="B324" s="1" t="n">
        <v>45974</v>
      </c>
      <c r="C324" s="1" t="n">
        <v>46203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31314-2025</t>
        </is>
      </c>
      <c r="B325" s="1" t="n">
        <v>45833</v>
      </c>
      <c r="C325" s="1" t="n">
        <v>46203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25483-2026</t>
        </is>
      </c>
      <c r="B326" s="1" t="n">
        <v>46177</v>
      </c>
      <c r="C326" s="1" t="n">
        <v>46203</v>
      </c>
      <c r="D326" t="inlineStr">
        <is>
          <t>SÖDERMANLANDS LÄN</t>
        </is>
      </c>
      <c r="E326" t="inlineStr">
        <is>
          <t>ESKILSTUNA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44862-2025</t>
        </is>
      </c>
      <c r="B327" s="1" t="n">
        <v>45918</v>
      </c>
      <c r="C327" s="1" t="n">
        <v>46203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44019-2021</t>
        </is>
      </c>
      <c r="B328" s="1" t="n">
        <v>44434</v>
      </c>
      <c r="C328" s="1" t="n">
        <v>46203</v>
      </c>
      <c r="D328" t="inlineStr">
        <is>
          <t>SÖDERMANLANDS LÄN</t>
        </is>
      </c>
      <c r="E328" t="inlineStr">
        <is>
          <t>ESKILSTUNA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34915-2021</t>
        </is>
      </c>
      <c r="B329" s="1" t="n">
        <v>44382</v>
      </c>
      <c r="C329" s="1" t="n">
        <v>46203</v>
      </c>
      <c r="D329" t="inlineStr">
        <is>
          <t>SÖDERMANLANDS LÄN</t>
        </is>
      </c>
      <c r="E329" t="inlineStr">
        <is>
          <t>ESKILSTUNA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57061-2021</t>
        </is>
      </c>
      <c r="B330" s="1" t="n">
        <v>44482</v>
      </c>
      <c r="C330" s="1" t="n">
        <v>46203</v>
      </c>
      <c r="D330" t="inlineStr">
        <is>
          <t>SÖDERMANLANDS LÄN</t>
        </is>
      </c>
      <c r="E330" t="inlineStr">
        <is>
          <t>ESKILSTUNA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36735-2021</t>
        </is>
      </c>
      <c r="B331" s="1" t="n">
        <v>44392</v>
      </c>
      <c r="C331" s="1" t="n">
        <v>46203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Kommuner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36565-2022</t>
        </is>
      </c>
      <c r="B332" s="1" t="n">
        <v>44804</v>
      </c>
      <c r="C332" s="1" t="n">
        <v>46203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26097-2026</t>
        </is>
      </c>
      <c r="B333" s="1" t="n">
        <v>46181</v>
      </c>
      <c r="C333" s="1" t="n">
        <v>46203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52203-2025</t>
        </is>
      </c>
      <c r="B334" s="1" t="n">
        <v>45953</v>
      </c>
      <c r="C334" s="1" t="n">
        <v>46203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25998-2026</t>
        </is>
      </c>
      <c r="B335" s="1" t="n">
        <v>46181</v>
      </c>
      <c r="C335" s="1" t="n">
        <v>46203</v>
      </c>
      <c r="D335" t="inlineStr">
        <is>
          <t>SÖDERMANLANDS LÄN</t>
        </is>
      </c>
      <c r="E335" t="inlineStr">
        <is>
          <t>ESKILSTUNA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55812-2022</t>
        </is>
      </c>
      <c r="B336" s="1" t="n">
        <v>44886</v>
      </c>
      <c r="C336" s="1" t="n">
        <v>46203</v>
      </c>
      <c r="D336" t="inlineStr">
        <is>
          <t>SÖDERMANLANDS LÄN</t>
        </is>
      </c>
      <c r="E336" t="inlineStr">
        <is>
          <t>ESKILSTUNA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59773-2025</t>
        </is>
      </c>
      <c r="B337" s="1" t="n">
        <v>45992</v>
      </c>
      <c r="C337" s="1" t="n">
        <v>46203</v>
      </c>
      <c r="D337" t="inlineStr">
        <is>
          <t>SÖDERMANLANDS LÄN</t>
        </is>
      </c>
      <c r="E337" t="inlineStr">
        <is>
          <t>ESKILSTUNA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68022-2021</t>
        </is>
      </c>
      <c r="B338" s="1" t="n">
        <v>44525</v>
      </c>
      <c r="C338" s="1" t="n">
        <v>46203</v>
      </c>
      <c r="D338" t="inlineStr">
        <is>
          <t>SÖDERMANLANDS LÄN</t>
        </is>
      </c>
      <c r="E338" t="inlineStr">
        <is>
          <t>ESKILSTUNA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50484-2025</t>
        </is>
      </c>
      <c r="B339" s="1" t="n">
        <v>45945</v>
      </c>
      <c r="C339" s="1" t="n">
        <v>46203</v>
      </c>
      <c r="D339" t="inlineStr">
        <is>
          <t>SÖDERMANLANDS LÄN</t>
        </is>
      </c>
      <c r="E339" t="inlineStr">
        <is>
          <t>ESKILSTUNA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26094-2026</t>
        </is>
      </c>
      <c r="B340" s="1" t="n">
        <v>46181</v>
      </c>
      <c r="C340" s="1" t="n">
        <v>46203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26095-2026</t>
        </is>
      </c>
      <c r="B341" s="1" t="n">
        <v>46181</v>
      </c>
      <c r="C341" s="1" t="n">
        <v>46203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26022-2026</t>
        </is>
      </c>
      <c r="B342" s="1" t="n">
        <v>46181</v>
      </c>
      <c r="C342" s="1" t="n">
        <v>46203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20529-2026</t>
        </is>
      </c>
      <c r="B343" s="1" t="n">
        <v>46140</v>
      </c>
      <c r="C343" s="1" t="n">
        <v>46203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20823-2022</t>
        </is>
      </c>
      <c r="B344" s="1" t="n">
        <v>44701</v>
      </c>
      <c r="C344" s="1" t="n">
        <v>46203</v>
      </c>
      <c r="D344" t="inlineStr">
        <is>
          <t>SÖDERMANLANDS LÄN</t>
        </is>
      </c>
      <c r="E344" t="inlineStr">
        <is>
          <t>ESKILSTUNA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54598-2021</t>
        </is>
      </c>
      <c r="B345" s="1" t="n">
        <v>44473</v>
      </c>
      <c r="C345" s="1" t="n">
        <v>46203</v>
      </c>
      <c r="D345" t="inlineStr">
        <is>
          <t>SÖDERMANLANDS LÄN</t>
        </is>
      </c>
      <c r="E345" t="inlineStr">
        <is>
          <t>ESKILSTUNA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23639-2023</t>
        </is>
      </c>
      <c r="B346" s="1" t="n">
        <v>45077</v>
      </c>
      <c r="C346" s="1" t="n">
        <v>46203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16391-2022</t>
        </is>
      </c>
      <c r="B347" s="1" t="n">
        <v>44671</v>
      </c>
      <c r="C347" s="1" t="n">
        <v>46203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26018-2026</t>
        </is>
      </c>
      <c r="B348" s="1" t="n">
        <v>46181</v>
      </c>
      <c r="C348" s="1" t="n">
        <v>46203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27550-2026</t>
        </is>
      </c>
      <c r="B349" s="1" t="n">
        <v>46190</v>
      </c>
      <c r="C349" s="1" t="n">
        <v>46203</v>
      </c>
      <c r="D349" t="inlineStr">
        <is>
          <t>SÖDERMANLANDS LÄN</t>
        </is>
      </c>
      <c r="E349" t="inlineStr">
        <is>
          <t>ESKILSTUNA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27884-2026</t>
        </is>
      </c>
      <c r="B350" s="1" t="n">
        <v>46191</v>
      </c>
      <c r="C350" s="1" t="n">
        <v>46203</v>
      </c>
      <c r="D350" t="inlineStr">
        <is>
          <t>SÖDERMANLANDS LÄN</t>
        </is>
      </c>
      <c r="E350" t="inlineStr">
        <is>
          <t>ESKILSTUNA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27779-2026</t>
        </is>
      </c>
      <c r="B351" s="1" t="n">
        <v>46191</v>
      </c>
      <c r="C351" s="1" t="n">
        <v>46203</v>
      </c>
      <c r="D351" t="inlineStr">
        <is>
          <t>SÖDERMANLANDS LÄN</t>
        </is>
      </c>
      <c r="E351" t="inlineStr">
        <is>
          <t>ESKILSTUNA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21923-2026</t>
        </is>
      </c>
      <c r="B352" s="1" t="n">
        <v>46150</v>
      </c>
      <c r="C352" s="1" t="n">
        <v>46203</v>
      </c>
      <c r="D352" t="inlineStr">
        <is>
          <t>SÖDERMANLANDS LÄN</t>
        </is>
      </c>
      <c r="E352" t="inlineStr">
        <is>
          <t>ESKILSTUNA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52830-2021</t>
        </is>
      </c>
      <c r="B353" s="1" t="n">
        <v>44467</v>
      </c>
      <c r="C353" s="1" t="n">
        <v>46203</v>
      </c>
      <c r="D353" t="inlineStr">
        <is>
          <t>SÖDERMANLANDS LÄN</t>
        </is>
      </c>
      <c r="E353" t="inlineStr">
        <is>
          <t>ESKILSTUNA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30960-2023</t>
        </is>
      </c>
      <c r="B354" s="1" t="n">
        <v>45103</v>
      </c>
      <c r="C354" s="1" t="n">
        <v>46203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28428-2026</t>
        </is>
      </c>
      <c r="B355" s="1" t="n">
        <v>46197</v>
      </c>
      <c r="C355" s="1" t="n">
        <v>46203</v>
      </c>
      <c r="D355" t="inlineStr">
        <is>
          <t>SÖDERMANLANDS LÄN</t>
        </is>
      </c>
      <c r="E355" t="inlineStr">
        <is>
          <t>ESKILSTUNA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30971-2023</t>
        </is>
      </c>
      <c r="B356" s="1" t="n">
        <v>45103</v>
      </c>
      <c r="C356" s="1" t="n">
        <v>46203</v>
      </c>
      <c r="D356" t="inlineStr">
        <is>
          <t>SÖDERMANLANDS LÄN</t>
        </is>
      </c>
      <c r="E356" t="inlineStr">
        <is>
          <t>ESKILSTUNA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43426-2021</t>
        </is>
      </c>
      <c r="B357" s="1" t="n">
        <v>44432</v>
      </c>
      <c r="C357" s="1" t="n">
        <v>46203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62268-2023</t>
        </is>
      </c>
      <c r="B358" s="1" t="n">
        <v>45267</v>
      </c>
      <c r="C358" s="1" t="n">
        <v>46203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62278-2023</t>
        </is>
      </c>
      <c r="B359" s="1" t="n">
        <v>45267</v>
      </c>
      <c r="C359" s="1" t="n">
        <v>46203</v>
      </c>
      <c r="D359" t="inlineStr">
        <is>
          <t>SÖDERMANLANDS LÄN</t>
        </is>
      </c>
      <c r="E359" t="inlineStr">
        <is>
          <t>ESKILSTUNA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6405-2023</t>
        </is>
      </c>
      <c r="B360" s="1" t="n">
        <v>44965</v>
      </c>
      <c r="C360" s="1" t="n">
        <v>46203</v>
      </c>
      <c r="D360" t="inlineStr">
        <is>
          <t>SÖDERMANLANDS LÄN</t>
        </is>
      </c>
      <c r="E360" t="inlineStr">
        <is>
          <t>ESKILSTUNA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47581-2024</t>
        </is>
      </c>
      <c r="B361" s="1" t="n">
        <v>45587</v>
      </c>
      <c r="C361" s="1" t="n">
        <v>46203</v>
      </c>
      <c r="D361" t="inlineStr">
        <is>
          <t>SÖDERMANLANDS LÄN</t>
        </is>
      </c>
      <c r="E361" t="inlineStr">
        <is>
          <t>ESKILSTUNA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41997-2021</t>
        </is>
      </c>
      <c r="B362" s="1" t="n">
        <v>44426</v>
      </c>
      <c r="C362" s="1" t="n">
        <v>46203</v>
      </c>
      <c r="D362" t="inlineStr">
        <is>
          <t>SÖDERMANLANDS LÄN</t>
        </is>
      </c>
      <c r="E362" t="inlineStr">
        <is>
          <t>ESKILSTUNA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65614-2021</t>
        </is>
      </c>
      <c r="B363" s="1" t="n">
        <v>44516</v>
      </c>
      <c r="C363" s="1" t="n">
        <v>46203</v>
      </c>
      <c r="D363" t="inlineStr">
        <is>
          <t>SÖDERMANLANDS LÄN</t>
        </is>
      </c>
      <c r="E363" t="inlineStr">
        <is>
          <t>ESKILSTUNA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61416-2022</t>
        </is>
      </c>
      <c r="B364" s="1" t="n">
        <v>44916</v>
      </c>
      <c r="C364" s="1" t="n">
        <v>46203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55800-2022</t>
        </is>
      </c>
      <c r="B365" s="1" t="n">
        <v>44888</v>
      </c>
      <c r="C365" s="1" t="n">
        <v>46203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50310-2022</t>
        </is>
      </c>
      <c r="B366" s="1" t="n">
        <v>44865</v>
      </c>
      <c r="C366" s="1" t="n">
        <v>46203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40930-2025</t>
        </is>
      </c>
      <c r="B367" s="1" t="n">
        <v>45897</v>
      </c>
      <c r="C367" s="1" t="n">
        <v>46203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29051-2026</t>
        </is>
      </c>
      <c r="B368" s="1" t="n">
        <v>46199</v>
      </c>
      <c r="C368" s="1" t="n">
        <v>46203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22759-2026</t>
        </is>
      </c>
      <c r="B369" s="1" t="n">
        <v>46157</v>
      </c>
      <c r="C369" s="1" t="n">
        <v>46203</v>
      </c>
      <c r="D369" t="inlineStr">
        <is>
          <t>SÖDERMANLANDS LÄN</t>
        </is>
      </c>
      <c r="E369" t="inlineStr">
        <is>
          <t>ESKILSTUNA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17376-2025</t>
        </is>
      </c>
      <c r="B370" s="1" t="n">
        <v>45756</v>
      </c>
      <c r="C370" s="1" t="n">
        <v>46203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15963-2022</t>
        </is>
      </c>
      <c r="B371" s="1" t="n">
        <v>44664</v>
      </c>
      <c r="C371" s="1" t="n">
        <v>46203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25227-2022</t>
        </is>
      </c>
      <c r="B372" s="1" t="n">
        <v>44729</v>
      </c>
      <c r="C372" s="1" t="n">
        <v>46203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49470-2023</t>
        </is>
      </c>
      <c r="B373" s="1" t="n">
        <v>45211</v>
      </c>
      <c r="C373" s="1" t="n">
        <v>46203</v>
      </c>
      <c r="D373" t="inlineStr">
        <is>
          <t>SÖDERMANLANDS LÄN</t>
        </is>
      </c>
      <c r="E373" t="inlineStr">
        <is>
          <t>ESKILSTUNA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22767-2026</t>
        </is>
      </c>
      <c r="B374" s="1" t="n">
        <v>46157</v>
      </c>
      <c r="C374" s="1" t="n">
        <v>46203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29053-2026</t>
        </is>
      </c>
      <c r="B375" s="1" t="n">
        <v>46199</v>
      </c>
      <c r="C375" s="1" t="n">
        <v>46203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16339-2024</t>
        </is>
      </c>
      <c r="B376" s="1" t="n">
        <v>45407</v>
      </c>
      <c r="C376" s="1" t="n">
        <v>46203</v>
      </c>
      <c r="D376" t="inlineStr">
        <is>
          <t>SÖDERMANLANDS LÄN</t>
        </is>
      </c>
      <c r="E376" t="inlineStr">
        <is>
          <t>ESKILSTUNA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11522-2026</t>
        </is>
      </c>
      <c r="B377" s="1" t="n">
        <v>46083</v>
      </c>
      <c r="C377" s="1" t="n">
        <v>46203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19523-2024</t>
        </is>
      </c>
      <c r="B378" s="1" t="n">
        <v>45429</v>
      </c>
      <c r="C378" s="1" t="n">
        <v>46203</v>
      </c>
      <c r="D378" t="inlineStr">
        <is>
          <t>SÖDERMANLANDS LÄN</t>
        </is>
      </c>
      <c r="E378" t="inlineStr">
        <is>
          <t>ESKILSTUNA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20348-2023</t>
        </is>
      </c>
      <c r="B379" s="1" t="n">
        <v>45056</v>
      </c>
      <c r="C379" s="1" t="n">
        <v>46203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9711-2025</t>
        </is>
      </c>
      <c r="B380" s="1" t="n">
        <v>45715</v>
      </c>
      <c r="C380" s="1" t="n">
        <v>46203</v>
      </c>
      <c r="D380" t="inlineStr">
        <is>
          <t>SÖDERMANLANDS LÄN</t>
        </is>
      </c>
      <c r="E380" t="inlineStr">
        <is>
          <t>ESKILSTUNA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25283-2023</t>
        </is>
      </c>
      <c r="B381" s="1" t="n">
        <v>45079</v>
      </c>
      <c r="C381" s="1" t="n">
        <v>46203</v>
      </c>
      <c r="D381" t="inlineStr">
        <is>
          <t>SÖDERMANLANDS LÄN</t>
        </is>
      </c>
      <c r="E381" t="inlineStr">
        <is>
          <t>ESKILSTUNA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59276-2021</t>
        </is>
      </c>
      <c r="B382" s="1" t="n">
        <v>44490</v>
      </c>
      <c r="C382" s="1" t="n">
        <v>46203</v>
      </c>
      <c r="D382" t="inlineStr">
        <is>
          <t>SÖDERMANLANDS LÄN</t>
        </is>
      </c>
      <c r="E382" t="inlineStr">
        <is>
          <t>ESKILSTUNA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57213-2023</t>
        </is>
      </c>
      <c r="B383" s="1" t="n">
        <v>45245</v>
      </c>
      <c r="C383" s="1" t="n">
        <v>46203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57538-2022</t>
        </is>
      </c>
      <c r="B384" s="1" t="n">
        <v>44889</v>
      </c>
      <c r="C384" s="1" t="n">
        <v>46203</v>
      </c>
      <c r="D384" t="inlineStr">
        <is>
          <t>SÖDERMANLANDS LÄN</t>
        </is>
      </c>
      <c r="E384" t="inlineStr">
        <is>
          <t>ESKILSTUNA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55699-2024</t>
        </is>
      </c>
      <c r="B385" s="1" t="n">
        <v>45622</v>
      </c>
      <c r="C385" s="1" t="n">
        <v>46203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1131-2023</t>
        </is>
      </c>
      <c r="B386" s="1" t="n">
        <v>44930</v>
      </c>
      <c r="C386" s="1" t="n">
        <v>46203</v>
      </c>
      <c r="D386" t="inlineStr">
        <is>
          <t>SÖDERMANLANDS LÄN</t>
        </is>
      </c>
      <c r="E386" t="inlineStr">
        <is>
          <t>ESKILSTUNA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61170-2021</t>
        </is>
      </c>
      <c r="B387" s="1" t="n">
        <v>44497</v>
      </c>
      <c r="C387" s="1" t="n">
        <v>46203</v>
      </c>
      <c r="D387" t="inlineStr">
        <is>
          <t>SÖDERMANLANDS LÄN</t>
        </is>
      </c>
      <c r="E387" t="inlineStr">
        <is>
          <t>ESKILSTUNA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30373-2023</t>
        </is>
      </c>
      <c r="B388" s="1" t="n">
        <v>45099</v>
      </c>
      <c r="C388" s="1" t="n">
        <v>46203</v>
      </c>
      <c r="D388" t="inlineStr">
        <is>
          <t>SÖDERMANLANDS LÄN</t>
        </is>
      </c>
      <c r="E388" t="inlineStr">
        <is>
          <t>ESKILSTUNA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6739-2023</t>
        </is>
      </c>
      <c r="B389" s="1" t="n">
        <v>44966</v>
      </c>
      <c r="C389" s="1" t="n">
        <v>46203</v>
      </c>
      <c r="D389" t="inlineStr">
        <is>
          <t>SÖDERMANLANDS LÄN</t>
        </is>
      </c>
      <c r="E389" t="inlineStr">
        <is>
          <t>ESKILSTUNA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19271-2023</t>
        </is>
      </c>
      <c r="B390" s="1" t="n">
        <v>45049</v>
      </c>
      <c r="C390" s="1" t="n">
        <v>46203</v>
      </c>
      <c r="D390" t="inlineStr">
        <is>
          <t>SÖDERMANLANDS LÄN</t>
        </is>
      </c>
      <c r="E390" t="inlineStr">
        <is>
          <t>ESKILSTUNA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1340-2024</t>
        </is>
      </c>
      <c r="B391" s="1" t="n">
        <v>45303</v>
      </c>
      <c r="C391" s="1" t="n">
        <v>46203</v>
      </c>
      <c r="D391" t="inlineStr">
        <is>
          <t>SÖDERMANLANDS LÄN</t>
        </is>
      </c>
      <c r="E391" t="inlineStr">
        <is>
          <t>ESKILSTUNA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52274-2024</t>
        </is>
      </c>
      <c r="B392" s="1" t="n">
        <v>45608</v>
      </c>
      <c r="C392" s="1" t="n">
        <v>46203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Övriga Aktiebolag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13849-2023</t>
        </is>
      </c>
      <c r="B393" s="1" t="n">
        <v>45007</v>
      </c>
      <c r="C393" s="1" t="n">
        <v>46203</v>
      </c>
      <c r="D393" t="inlineStr">
        <is>
          <t>SÖDERMANLANDS LÄN</t>
        </is>
      </c>
      <c r="E393" t="inlineStr">
        <is>
          <t>ESKILSTUNA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62693-2023</t>
        </is>
      </c>
      <c r="B394" s="1" t="n">
        <v>45271</v>
      </c>
      <c r="C394" s="1" t="n">
        <v>46203</v>
      </c>
      <c r="D394" t="inlineStr">
        <is>
          <t>SÖDERMANLANDS LÄN</t>
        </is>
      </c>
      <c r="E394" t="inlineStr">
        <is>
          <t>ESKILSTUNA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70265-2021</t>
        </is>
      </c>
      <c r="B395" s="1" t="n">
        <v>44536</v>
      </c>
      <c r="C395" s="1" t="n">
        <v>46203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46608-2024</t>
        </is>
      </c>
      <c r="B396" s="1" t="n">
        <v>45582</v>
      </c>
      <c r="C396" s="1" t="n">
        <v>46203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68020-2021</t>
        </is>
      </c>
      <c r="B397" s="1" t="n">
        <v>44525</v>
      </c>
      <c r="C397" s="1" t="n">
        <v>46203</v>
      </c>
      <c r="D397" t="inlineStr">
        <is>
          <t>SÖDERMANLANDS LÄN</t>
        </is>
      </c>
      <c r="E397" t="inlineStr">
        <is>
          <t>ESKILSTUNA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38058-2024</t>
        </is>
      </c>
      <c r="B398" s="1" t="n">
        <v>45544</v>
      </c>
      <c r="C398" s="1" t="n">
        <v>46203</v>
      </c>
      <c r="D398" t="inlineStr">
        <is>
          <t>SÖDERMANLANDS LÄN</t>
        </is>
      </c>
      <c r="E398" t="inlineStr">
        <is>
          <t>ESKILSTUNA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35377-2023</t>
        </is>
      </c>
      <c r="B399" s="1" t="n">
        <v>45146</v>
      </c>
      <c r="C399" s="1" t="n">
        <v>46203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22058-2023</t>
        </is>
      </c>
      <c r="B400" s="1" t="n">
        <v>45069</v>
      </c>
      <c r="C400" s="1" t="n">
        <v>46203</v>
      </c>
      <c r="D400" t="inlineStr">
        <is>
          <t>SÖDERMANLANDS LÄN</t>
        </is>
      </c>
      <c r="E400" t="inlineStr">
        <is>
          <t>ESKILSTUNA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10715-2022</t>
        </is>
      </c>
      <c r="B401" s="1" t="n">
        <v>44626</v>
      </c>
      <c r="C401" s="1" t="n">
        <v>46203</v>
      </c>
      <c r="D401" t="inlineStr">
        <is>
          <t>SÖDERMANLANDS LÄN</t>
        </is>
      </c>
      <c r="E401" t="inlineStr">
        <is>
          <t>ESKILSTUNA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44927-2023</t>
        </is>
      </c>
      <c r="B402" s="1" t="n">
        <v>45190</v>
      </c>
      <c r="C402" s="1" t="n">
        <v>46203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20355-2024</t>
        </is>
      </c>
      <c r="B403" s="1" t="n">
        <v>45435</v>
      </c>
      <c r="C403" s="1" t="n">
        <v>46203</v>
      </c>
      <c r="D403" t="inlineStr">
        <is>
          <t>SÖDERMANLANDS LÄN</t>
        </is>
      </c>
      <c r="E403" t="inlineStr">
        <is>
          <t>ESKILSTUNA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22605-2023</t>
        </is>
      </c>
      <c r="B404" s="1" t="n">
        <v>45071</v>
      </c>
      <c r="C404" s="1" t="n">
        <v>46203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Kyrkan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1174-2022</t>
        </is>
      </c>
      <c r="B405" s="1" t="n">
        <v>44572</v>
      </c>
      <c r="C405" s="1" t="n">
        <v>46203</v>
      </c>
      <c r="D405" t="inlineStr">
        <is>
          <t>SÖDERMANLANDS LÄN</t>
        </is>
      </c>
      <c r="E405" t="inlineStr">
        <is>
          <t>ESKILSTUNA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7406-2022</t>
        </is>
      </c>
      <c r="B406" s="1" t="n">
        <v>44606</v>
      </c>
      <c r="C406" s="1" t="n">
        <v>46203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26904-2023</t>
        </is>
      </c>
      <c r="B407" s="1" t="n">
        <v>45093</v>
      </c>
      <c r="C407" s="1" t="n">
        <v>46203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60533-2024</t>
        </is>
      </c>
      <c r="B408" s="1" t="n">
        <v>45643</v>
      </c>
      <c r="C408" s="1" t="n">
        <v>46203</v>
      </c>
      <c r="D408" t="inlineStr">
        <is>
          <t>SÖDERMANLANDS LÄN</t>
        </is>
      </c>
      <c r="E408" t="inlineStr">
        <is>
          <t>ESKILSTUNA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13495-2024</t>
        </is>
      </c>
      <c r="B409" s="1" t="n">
        <v>45387</v>
      </c>
      <c r="C409" s="1" t="n">
        <v>46203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29646-2023</t>
        </is>
      </c>
      <c r="B410" s="1" t="n">
        <v>45107</v>
      </c>
      <c r="C410" s="1" t="n">
        <v>46203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49061-2023</t>
        </is>
      </c>
      <c r="B411" s="1" t="n">
        <v>45210</v>
      </c>
      <c r="C411" s="1" t="n">
        <v>46203</v>
      </c>
      <c r="D411" t="inlineStr">
        <is>
          <t>SÖDERMANLANDS LÄN</t>
        </is>
      </c>
      <c r="E411" t="inlineStr">
        <is>
          <t>ESKILSTUNA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26871-2023</t>
        </is>
      </c>
      <c r="B412" s="1" t="n">
        <v>45093</v>
      </c>
      <c r="C412" s="1" t="n">
        <v>46203</v>
      </c>
      <c r="D412" t="inlineStr">
        <is>
          <t>SÖDERMANLANDS LÄN</t>
        </is>
      </c>
      <c r="E412" t="inlineStr">
        <is>
          <t>ESKILSTUNA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55763-2022</t>
        </is>
      </c>
      <c r="B413" s="1" t="n">
        <v>44886</v>
      </c>
      <c r="C413" s="1" t="n">
        <v>46203</v>
      </c>
      <c r="D413" t="inlineStr">
        <is>
          <t>SÖDERMANLANDS LÄN</t>
        </is>
      </c>
      <c r="E413" t="inlineStr">
        <is>
          <t>ESKILSTUNA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43221-2023</t>
        </is>
      </c>
      <c r="B414" s="1" t="n">
        <v>45183</v>
      </c>
      <c r="C414" s="1" t="n">
        <v>46203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55282-2023</t>
        </is>
      </c>
      <c r="B415" s="1" t="n">
        <v>45237</v>
      </c>
      <c r="C415" s="1" t="n">
        <v>46203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4200-2025</t>
        </is>
      </c>
      <c r="B416" s="1" t="n">
        <v>45685</v>
      </c>
      <c r="C416" s="1" t="n">
        <v>46203</v>
      </c>
      <c r="D416" t="inlineStr">
        <is>
          <t>SÖDERMANLANDS LÄN</t>
        </is>
      </c>
      <c r="E416" t="inlineStr">
        <is>
          <t>ESKILSTUNA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15917-2022</t>
        </is>
      </c>
      <c r="B417" s="1" t="n">
        <v>44664</v>
      </c>
      <c r="C417" s="1" t="n">
        <v>46203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11117-2025</t>
        </is>
      </c>
      <c r="B418" s="1" t="n">
        <v>45723</v>
      </c>
      <c r="C418" s="1" t="n">
        <v>46203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55963-2023</t>
        </is>
      </c>
      <c r="B419" s="1" t="n">
        <v>45240</v>
      </c>
      <c r="C419" s="1" t="n">
        <v>46203</v>
      </c>
      <c r="D419" t="inlineStr">
        <is>
          <t>SÖDERMANLANDS LÄN</t>
        </is>
      </c>
      <c r="E419" t="inlineStr">
        <is>
          <t>ESKILSTUNA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25229-2022</t>
        </is>
      </c>
      <c r="B420" s="1" t="n">
        <v>44729</v>
      </c>
      <c r="C420" s="1" t="n">
        <v>46203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61831-2023</t>
        </is>
      </c>
      <c r="B421" s="1" t="n">
        <v>45266</v>
      </c>
      <c r="C421" s="1" t="n">
        <v>46203</v>
      </c>
      <c r="D421" t="inlineStr">
        <is>
          <t>SÖDERMANLANDS LÄN</t>
        </is>
      </c>
      <c r="E421" t="inlineStr">
        <is>
          <t>ESKILSTUNA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29068-2022</t>
        </is>
      </c>
      <c r="B422" s="1" t="n">
        <v>44749</v>
      </c>
      <c r="C422" s="1" t="n">
        <v>46203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1330-2024</t>
        </is>
      </c>
      <c r="B423" s="1" t="n">
        <v>45303</v>
      </c>
      <c r="C423" s="1" t="n">
        <v>46203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1334-2024</t>
        </is>
      </c>
      <c r="B424" s="1" t="n">
        <v>45303</v>
      </c>
      <c r="C424" s="1" t="n">
        <v>46203</v>
      </c>
      <c r="D424" t="inlineStr">
        <is>
          <t>SÖDERMANLANDS LÄN</t>
        </is>
      </c>
      <c r="E424" t="inlineStr">
        <is>
          <t>ESKILSTUNA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37769-2023</t>
        </is>
      </c>
      <c r="B425" s="1" t="n">
        <v>45159</v>
      </c>
      <c r="C425" s="1" t="n">
        <v>46203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29750-2022</t>
        </is>
      </c>
      <c r="B426" s="1" t="n">
        <v>44755</v>
      </c>
      <c r="C426" s="1" t="n">
        <v>46203</v>
      </c>
      <c r="D426" t="inlineStr">
        <is>
          <t>SÖDERMANLANDS LÄN</t>
        </is>
      </c>
      <c r="E426" t="inlineStr">
        <is>
          <t>ESKILSTUNA</t>
        </is>
      </c>
      <c r="G426" t="n">
        <v>20.1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9703-2025</t>
        </is>
      </c>
      <c r="B427" s="1" t="n">
        <v>45715</v>
      </c>
      <c r="C427" s="1" t="n">
        <v>46203</v>
      </c>
      <c r="D427" t="inlineStr">
        <is>
          <t>SÖDERMANLANDS LÄN</t>
        </is>
      </c>
      <c r="E427" t="inlineStr">
        <is>
          <t>ESKILSTUNA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30968-2022</t>
        </is>
      </c>
      <c r="B428" s="1" t="n">
        <v>44768</v>
      </c>
      <c r="C428" s="1" t="n">
        <v>46203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52663-2023</t>
        </is>
      </c>
      <c r="B429" s="1" t="n">
        <v>45225</v>
      </c>
      <c r="C429" s="1" t="n">
        <v>46203</v>
      </c>
      <c r="D429" t="inlineStr">
        <is>
          <t>SÖDERMANLANDS LÄN</t>
        </is>
      </c>
      <c r="E429" t="inlineStr">
        <is>
          <t>ESKILSTUNA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6725-2023</t>
        </is>
      </c>
      <c r="B430" s="1" t="n">
        <v>44966</v>
      </c>
      <c r="C430" s="1" t="n">
        <v>46203</v>
      </c>
      <c r="D430" t="inlineStr">
        <is>
          <t>SÖDERMANLANDS LÄN</t>
        </is>
      </c>
      <c r="E430" t="inlineStr">
        <is>
          <t>ESKILSTUNA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36636-2022</t>
        </is>
      </c>
      <c r="B431" s="1" t="n">
        <v>44804</v>
      </c>
      <c r="C431" s="1" t="n">
        <v>46203</v>
      </c>
      <c r="D431" t="inlineStr">
        <is>
          <t>SÖDERMANLANDS LÄN</t>
        </is>
      </c>
      <c r="E431" t="inlineStr">
        <is>
          <t>ESKILSTUNA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61861-2022</t>
        </is>
      </c>
      <c r="B432" s="1" t="n">
        <v>44917</v>
      </c>
      <c r="C432" s="1" t="n">
        <v>46203</v>
      </c>
      <c r="D432" t="inlineStr">
        <is>
          <t>SÖDERMANLANDS LÄN</t>
        </is>
      </c>
      <c r="E432" t="inlineStr">
        <is>
          <t>ESKILSTUNA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12297-2023</t>
        </is>
      </c>
      <c r="B433" s="1" t="n">
        <v>44998</v>
      </c>
      <c r="C433" s="1" t="n">
        <v>46203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61830-2023</t>
        </is>
      </c>
      <c r="B434" s="1" t="n">
        <v>45266</v>
      </c>
      <c r="C434" s="1" t="n">
        <v>46203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35367-2024</t>
        </is>
      </c>
      <c r="B435" s="1" t="n">
        <v>45531</v>
      </c>
      <c r="C435" s="1" t="n">
        <v>46203</v>
      </c>
      <c r="D435" t="inlineStr">
        <is>
          <t>SÖDERMANLANDS LÄN</t>
        </is>
      </c>
      <c r="E435" t="inlineStr">
        <is>
          <t>ESKILSTUNA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36613-2024</t>
        </is>
      </c>
      <c r="B436" s="1" t="n">
        <v>45537</v>
      </c>
      <c r="C436" s="1" t="n">
        <v>46203</v>
      </c>
      <c r="D436" t="inlineStr">
        <is>
          <t>SÖDERMANLANDS LÄN</t>
        </is>
      </c>
      <c r="E436" t="inlineStr">
        <is>
          <t>ESKILSTUNA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3341-2022</t>
        </is>
      </c>
      <c r="B437" s="1" t="n">
        <v>44582</v>
      </c>
      <c r="C437" s="1" t="n">
        <v>46203</v>
      </c>
      <c r="D437" t="inlineStr">
        <is>
          <t>SÖDERMANLANDS LÄN</t>
        </is>
      </c>
      <c r="E437" t="inlineStr">
        <is>
          <t>ESKILSTUNA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36142-2022</t>
        </is>
      </c>
      <c r="B438" s="1" t="n">
        <v>44803</v>
      </c>
      <c r="C438" s="1" t="n">
        <v>46203</v>
      </c>
      <c r="D438" t="inlineStr">
        <is>
          <t>SÖDERMANLANDS LÄN</t>
        </is>
      </c>
      <c r="E438" t="inlineStr">
        <is>
          <t>ESKILSTUNA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36153-2022</t>
        </is>
      </c>
      <c r="B439" s="1" t="n">
        <v>44803</v>
      </c>
      <c r="C439" s="1" t="n">
        <v>46203</v>
      </c>
      <c r="D439" t="inlineStr">
        <is>
          <t>SÖDERMANLANDS LÄN</t>
        </is>
      </c>
      <c r="E439" t="inlineStr">
        <is>
          <t>ESKILSTUNA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70613-2021</t>
        </is>
      </c>
      <c r="B440" s="1" t="n">
        <v>44537</v>
      </c>
      <c r="C440" s="1" t="n">
        <v>46203</v>
      </c>
      <c r="D440" t="inlineStr">
        <is>
          <t>SÖDERMANLANDS LÄN</t>
        </is>
      </c>
      <c r="E440" t="inlineStr">
        <is>
          <t>ESKILSTUNA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44615-2022</t>
        </is>
      </c>
      <c r="B441" s="1" t="n">
        <v>44839</v>
      </c>
      <c r="C441" s="1" t="n">
        <v>46203</v>
      </c>
      <c r="D441" t="inlineStr">
        <is>
          <t>SÖDERMANLANDS LÄN</t>
        </is>
      </c>
      <c r="E441" t="inlineStr">
        <is>
          <t>ESKILSTUNA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18487-2025</t>
        </is>
      </c>
      <c r="B442" s="1" t="n">
        <v>45763</v>
      </c>
      <c r="C442" s="1" t="n">
        <v>46203</v>
      </c>
      <c r="D442" t="inlineStr">
        <is>
          <t>SÖDERMANLANDS LÄN</t>
        </is>
      </c>
      <c r="E442" t="inlineStr">
        <is>
          <t>ESKILSTUNA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53374-2022</t>
        </is>
      </c>
      <c r="B443" s="1" t="n">
        <v>44874</v>
      </c>
      <c r="C443" s="1" t="n">
        <v>46203</v>
      </c>
      <c r="D443" t="inlineStr">
        <is>
          <t>SÖDERMANLANDS LÄN</t>
        </is>
      </c>
      <c r="E443" t="inlineStr">
        <is>
          <t>ESKILSTUNA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1715-2023</t>
        </is>
      </c>
      <c r="B444" s="1" t="n">
        <v>44938</v>
      </c>
      <c r="C444" s="1" t="n">
        <v>46203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28582-2023</t>
        </is>
      </c>
      <c r="B445" s="1" t="n">
        <v>45103</v>
      </c>
      <c r="C445" s="1" t="n">
        <v>46203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13385-2023</t>
        </is>
      </c>
      <c r="B446" s="1" t="n">
        <v>45005</v>
      </c>
      <c r="C446" s="1" t="n">
        <v>46203</v>
      </c>
      <c r="D446" t="inlineStr">
        <is>
          <t>SÖDERMANLANDS LÄN</t>
        </is>
      </c>
      <c r="E446" t="inlineStr">
        <is>
          <t>ESKILSTUNA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39291-2023</t>
        </is>
      </c>
      <c r="B447" s="1" t="n">
        <v>45166</v>
      </c>
      <c r="C447" s="1" t="n">
        <v>46203</v>
      </c>
      <c r="D447" t="inlineStr">
        <is>
          <t>SÖDERMANLANDS LÄN</t>
        </is>
      </c>
      <c r="E447" t="inlineStr">
        <is>
          <t>ESKILSTUNA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2343-2023</t>
        </is>
      </c>
      <c r="B448" s="1" t="n">
        <v>44942</v>
      </c>
      <c r="C448" s="1" t="n">
        <v>46203</v>
      </c>
      <c r="D448" t="inlineStr">
        <is>
          <t>SÖDERMANLANDS LÄN</t>
        </is>
      </c>
      <c r="E448" t="inlineStr">
        <is>
          <t>ESKILSTUNA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40386-2022</t>
        </is>
      </c>
      <c r="B449" s="1" t="n">
        <v>44819</v>
      </c>
      <c r="C449" s="1" t="n">
        <v>46203</v>
      </c>
      <c r="D449" t="inlineStr">
        <is>
          <t>SÖDERMANLANDS LÄN</t>
        </is>
      </c>
      <c r="E449" t="inlineStr">
        <is>
          <t>ESKILSTUNA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48671-2021</t>
        </is>
      </c>
      <c r="B450" s="1" t="n">
        <v>44452</v>
      </c>
      <c r="C450" s="1" t="n">
        <v>46203</v>
      </c>
      <c r="D450" t="inlineStr">
        <is>
          <t>SÖDERMANLANDS LÄN</t>
        </is>
      </c>
      <c r="E450" t="inlineStr">
        <is>
          <t>ESKILSTUNA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53476-2021</t>
        </is>
      </c>
      <c r="B451" s="1" t="n">
        <v>44468</v>
      </c>
      <c r="C451" s="1" t="n">
        <v>46203</v>
      </c>
      <c r="D451" t="inlineStr">
        <is>
          <t>SÖDERMANLANDS LÄN</t>
        </is>
      </c>
      <c r="E451" t="inlineStr">
        <is>
          <t>ESKILSTUNA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52290-2024</t>
        </is>
      </c>
      <c r="B452" s="1" t="n">
        <v>45608</v>
      </c>
      <c r="C452" s="1" t="n">
        <v>46203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21133-2023</t>
        </is>
      </c>
      <c r="B453" s="1" t="n">
        <v>45062</v>
      </c>
      <c r="C453" s="1" t="n">
        <v>46203</v>
      </c>
      <c r="D453" t="inlineStr">
        <is>
          <t>SÖDERMANLANDS LÄN</t>
        </is>
      </c>
      <c r="E453" t="inlineStr">
        <is>
          <t>ESKILSTUNA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13626-2023</t>
        </is>
      </c>
      <c r="B454" s="1" t="n">
        <v>45006</v>
      </c>
      <c r="C454" s="1" t="n">
        <v>46203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55673-2024</t>
        </is>
      </c>
      <c r="B455" s="1" t="n">
        <v>45622</v>
      </c>
      <c r="C455" s="1" t="n">
        <v>46203</v>
      </c>
      <c r="D455" t="inlineStr">
        <is>
          <t>SÖDERMANLANDS LÄN</t>
        </is>
      </c>
      <c r="E455" t="inlineStr">
        <is>
          <t>ESKILSTUNA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6956-2023</t>
        </is>
      </c>
      <c r="B456" s="1" t="n">
        <v>44964</v>
      </c>
      <c r="C456" s="1" t="n">
        <v>46203</v>
      </c>
      <c r="D456" t="inlineStr">
        <is>
          <t>SÖDERMANLANDS LÄN</t>
        </is>
      </c>
      <c r="E456" t="inlineStr">
        <is>
          <t>ESKILSTUNA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13280-2023</t>
        </is>
      </c>
      <c r="B457" s="1" t="n">
        <v>45004</v>
      </c>
      <c r="C457" s="1" t="n">
        <v>46203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46872-2022</t>
        </is>
      </c>
      <c r="B458" s="1" t="n">
        <v>44851</v>
      </c>
      <c r="C458" s="1" t="n">
        <v>46203</v>
      </c>
      <c r="D458" t="inlineStr">
        <is>
          <t>SÖDERMANLANDS LÄN</t>
        </is>
      </c>
      <c r="E458" t="inlineStr">
        <is>
          <t>ESKILSTUNA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46796-2023</t>
        </is>
      </c>
      <c r="B459" s="1" t="n">
        <v>45198</v>
      </c>
      <c r="C459" s="1" t="n">
        <v>46203</v>
      </c>
      <c r="D459" t="inlineStr">
        <is>
          <t>SÖDERMANLANDS LÄN</t>
        </is>
      </c>
      <c r="E459" t="inlineStr">
        <is>
          <t>ESKILSTUNA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25071-2022</t>
        </is>
      </c>
      <c r="B460" s="1" t="n">
        <v>44729</v>
      </c>
      <c r="C460" s="1" t="n">
        <v>46203</v>
      </c>
      <c r="D460" t="inlineStr">
        <is>
          <t>SÖDERMANLANDS LÄN</t>
        </is>
      </c>
      <c r="E460" t="inlineStr">
        <is>
          <t>ESKILSTUNA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59151-2022</t>
        </is>
      </c>
      <c r="B461" s="1" t="n">
        <v>44904</v>
      </c>
      <c r="C461" s="1" t="n">
        <v>46203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3145-2023</t>
        </is>
      </c>
      <c r="B462" s="1" t="n">
        <v>44946</v>
      </c>
      <c r="C462" s="1" t="n">
        <v>46203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57541-2022</t>
        </is>
      </c>
      <c r="B463" s="1" t="n">
        <v>44889</v>
      </c>
      <c r="C463" s="1" t="n">
        <v>46203</v>
      </c>
      <c r="D463" t="inlineStr">
        <is>
          <t>SÖDERMANLANDS LÄN</t>
        </is>
      </c>
      <c r="E463" t="inlineStr">
        <is>
          <t>ESKILSTUNA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4621-2022</t>
        </is>
      </c>
      <c r="B464" s="1" t="n">
        <v>44592</v>
      </c>
      <c r="C464" s="1" t="n">
        <v>46203</v>
      </c>
      <c r="D464" t="inlineStr">
        <is>
          <t>SÖDERMANLANDS LÄN</t>
        </is>
      </c>
      <c r="E464" t="inlineStr">
        <is>
          <t>ESKILSTUNA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20984-2023</t>
        </is>
      </c>
      <c r="B465" s="1" t="n">
        <v>45061</v>
      </c>
      <c r="C465" s="1" t="n">
        <v>46203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35076-2022</t>
        </is>
      </c>
      <c r="B466" s="1" t="n">
        <v>44797</v>
      </c>
      <c r="C466" s="1" t="n">
        <v>46203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4977-2024</t>
        </is>
      </c>
      <c r="B467" s="1" t="n">
        <v>45329</v>
      </c>
      <c r="C467" s="1" t="n">
        <v>46203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4249-2023</t>
        </is>
      </c>
      <c r="B468" s="1" t="n">
        <v>44953</v>
      </c>
      <c r="C468" s="1" t="n">
        <v>46203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1322-2024</t>
        </is>
      </c>
      <c r="B469" s="1" t="n">
        <v>45303</v>
      </c>
      <c r="C469" s="1" t="n">
        <v>46203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40574-2023</t>
        </is>
      </c>
      <c r="B470" s="1" t="n">
        <v>45170</v>
      </c>
      <c r="C470" s="1" t="n">
        <v>46203</v>
      </c>
      <c r="D470" t="inlineStr">
        <is>
          <t>SÖDERMANLANDS LÄN</t>
        </is>
      </c>
      <c r="E470" t="inlineStr">
        <is>
          <t>ESKILSTUNA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1343-2024</t>
        </is>
      </c>
      <c r="B471" s="1" t="n">
        <v>45303</v>
      </c>
      <c r="C471" s="1" t="n">
        <v>46203</v>
      </c>
      <c r="D471" t="inlineStr">
        <is>
          <t>SÖDERMANLANDS LÄN</t>
        </is>
      </c>
      <c r="E471" t="inlineStr">
        <is>
          <t>ESKILSTUNA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36648-2022</t>
        </is>
      </c>
      <c r="B472" s="1" t="n">
        <v>44804</v>
      </c>
      <c r="C472" s="1" t="n">
        <v>46203</v>
      </c>
      <c r="D472" t="inlineStr">
        <is>
          <t>SÖDERMANLANDS LÄN</t>
        </is>
      </c>
      <c r="E472" t="inlineStr">
        <is>
          <t>ESKILSTUNA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39543-2023</t>
        </is>
      </c>
      <c r="B473" s="1" t="n">
        <v>45167</v>
      </c>
      <c r="C473" s="1" t="n">
        <v>46203</v>
      </c>
      <c r="D473" t="inlineStr">
        <is>
          <t>SÖDERMANLANDS LÄN</t>
        </is>
      </c>
      <c r="E473" t="inlineStr">
        <is>
          <t>ESKILSTUNA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25668-2022</t>
        </is>
      </c>
      <c r="B474" s="1" t="n">
        <v>44732</v>
      </c>
      <c r="C474" s="1" t="n">
        <v>46203</v>
      </c>
      <c r="D474" t="inlineStr">
        <is>
          <t>SÖDERMANLANDS LÄN</t>
        </is>
      </c>
      <c r="E474" t="inlineStr">
        <is>
          <t>ESKILSTUNA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31002-2023</t>
        </is>
      </c>
      <c r="B475" s="1" t="n">
        <v>45103</v>
      </c>
      <c r="C475" s="1" t="n">
        <v>46203</v>
      </c>
      <c r="D475" t="inlineStr">
        <is>
          <t>SÖDERMANLANDS LÄN</t>
        </is>
      </c>
      <c r="E475" t="inlineStr">
        <is>
          <t>ESKILSTUNA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545-2025</t>
        </is>
      </c>
      <c r="B476" s="1" t="n">
        <v>45664</v>
      </c>
      <c r="C476" s="1" t="n">
        <v>46203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61989-2023</t>
        </is>
      </c>
      <c r="B477" s="1" t="n">
        <v>45266</v>
      </c>
      <c r="C477" s="1" t="n">
        <v>46203</v>
      </c>
      <c r="D477" t="inlineStr">
        <is>
          <t>SÖDERMANLANDS LÄN</t>
        </is>
      </c>
      <c r="E477" t="inlineStr">
        <is>
          <t>ESKILSTUNA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33255-2024</t>
        </is>
      </c>
      <c r="B478" s="1" t="n">
        <v>45518</v>
      </c>
      <c r="C478" s="1" t="n">
        <v>46203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8273-2025</t>
        </is>
      </c>
      <c r="B479" s="1" t="n">
        <v>45708</v>
      </c>
      <c r="C479" s="1" t="n">
        <v>46203</v>
      </c>
      <c r="D479" t="inlineStr">
        <is>
          <t>SÖDERMANLANDS LÄN</t>
        </is>
      </c>
      <c r="E479" t="inlineStr">
        <is>
          <t>ESKILSTUNA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1344-2024</t>
        </is>
      </c>
      <c r="B480" s="1" t="n">
        <v>45303</v>
      </c>
      <c r="C480" s="1" t="n">
        <v>46203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1346-2024</t>
        </is>
      </c>
      <c r="B481" s="1" t="n">
        <v>45303</v>
      </c>
      <c r="C481" s="1" t="n">
        <v>46203</v>
      </c>
      <c r="D481" t="inlineStr">
        <is>
          <t>SÖDERMANLANDS LÄN</t>
        </is>
      </c>
      <c r="E481" t="inlineStr">
        <is>
          <t>ESKILSTUNA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53098-2022</t>
        </is>
      </c>
      <c r="B482" s="1" t="n">
        <v>44873</v>
      </c>
      <c r="C482" s="1" t="n">
        <v>46203</v>
      </c>
      <c r="D482" t="inlineStr">
        <is>
          <t>SÖDERMANLANDS LÄN</t>
        </is>
      </c>
      <c r="E482" t="inlineStr">
        <is>
          <t>ESKILSTUNA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6325-2023</t>
        </is>
      </c>
      <c r="B483" s="1" t="n">
        <v>44965</v>
      </c>
      <c r="C483" s="1" t="n">
        <v>46203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11705-2022</t>
        </is>
      </c>
      <c r="B484" s="1" t="n">
        <v>44634</v>
      </c>
      <c r="C484" s="1" t="n">
        <v>46203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48998-2023</t>
        </is>
      </c>
      <c r="B485" s="1" t="n">
        <v>45209</v>
      </c>
      <c r="C485" s="1" t="n">
        <v>46203</v>
      </c>
      <c r="D485" t="inlineStr">
        <is>
          <t>SÖDERMANLANDS LÄN</t>
        </is>
      </c>
      <c r="E485" t="inlineStr">
        <is>
          <t>ESKILSTUNA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45882-2022</t>
        </is>
      </c>
      <c r="B486" s="1" t="n">
        <v>44844</v>
      </c>
      <c r="C486" s="1" t="n">
        <v>46203</v>
      </c>
      <c r="D486" t="inlineStr">
        <is>
          <t>SÖDERMANLANDS LÄN</t>
        </is>
      </c>
      <c r="E486" t="inlineStr">
        <is>
          <t>ESKILSTUNA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45884-2022</t>
        </is>
      </c>
      <c r="B487" s="1" t="n">
        <v>44844</v>
      </c>
      <c r="C487" s="1" t="n">
        <v>46203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2341-2023</t>
        </is>
      </c>
      <c r="B488" s="1" t="n">
        <v>44942</v>
      </c>
      <c r="C488" s="1" t="n">
        <v>46203</v>
      </c>
      <c r="D488" t="inlineStr">
        <is>
          <t>SÖDERMANLANDS LÄN</t>
        </is>
      </c>
      <c r="E488" t="inlineStr">
        <is>
          <t>ESKILSTUNA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32708-2024</t>
        </is>
      </c>
      <c r="B489" s="1" t="n">
        <v>45514</v>
      </c>
      <c r="C489" s="1" t="n">
        <v>46203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20842-2023</t>
        </is>
      </c>
      <c r="B490" s="1" t="n">
        <v>45058</v>
      </c>
      <c r="C490" s="1" t="n">
        <v>46203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33585-2022</t>
        </is>
      </c>
      <c r="B491" s="1" t="n">
        <v>44789</v>
      </c>
      <c r="C491" s="1" t="n">
        <v>46203</v>
      </c>
      <c r="D491" t="inlineStr">
        <is>
          <t>SÖDERMANLANDS LÄN</t>
        </is>
      </c>
      <c r="E491" t="inlineStr">
        <is>
          <t>ESKILSTUNA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6598-2024</t>
        </is>
      </c>
      <c r="B492" s="1" t="n">
        <v>45341</v>
      </c>
      <c r="C492" s="1" t="n">
        <v>46203</v>
      </c>
      <c r="D492" t="inlineStr">
        <is>
          <t>SÖDERMANLANDS LÄN</t>
        </is>
      </c>
      <c r="E492" t="inlineStr">
        <is>
          <t>ESKILSTUNA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2026-06-30T00:55:05Z</dcterms:created>
  <dcterms:modified xmlns:dcterms="http://purl.org/dc/terms/" xmlns:xsi="http://www.w3.org/2001/XMLSchema-instance" xsi:type="dcterms:W3CDTF">2026-06-30T00:55:05Z</dcterms:modified>
</cp:coreProperties>
</file>