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46277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46277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46277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46277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46277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46277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46277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46277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46277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46277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46277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46277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46277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46277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46277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46277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32253-2026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46277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Svinrot
Tibast
Blåsippa</t>
        </is>
      </c>
      <c r="W25">
        <f>HYPERLINK("https://klasma.github.io/Logging_0484/artfynd/A 32253-2026 artfynd.xlsx", "A 32253-2026")</f>
        <v/>
      </c>
      <c r="X25">
        <f>HYPERLINK("https://klasma.github.io/Logging_0484/kartor/A 32253-2026 karta.png", "A 32253-2026")</f>
        <v/>
      </c>
      <c r="Y25">
        <f>HYPERLINK("https://klasma.github.io/Logging_0484/kartor_geotiff/A 32253-2026 georefererad karta.tif", "A 32253-2026")</f>
        <v/>
      </c>
      <c r="AA25">
        <f>HYPERLINK("https://klasma.github.io/Logging_0484/klagomål/A 32253-2026 FSC-klagomål.docx", "A 32253-2026")</f>
        <v/>
      </c>
      <c r="AB25">
        <f>HYPERLINK("https://klasma.github.io/Logging_0484/klagomålsmail/A 32253-2026 FSC-klagomål mail.docx", "A 32253-2026")</f>
        <v/>
      </c>
      <c r="AC25">
        <f>HYPERLINK("https://klasma.github.io/Logging_0484/tillsyn/A 32253-2026 tillsynsbegäran.docx", "A 32253-2026")</f>
        <v/>
      </c>
      <c r="AD25">
        <f>HYPERLINK("https://klasma.github.io/Logging_0484/tillsynsmail/A 32253-2026 tillsynsbegäran mail.docx", "A 32253-2026")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46277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46277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46277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46277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46277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46277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46277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59822-2025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46277</v>
      </c>
      <c r="F35" t="inlineStr">
        <is>
          <t>SÖDERMANLANDS LÄN</t>
        </is>
      </c>
      <c r="G35" t="inlineStr">
        <is>
          <t>ESKILSTUNA</t>
        </is>
      </c>
      <c r="I35" t="n">
        <v>8.5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Stubbspretmossa
Timmerticka</t>
        </is>
      </c>
      <c r="W35">
        <f>HYPERLINK("https://klasma.github.io/Logging_0484/artfynd/A 59822-2025 artfynd.xlsx", "A 59822-2025")</f>
        <v/>
      </c>
      <c r="X35">
        <f>HYPERLINK("https://klasma.github.io/Logging_0484/kartor/A 59822-2025 karta.png", "A 59822-2025")</f>
        <v/>
      </c>
      <c r="Y35">
        <f>HYPERLINK("https://klasma.github.io/Logging_0484/kartor_geotiff/A 59822-2025 georefererad karta.tif", "A 59822-2025")</f>
        <v/>
      </c>
      <c r="AA35">
        <f>HYPERLINK("https://klasma.github.io/Logging_0484/klagomål/A 59822-2025 FSC-klagomål.docx", "A 59822-2025")</f>
        <v/>
      </c>
      <c r="AB35">
        <f>HYPERLINK("https://klasma.github.io/Logging_0484/klagomålsmail/A 59822-2025 FSC-klagomål mail.docx", "A 59822-2025")</f>
        <v/>
      </c>
      <c r="AC35">
        <f>HYPERLINK("https://klasma.github.io/Logging_0484/tillsyn/A 59822-2025 tillsynsbegäran.docx", "A 59822-2025")</f>
        <v/>
      </c>
      <c r="AD35">
        <f>HYPERLINK("https://klasma.github.io/Logging_0484/tillsynsmail/A 59822-2025 tillsynsbegäran mail.docx", "A 59822-2025")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46277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46277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46277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46277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Krusfrö
Tibast</t>
        </is>
      </c>
      <c r="W39">
        <f>HYPERLINK("https://klasma.github.io/Logging_0484/artfynd/A 61105-2025 artfynd.xlsx", "A 61105-2025")</f>
        <v/>
      </c>
      <c r="X39">
        <f>HYPERLINK("https://klasma.github.io/Logging_0484/kartor/A 61105-2025 karta.png", "A 61105-2025")</f>
        <v/>
      </c>
      <c r="Y39">
        <f>HYPERLINK("https://klasma.github.io/Logging_0484/kartor_geotiff/A 61105-2025 georefererad karta.tif", "A 61105-2025")</f>
        <v/>
      </c>
      <c r="AA39">
        <f>HYPERLINK("https://klasma.github.io/Logging_0484/klagomål/A 61105-2025 FSC-klagomål.docx", "A 61105-2025")</f>
        <v/>
      </c>
      <c r="AB39">
        <f>HYPERLINK("https://klasma.github.io/Logging_0484/klagomålsmail/A 61105-2025 FSC-klagomål mail.docx", "A 61105-2025")</f>
        <v/>
      </c>
      <c r="AC39">
        <f>HYPERLINK("https://klasma.github.io/Logging_0484/tillsyn/A 61105-2025 tillsynsbegäran.docx", "A 61105-2025")</f>
        <v/>
      </c>
      <c r="AD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46277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46277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46277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46277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46277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46277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46277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46277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46277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46277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46277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46277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46277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46277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46277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46277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46277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46277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46277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46277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46277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46277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46277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8518-2026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46065</v>
      </c>
      <c r="E63" s="1" t="n">
        <v>46277</v>
      </c>
      <c r="F63" t="inlineStr">
        <is>
          <t>SÖDERMANLANDS LÄN</t>
        </is>
      </c>
      <c r="G63" t="inlineStr">
        <is>
          <t>ESKILSTUNA</t>
        </is>
      </c>
      <c r="I63" t="n">
        <v>8.9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HYPERLINK("https://klasma.github.io/Logging_0484/artfynd/A 8518-2026 artfynd.xlsx", "A 8518-2026")</f>
        <v/>
      </c>
      <c r="X63">
        <f>HYPERLINK("https://klasma.github.io/Logging_0484/kartor/A 8518-2026 karta.png", "A 8518-2026")</f>
        <v/>
      </c>
      <c r="Y63">
        <f>HYPERLINK("https://klasma.github.io/Logging_0484/kartor_geotiff/A 8518-2026 georefererad karta.tif", "A 8518-2026")</f>
        <v/>
      </c>
      <c r="AA63">
        <f>HYPERLINK("https://klasma.github.io/Logging_0484/klagomål/A 8518-2026 FSC-klagomål.docx", "A 8518-2026")</f>
        <v/>
      </c>
      <c r="AB63">
        <f>HYPERLINK("https://klasma.github.io/Logging_0484/klagomålsmail/A 8518-2026 FSC-klagomål mail.docx", "A 8518-2026")</f>
        <v/>
      </c>
      <c r="AC63">
        <f>HYPERLINK("https://klasma.github.io/Logging_0484/tillsyn/A 8518-2026 tillsynsbegäran.docx", "A 8518-2026")</f>
        <v/>
      </c>
      <c r="AD63">
        <f>HYPERLINK("https://klasma.github.io/Logging_0484/tillsynsmail/A 8518-2026 tillsynsbegäran mail.docx", "A 8518-2026")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46277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46277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46277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46277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15608-2026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46277</v>
      </c>
      <c r="F68" t="inlineStr">
        <is>
          <t>SÖDERMANLANDS LÄN</t>
        </is>
      </c>
      <c r="G68" t="inlineStr">
        <is>
          <t>ESKILSTUNA</t>
        </is>
      </c>
      <c r="I68" t="n">
        <v>9.6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15608-2026 artfynd.xlsx", "A 15608-2026")</f>
        <v/>
      </c>
      <c r="X68">
        <f>HYPERLINK("https://klasma.github.io/Logging_0484/kartor/A 15608-2026 karta.png", "A 15608-2026")</f>
        <v/>
      </c>
      <c r="Y68">
        <f>HYPERLINK("https://klasma.github.io/Logging_0484/kartor_geotiff/A 15608-2026 georefererad karta.tif", "A 15608-2026")</f>
        <v/>
      </c>
      <c r="AA68">
        <f>HYPERLINK("https://klasma.github.io/Logging_0484/klagomål/A 15608-2026 FSC-klagomål.docx", "A 15608-2026")</f>
        <v/>
      </c>
      <c r="AB68">
        <f>HYPERLINK("https://klasma.github.io/Logging_0484/klagomålsmail/A 15608-2026 FSC-klagomål mail.docx", "A 15608-2026")</f>
        <v/>
      </c>
      <c r="AC68">
        <f>HYPERLINK("https://klasma.github.io/Logging_0484/tillsyn/A 15608-2026 tillsynsbegäran.docx", "A 15608-2026")</f>
        <v/>
      </c>
      <c r="AD68">
        <f>HYPERLINK("https://klasma.github.io/Logging_0484/tillsynsmail/A 15608-2026 tillsynsbegäran mail.docx", "A 15608-2026")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46277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46277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46277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Gullviva</t>
        </is>
      </c>
      <c r="W71">
        <f>HYPERLINK("https://klasma.github.io/Logging_0484/artfynd/A 57349-2021 artfynd.xlsx", "A 57349-2021")</f>
        <v/>
      </c>
      <c r="X71">
        <f>HYPERLINK("https://klasma.github.io/Logging_0484/kartor/A 57349-2021 karta.png", "A 57349-2021")</f>
        <v/>
      </c>
      <c r="Y71">
        <f>HYPERLINK("https://klasma.github.io/Logging_0484/kartor_geotiff/A 57349-2021 georefererad karta.tif", "A 57349-2021")</f>
        <v/>
      </c>
      <c r="AA71">
        <f>HYPERLINK("https://klasma.github.io/Logging_0484/klagomål/A 57349-2021 FSC-klagomål.docx", "A 57349-2021")</f>
        <v/>
      </c>
      <c r="AB71">
        <f>HYPERLINK("https://klasma.github.io/Logging_0484/klagomålsmail/A 57349-2021 FSC-klagomål mail.docx", "A 57349-2021")</f>
        <v/>
      </c>
      <c r="AC71">
        <f>HYPERLINK("https://klasma.github.io/Logging_0484/tillsyn/A 57349-2021 tillsynsbegäran.docx", "A 57349-2021")</f>
        <v/>
      </c>
      <c r="AD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46277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46277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46277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46277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46277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46277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46277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46277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50760-2023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46277</v>
      </c>
      <c r="F80" t="inlineStr">
        <is>
          <t>SÖDERMANLANDS LÄN</t>
        </is>
      </c>
      <c r="G80" t="inlineStr">
        <is>
          <t>ESKILSTUNA</t>
        </is>
      </c>
      <c r="I80" t="n">
        <v>4.1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Pärluggla</t>
        </is>
      </c>
      <c r="W80">
        <f>HYPERLINK("https://klasma.github.io/Logging_0484/artfynd/A 50760-2023 artfynd.xlsx", "A 50760-2023")</f>
        <v/>
      </c>
      <c r="X80">
        <f>HYPERLINK("https://klasma.github.io/Logging_0484/kartor/A 50760-2023 karta.png", "A 50760-2023")</f>
        <v/>
      </c>
      <c r="Y80">
        <f>HYPERLINK("https://klasma.github.io/Logging_0484/kartor_geotiff/A 50760-2023 georefererad karta.tif", "A 50760-2023")</f>
        <v/>
      </c>
      <c r="AA80">
        <f>HYPERLINK("https://klasma.github.io/Logging_0484/klagomål/A 50760-2023 FSC-klagomål.docx", "A 50760-2023")</f>
        <v/>
      </c>
      <c r="AB80">
        <f>HYPERLINK("https://klasma.github.io/Logging_0484/klagomålsmail/A 50760-2023 FSC-klagomål mail.docx", "A 50760-2023")</f>
        <v/>
      </c>
      <c r="AC80">
        <f>HYPERLINK("https://klasma.github.io/Logging_0484/tillsyn/A 50760-2023 tillsynsbegäran.docx", "A 50760-2023")</f>
        <v/>
      </c>
      <c r="AD80">
        <f>HYPERLINK("https://klasma.github.io/Logging_0484/tillsynsmail/A 50760-2023 tillsynsbegäran mail.docx", "A 50760-2023")</f>
        <v/>
      </c>
      <c r="AE80">
        <f>HYPERLINK("https://klasma.github.io/Logging_0484/fåglar/A 50760-2023 prioriterade fågelarter.docx", "A 50760-2023")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46277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HYPERLINK("https://klasma.github.io/Logging_0484/artfynd/A 55087-2022 artfynd.xlsx", "A 55087-2022")</f>
        <v/>
      </c>
      <c r="X81">
        <f>HYPERLINK("https://klasma.github.io/Logging_0484/kartor/A 55087-2022 karta.png", "A 55087-2022")</f>
        <v/>
      </c>
      <c r="Y81">
        <f>HYPERLINK("https://klasma.github.io/Logging_0484/kartor_geotiff/A 55087-2022 georefererad karta.tif", "A 55087-2022")</f>
        <v/>
      </c>
      <c r="AA81">
        <f>HYPERLINK("https://klasma.github.io/Logging_0484/klagomål/A 55087-2022 FSC-klagomål.docx", "A 55087-2022")</f>
        <v/>
      </c>
      <c r="AB81">
        <f>HYPERLINK("https://klasma.github.io/Logging_0484/klagomålsmail/A 55087-2022 FSC-klagomål mail.docx", "A 55087-2022")</f>
        <v/>
      </c>
      <c r="AC81">
        <f>HYPERLINK("https://klasma.github.io/Logging_0484/tillsyn/A 55087-2022 tillsynsbegäran.docx", "A 55087-2022")</f>
        <v/>
      </c>
      <c r="AD81">
        <f>HYPERLINK("https://klasma.github.io/Logging_0484/tillsynsmail/A 55087-2022 tillsynsbegäran mail.docx", "A 55087-2022")</f>
        <v/>
      </c>
      <c r="AE81">
        <f>HYPERLINK("https://klasma.github.io/Logging_0484/fåglar/A 55087-2022 prioriterade fågelarter.docx", "A 55087-2022")</f>
        <v/>
      </c>
    </row>
    <row r="82" ht="15" customHeight="1">
      <c r="A82" t="inlineStr">
        <is>
          <t>A 71976-2021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46277</v>
      </c>
      <c r="F82" t="inlineStr">
        <is>
          <t>SÖDERMANLANDS LÄN</t>
        </is>
      </c>
      <c r="G82" t="inlineStr">
        <is>
          <t>ESKILSTUNA</t>
        </is>
      </c>
      <c r="I82" t="n">
        <v>19.6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Jungfrulin</t>
        </is>
      </c>
      <c r="W82">
        <f>HYPERLINK("https://klasma.github.io/Logging_0484/artfynd/A 71976-2021 artfynd.xlsx", "A 71976-2021")</f>
        <v/>
      </c>
      <c r="X82">
        <f>HYPERLINK("https://klasma.github.io/Logging_0484/kartor/A 71976-2021 karta.png", "A 71976-2021")</f>
        <v/>
      </c>
      <c r="Y82">
        <f>HYPERLINK("https://klasma.github.io/Logging_0484/kartor_geotiff/A 71976-2021 georefererad karta.tif", "A 71976-2021")</f>
        <v/>
      </c>
      <c r="AA82">
        <f>HYPERLINK("https://klasma.github.io/Logging_0484/klagomål/A 71976-2021 FSC-klagomål.docx", "A 71976-2021")</f>
        <v/>
      </c>
      <c r="AB82">
        <f>HYPERLINK("https://klasma.github.io/Logging_0484/klagomålsmail/A 71976-2021 FSC-klagomål mail.docx", "A 71976-2021")</f>
        <v/>
      </c>
      <c r="AC82">
        <f>HYPERLINK("https://klasma.github.io/Logging_0484/tillsyn/A 71976-2021 tillsynsbegäran.docx", "A 71976-2021")</f>
        <v/>
      </c>
      <c r="AD82">
        <f>HYPERLINK("https://klasma.github.io/Logging_0484/tillsynsmail/A 71976-2021 tillsynsbegäran mail.docx", "A 71976-2021")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46277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Nattviol</t>
        </is>
      </c>
      <c r="W83">
        <f>HYPERLINK("https://klasma.github.io/Logging_0484/artfynd/A 27892-2026 artfynd.xlsx", "A 27892-2026")</f>
        <v/>
      </c>
      <c r="X83">
        <f>HYPERLINK("https://klasma.github.io/Logging_0484/kartor/A 27892-2026 karta.png", "A 27892-2026")</f>
        <v/>
      </c>
      <c r="Y83">
        <f>HYPERLINK("https://klasma.github.io/Logging_0484/kartor_geotiff/A 27892-2026 georefererad karta.tif", "A 27892-2026")</f>
        <v/>
      </c>
      <c r="AA83">
        <f>HYPERLINK("https://klasma.github.io/Logging_0484/klagomål/A 27892-2026 FSC-klagomål.docx", "A 27892-2026")</f>
        <v/>
      </c>
      <c r="AB83">
        <f>HYPERLINK("https://klasma.github.io/Logging_0484/klagomålsmail/A 27892-2026 FSC-klagomål mail.docx", "A 27892-2026")</f>
        <v/>
      </c>
      <c r="AC83">
        <f>HYPERLINK("https://klasma.github.io/Logging_0484/tillsyn/A 27892-2026 tillsynsbegäran.docx", "A 27892-2026")</f>
        <v/>
      </c>
      <c r="AD83">
        <f>HYPERLINK("https://klasma.github.io/Logging_0484/tillsynsmail/A 27892-2026 tillsynsbegäran mail.docx", "A 27892-2026")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46277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46277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33004-2026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46277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Kommuner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33004-2026 artfynd.xlsx", "A 33004-2026")</f>
        <v/>
      </c>
      <c r="X86">
        <f>HYPERLINK("https://klasma.github.io/Logging_0484/kartor/A 33004-2026 karta.png", "A 33004-2026")</f>
        <v/>
      </c>
      <c r="Y86">
        <f>HYPERLINK("https://klasma.github.io/Logging_0484/kartor_geotiff/A 33004-2026 georefererad karta.tif", "A 33004-2026")</f>
        <v/>
      </c>
      <c r="AA86">
        <f>HYPERLINK("https://klasma.github.io/Logging_0484/klagomål/A 33004-2026 FSC-klagomål.docx", "A 33004-2026")</f>
        <v/>
      </c>
      <c r="AB86">
        <f>HYPERLINK("https://klasma.github.io/Logging_0484/klagomålsmail/A 33004-2026 FSC-klagomål mail.docx", "A 33004-2026")</f>
        <v/>
      </c>
      <c r="AC86">
        <f>HYPERLINK("https://klasma.github.io/Logging_0484/tillsyn/A 33004-2026 tillsynsbegäran.docx", "A 33004-2026")</f>
        <v/>
      </c>
      <c r="AD86">
        <f>HYPERLINK("https://klasma.github.io/Logging_0484/tillsynsmail/A 33004-2026 tillsynsbegäran mail.docx", "A 33004-2026")</f>
        <v/>
      </c>
    </row>
    <row r="87" ht="15" customHeight="1">
      <c r="A87" t="inlineStr">
        <is>
          <t>A 48676-2021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46277</v>
      </c>
      <c r="F87" t="inlineStr">
        <is>
          <t>SÖDERMANLANDS LÄN</t>
        </is>
      </c>
      <c r="G87" t="inlineStr">
        <is>
          <t>ESKILSTUNA</t>
        </is>
      </c>
      <c r="I87" t="n">
        <v>8.4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Bronshjon</t>
        </is>
      </c>
      <c r="W87">
        <f>HYPERLINK("https://klasma.github.io/Logging_0484/artfynd/A 48676-2021 artfynd.xlsx", "A 48676-2021")</f>
        <v/>
      </c>
      <c r="X87">
        <f>HYPERLINK("https://klasma.github.io/Logging_0484/kartor/A 48676-2021 karta.png", "A 48676-2021")</f>
        <v/>
      </c>
      <c r="Y87">
        <f>HYPERLINK("https://klasma.github.io/Logging_0484/kartor_geotiff/A 48676-2021 georefererad karta.tif", "A 48676-2021")</f>
        <v/>
      </c>
      <c r="AA87">
        <f>HYPERLINK("https://klasma.github.io/Logging_0484/klagomål/A 48676-2021 FSC-klagomål.docx", "A 48676-2021")</f>
        <v/>
      </c>
      <c r="AB87">
        <f>HYPERLINK("https://klasma.github.io/Logging_0484/klagomålsmail/A 48676-2021 FSC-klagomål mail.docx", "A 48676-2021")</f>
        <v/>
      </c>
      <c r="AC87">
        <f>HYPERLINK("https://klasma.github.io/Logging_0484/tillsyn/A 48676-2021 tillsynsbegäran.docx", "A 48676-2021")</f>
        <v/>
      </c>
      <c r="AD87">
        <f>HYPERLINK("https://klasma.github.io/Logging_0484/tillsynsmail/A 48676-2021 tillsynsbegäran mail.docx", "A 48676-2021")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46277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46277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29047-2026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46199</v>
      </c>
      <c r="E90" s="1" t="n">
        <v>46277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Kandelabersvamp</t>
        </is>
      </c>
      <c r="W90">
        <f>HYPERLINK("https://klasma.github.io/Logging_0484/artfynd/A 29047-2026 artfynd.xlsx", "A 29047-2026")</f>
        <v/>
      </c>
      <c r="X90">
        <f>HYPERLINK("https://klasma.github.io/Logging_0484/kartor/A 29047-2026 karta.png", "A 29047-2026")</f>
        <v/>
      </c>
      <c r="Y90">
        <f>HYPERLINK("https://klasma.github.io/Logging_0484/kartor_geotiff/A 29047-2026 georefererad karta.tif", "A 29047-2026")</f>
        <v/>
      </c>
      <c r="AA90">
        <f>HYPERLINK("https://klasma.github.io/Logging_0484/klagomål/A 29047-2026 FSC-klagomål.docx", "A 29047-2026")</f>
        <v/>
      </c>
      <c r="AB90">
        <f>HYPERLINK("https://klasma.github.io/Logging_0484/klagomålsmail/A 29047-2026 FSC-klagomål mail.docx", "A 29047-2026")</f>
        <v/>
      </c>
      <c r="AC90">
        <f>HYPERLINK("https://klasma.github.io/Logging_0484/tillsyn/A 29047-2026 tillsynsbegäran.docx", "A 29047-2026")</f>
        <v/>
      </c>
      <c r="AD90">
        <f>HYPERLINK("https://klasma.github.io/Logging_0484/tillsynsmail/A 29047-2026 tillsynsbegäran mail.docx", "A 29047-2026")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46277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46277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46277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46277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46277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46277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46277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46277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46277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46277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46277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46277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46277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46277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46277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46277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46277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46277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46277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46277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46277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46277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46277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46277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46277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46277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46277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46277</v>
      </c>
      <c r="F118" t="inlineStr">
        <is>
          <t>SÖDERMANLANDS LÄN</t>
        </is>
      </c>
      <c r="G118" t="inlineStr">
        <is>
          <t>ESKILSTUNA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46277</v>
      </c>
      <c r="F119" t="inlineStr">
        <is>
          <t>SÖDERMANLANDS LÄN</t>
        </is>
      </c>
      <c r="G119" t="inlineStr">
        <is>
          <t>ESKILSTUNA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53208-2021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46277</v>
      </c>
      <c r="F120" t="inlineStr">
        <is>
          <t>SÖDERMANLANDS LÄN</t>
        </is>
      </c>
      <c r="G120" t="inlineStr">
        <is>
          <t>ESKILSTUNA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46277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46277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46277</v>
      </c>
      <c r="F123" t="inlineStr">
        <is>
          <t>SÖDERMANLANDS LÄN</t>
        </is>
      </c>
      <c r="G123" t="inlineStr">
        <is>
          <t>ESKILSTUNA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46277</v>
      </c>
      <c r="F124" t="inlineStr">
        <is>
          <t>SÖDERMANLANDS LÄN</t>
        </is>
      </c>
      <c r="G124" t="inlineStr">
        <is>
          <t>ESKILSTUNA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46277</v>
      </c>
      <c r="F125" t="inlineStr">
        <is>
          <t>SÖDERMANLANDS LÄN</t>
        </is>
      </c>
      <c r="G125" t="inlineStr">
        <is>
          <t>ESKILSTUNA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44628</v>
      </c>
      <c r="E126" s="1" t="n">
        <v>46277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46277</v>
      </c>
      <c r="F127" t="inlineStr">
        <is>
          <t>SÖDERMANLANDS LÄN</t>
        </is>
      </c>
      <c r="G127" t="inlineStr">
        <is>
          <t>ESKILSTUNA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70490-2021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46277</v>
      </c>
      <c r="F128" t="inlineStr">
        <is>
          <t>SÖDERMANLANDS LÄN</t>
        </is>
      </c>
      <c r="G128" t="inlineStr">
        <is>
          <t>ESKILSTUNA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46277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44804</v>
      </c>
      <c r="E130" s="1" t="n">
        <v>46277</v>
      </c>
      <c r="F130" t="inlineStr">
        <is>
          <t>SÖDERMANLANDS LÄN</t>
        </is>
      </c>
      <c r="G130" t="inlineStr">
        <is>
          <t>ESKILSTUNA</t>
        </is>
      </c>
      <c r="I130" t="n">
        <v>9.9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46277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46277</v>
      </c>
      <c r="F132" t="inlineStr">
        <is>
          <t>SÖDERMANLANDS LÄN</t>
        </is>
      </c>
      <c r="G132" t="inlineStr">
        <is>
          <t>ESKILSTUNA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46277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46277</v>
      </c>
      <c r="F134" t="inlineStr">
        <is>
          <t>SÖDERMANLANDS LÄN</t>
        </is>
      </c>
      <c r="G134" t="inlineStr">
        <is>
          <t>ESKILSTUNA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44699</v>
      </c>
      <c r="E135" s="1" t="n">
        <v>46277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Naturvårdsverket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65406-2021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46277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Kyrkan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73480-2021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46277</v>
      </c>
      <c r="F137" t="inlineStr">
        <is>
          <t>SÖDERMANLANDS LÄN</t>
        </is>
      </c>
      <c r="G137" t="inlineStr">
        <is>
          <t>ESKILSTUNA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46277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46277</v>
      </c>
      <c r="F139" t="inlineStr">
        <is>
          <t>SÖDERMANLANDS LÄN</t>
        </is>
      </c>
      <c r="G139" t="inlineStr">
        <is>
          <t>ESKILSTUNA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44789</v>
      </c>
      <c r="E140" s="1" t="n">
        <v>46277</v>
      </c>
      <c r="F140" t="inlineStr">
        <is>
          <t>SÖDERMANLANDS LÄN</t>
        </is>
      </c>
      <c r="G140" t="inlineStr">
        <is>
          <t>ESKILSTUNA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46277</v>
      </c>
      <c r="F141" t="inlineStr">
        <is>
          <t>SÖDERMANLANDS LÄN</t>
        </is>
      </c>
      <c r="G141" t="inlineStr">
        <is>
          <t>ESKILSTUNA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46277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46277</v>
      </c>
      <c r="F143" t="inlineStr">
        <is>
          <t>SÖDERMANLANDS LÄN</t>
        </is>
      </c>
      <c r="G143" t="inlineStr">
        <is>
          <t>ESKILSTUNA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46277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44654</v>
      </c>
      <c r="E145" s="1" t="n">
        <v>46277</v>
      </c>
      <c r="F145" t="inlineStr">
        <is>
          <t>SÖDERMANLANDS LÄN</t>
        </is>
      </c>
      <c r="G145" t="inlineStr">
        <is>
          <t>ESKILSTUNA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44490</v>
      </c>
      <c r="E146" s="1" t="n">
        <v>46277</v>
      </c>
      <c r="F146" t="inlineStr">
        <is>
          <t>SÖDERMANLANDS LÄN</t>
        </is>
      </c>
      <c r="G146" t="inlineStr">
        <is>
          <t>ESKILSTUNA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46277</v>
      </c>
      <c r="F147" t="inlineStr">
        <is>
          <t>SÖDERMANLANDS LÄN</t>
        </is>
      </c>
      <c r="G147" t="inlineStr">
        <is>
          <t>ESKILSTUNA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44578</v>
      </c>
      <c r="E148" s="1" t="n">
        <v>46277</v>
      </c>
      <c r="F148" t="inlineStr">
        <is>
          <t>SÖDERMANLANDS LÄN</t>
        </is>
      </c>
      <c r="G148" t="inlineStr">
        <is>
          <t>ESKILSTUNA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46277</v>
      </c>
      <c r="F149" t="inlineStr">
        <is>
          <t>SÖDERMANLANDS LÄN</t>
        </is>
      </c>
      <c r="G149" t="inlineStr">
        <is>
          <t>ESKILSTUNA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44643</v>
      </c>
      <c r="E150" s="1" t="n">
        <v>46277</v>
      </c>
      <c r="F150" t="inlineStr">
        <is>
          <t>SÖDERMANLANDS LÄN</t>
        </is>
      </c>
      <c r="G150" t="inlineStr">
        <is>
          <t>ESKILSTUNA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46277</v>
      </c>
      <c r="F151" t="inlineStr">
        <is>
          <t>SÖDERMANLANDS LÄN</t>
        </is>
      </c>
      <c r="G151" t="inlineStr">
        <is>
          <t>ESKILSTUNA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44636</v>
      </c>
      <c r="E152" s="1" t="n">
        <v>46277</v>
      </c>
      <c r="F152" t="inlineStr">
        <is>
          <t>SÖDERMANLANDS LÄN</t>
        </is>
      </c>
      <c r="G152" t="inlineStr">
        <is>
          <t>ESKILSTUNA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44782</v>
      </c>
      <c r="E153" s="1" t="n">
        <v>46277</v>
      </c>
      <c r="F153" t="inlineStr">
        <is>
          <t>SÖDERMANLANDS LÄN</t>
        </is>
      </c>
      <c r="G153" t="inlineStr">
        <is>
          <t>ESKILSTUNA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46277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70191-2021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44533</v>
      </c>
      <c r="E155" s="1" t="n">
        <v>46277</v>
      </c>
      <c r="F155" t="inlineStr">
        <is>
          <t>SÖDERMANLANDS LÄN</t>
        </is>
      </c>
      <c r="G155" t="inlineStr">
        <is>
          <t>ESKILSTUNA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46277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46277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46277</v>
      </c>
      <c r="F158" t="inlineStr">
        <is>
          <t>SÖDERMANLANDS LÄN</t>
        </is>
      </c>
      <c r="G158" t="inlineStr">
        <is>
          <t>ESKILSTUNA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46277</v>
      </c>
      <c r="F159" t="inlineStr">
        <is>
          <t>SÖDERMANLANDS LÄN</t>
        </is>
      </c>
      <c r="G159" t="inlineStr">
        <is>
          <t>ESKILSTUNA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46277</v>
      </c>
      <c r="F160" t="inlineStr">
        <is>
          <t>SÖDERMANLANDS LÄN</t>
        </is>
      </c>
      <c r="G160" t="inlineStr">
        <is>
          <t>ESKILSTUNA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45429</v>
      </c>
      <c r="E161" s="1" t="n">
        <v>46277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46277</v>
      </c>
      <c r="F162" t="inlineStr">
        <is>
          <t>SÖDERMANLANDS LÄN</t>
        </is>
      </c>
      <c r="G162" t="inlineStr">
        <is>
          <t>ESKILSTUNA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46277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45245</v>
      </c>
      <c r="E164" s="1" t="n">
        <v>46277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46277</v>
      </c>
      <c r="F165" t="inlineStr">
        <is>
          <t>SÖDERMANLANDS LÄN</t>
        </is>
      </c>
      <c r="G165" t="inlineStr">
        <is>
          <t>ESKILSTUNA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44799</v>
      </c>
      <c r="E166" s="1" t="n">
        <v>46277</v>
      </c>
      <c r="F166" t="inlineStr">
        <is>
          <t>SÖDERMANLANDS LÄN</t>
        </is>
      </c>
      <c r="G166" t="inlineStr">
        <is>
          <t>ESKILSTUNA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46277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46277</v>
      </c>
      <c r="F168" t="inlineStr">
        <is>
          <t>SÖDERMANLANDS LÄN</t>
        </is>
      </c>
      <c r="G168" t="inlineStr">
        <is>
          <t>ESKILSTUNA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46277</v>
      </c>
      <c r="F169" t="inlineStr">
        <is>
          <t>SÖDERMANLANDS LÄN</t>
        </is>
      </c>
      <c r="G169" t="inlineStr">
        <is>
          <t>ESKILSTUNA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46277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46277</v>
      </c>
      <c r="F171" t="inlineStr">
        <is>
          <t>SÖDERMANLANDS LÄN</t>
        </is>
      </c>
      <c r="G171" t="inlineStr">
        <is>
          <t>ESKILSTUNA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46277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46277</v>
      </c>
      <c r="F173" t="inlineStr">
        <is>
          <t>SÖDERMANLANDS LÄN</t>
        </is>
      </c>
      <c r="G173" t="inlineStr">
        <is>
          <t>ESKILSTUNA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45464</v>
      </c>
      <c r="E174" s="1" t="n">
        <v>46277</v>
      </c>
      <c r="F174" t="inlineStr">
        <is>
          <t>SÖDERMANLANDS LÄN</t>
        </is>
      </c>
      <c r="G174" t="inlineStr">
        <is>
          <t>ESKILSTUNA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44979</v>
      </c>
      <c r="E175" s="1" t="n">
        <v>46277</v>
      </c>
      <c r="F175" t="inlineStr">
        <is>
          <t>SÖDERMANLANDS LÄN</t>
        </is>
      </c>
      <c r="G175" t="inlineStr">
        <is>
          <t>ESKILSTUNA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46277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46277</v>
      </c>
      <c r="F177" t="inlineStr">
        <is>
          <t>SÖDERMANLANDS LÄN</t>
        </is>
      </c>
      <c r="G177" t="inlineStr">
        <is>
          <t>ESKILSTUNA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65349-2021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44515</v>
      </c>
      <c r="E178" s="1" t="n">
        <v>46277</v>
      </c>
      <c r="F178" t="inlineStr">
        <is>
          <t>SÖDERMANLANDS LÄN</t>
        </is>
      </c>
      <c r="G178" t="inlineStr">
        <is>
          <t>ESKILSTUNA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46277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Kommuner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45604</v>
      </c>
      <c r="E180" s="1" t="n">
        <v>46277</v>
      </c>
      <c r="F180" t="inlineStr">
        <is>
          <t>SÖDERMANLANDS LÄN</t>
        </is>
      </c>
      <c r="G180" t="inlineStr">
        <is>
          <t>ESKILSTUNA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46277</v>
      </c>
      <c r="F181" t="inlineStr">
        <is>
          <t>SÖDERMANLANDS LÄN</t>
        </is>
      </c>
      <c r="G181" t="inlineStr">
        <is>
          <t>ESKILSTUNA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46277</v>
      </c>
      <c r="F182" t="inlineStr">
        <is>
          <t>SÖDERMANLANDS LÄN</t>
        </is>
      </c>
      <c r="G182" t="inlineStr">
        <is>
          <t>ESKILSTUNA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46277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44837</v>
      </c>
      <c r="E184" s="1" t="n">
        <v>46277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44634</v>
      </c>
      <c r="E185" s="1" t="n">
        <v>46277</v>
      </c>
      <c r="F185" t="inlineStr">
        <is>
          <t>SÖDERMANLANDS LÄN</t>
        </is>
      </c>
      <c r="G185" t="inlineStr">
        <is>
          <t>ESKILSTUNA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44918</v>
      </c>
      <c r="E186" s="1" t="n">
        <v>46277</v>
      </c>
      <c r="F186" t="inlineStr">
        <is>
          <t>SÖDERMANLANDS LÄN</t>
        </is>
      </c>
      <c r="G186" t="inlineStr">
        <is>
          <t>ESKILSTUNA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46277</v>
      </c>
      <c r="F187" t="inlineStr">
        <is>
          <t>SÖDERMANLANDS LÄN</t>
        </is>
      </c>
      <c r="G187" t="inlineStr">
        <is>
          <t>ESKILSTUNA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46277</v>
      </c>
      <c r="F188" t="inlineStr">
        <is>
          <t>SÖDERMANLANDS LÄN</t>
        </is>
      </c>
      <c r="G188" t="inlineStr">
        <is>
          <t>ESKILSTUNA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46277</v>
      </c>
      <c r="F189" t="inlineStr">
        <is>
          <t>SÖDERMANLANDS LÄN</t>
        </is>
      </c>
      <c r="G189" t="inlineStr">
        <is>
          <t>ESKILSTUNA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46277</v>
      </c>
      <c r="F190" t="inlineStr">
        <is>
          <t>SÖDERMANLANDS LÄN</t>
        </is>
      </c>
      <c r="G190" t="inlineStr">
        <is>
          <t>ESKILSTUNA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46277</v>
      </c>
      <c r="F191" t="inlineStr">
        <is>
          <t>SÖDERMANLANDS LÄN</t>
        </is>
      </c>
      <c r="G191" t="inlineStr">
        <is>
          <t>ESKILSTUNA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46277</v>
      </c>
      <c r="F192" t="inlineStr">
        <is>
          <t>SÖDERMANLANDS LÄN</t>
        </is>
      </c>
      <c r="G192" t="inlineStr">
        <is>
          <t>ESKILSTUNA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46277</v>
      </c>
      <c r="F193" t="inlineStr">
        <is>
          <t>SÖDERMANLANDS LÄN</t>
        </is>
      </c>
      <c r="G193" t="inlineStr">
        <is>
          <t>ESKILSTUNA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44616</v>
      </c>
      <c r="E194" s="1" t="n">
        <v>46277</v>
      </c>
      <c r="F194" t="inlineStr">
        <is>
          <t>SÖDERMANLANDS LÄN</t>
        </is>
      </c>
      <c r="G194" t="inlineStr">
        <is>
          <t>ESKILSTUNA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44889</v>
      </c>
      <c r="E195" s="1" t="n">
        <v>46277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30096-2025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45826</v>
      </c>
      <c r="E196" s="1" t="n">
        <v>46277</v>
      </c>
      <c r="F196" t="inlineStr">
        <is>
          <t>SÖDERMANLANDS LÄN</t>
        </is>
      </c>
      <c r="G196" t="inlineStr">
        <is>
          <t>ESKILSTUNA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46277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46277</v>
      </c>
      <c r="F198" t="inlineStr">
        <is>
          <t>SÖDERMANLANDS LÄN</t>
        </is>
      </c>
      <c r="G198" t="inlineStr">
        <is>
          <t>ESKILSTUNA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46277</v>
      </c>
      <c r="F199" t="inlineStr">
        <is>
          <t>SÖDERMANLANDS LÄN</t>
        </is>
      </c>
      <c r="G199" t="inlineStr">
        <is>
          <t>ESKILSTUNA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44617</v>
      </c>
      <c r="E200" s="1" t="n">
        <v>46277</v>
      </c>
      <c r="F200" t="inlineStr">
        <is>
          <t>SÖDERMANLANDS LÄN</t>
        </is>
      </c>
      <c r="G200" t="inlineStr">
        <is>
          <t>ESKILSTUNA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12547-2022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44638</v>
      </c>
      <c r="E201" s="1" t="n">
        <v>46277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46277</v>
      </c>
      <c r="F202" t="inlineStr">
        <is>
          <t>SÖDERMANLANDS LÄN</t>
        </is>
      </c>
      <c r="G202" t="inlineStr">
        <is>
          <t>ESKILSTUNA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44626</v>
      </c>
      <c r="E203" s="1" t="n">
        <v>46277</v>
      </c>
      <c r="F203" t="inlineStr">
        <is>
          <t>SÖDERMANLANDS LÄN</t>
        </is>
      </c>
      <c r="G203" t="inlineStr">
        <is>
          <t>ESKILSTUNA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61367-2021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44499</v>
      </c>
      <c r="E204" s="1" t="n">
        <v>46277</v>
      </c>
      <c r="F204" t="inlineStr">
        <is>
          <t>SÖDERMANLANDS LÄN</t>
        </is>
      </c>
      <c r="G204" t="inlineStr">
        <is>
          <t>ESKILSTUNA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46277</v>
      </c>
      <c r="F205" t="inlineStr">
        <is>
          <t>SÖDERMANLANDS LÄN</t>
        </is>
      </c>
      <c r="G205" t="inlineStr">
        <is>
          <t>ESKILSTUNA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46277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46277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46277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45363</v>
      </c>
      <c r="E209" s="1" t="n">
        <v>46277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46277</v>
      </c>
      <c r="F210" t="inlineStr">
        <is>
          <t>SÖDERMANLANDS LÄN</t>
        </is>
      </c>
      <c r="G210" t="inlineStr">
        <is>
          <t>ESKILSTUNA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61829-2023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45266</v>
      </c>
      <c r="E211" s="1" t="n">
        <v>46277</v>
      </c>
      <c r="F211" t="inlineStr">
        <is>
          <t>SÖDERMANLANDS LÄN</t>
        </is>
      </c>
      <c r="G211" t="inlineStr">
        <is>
          <t>ESKILSTUNA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46277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46277</v>
      </c>
      <c r="F213" t="inlineStr">
        <is>
          <t>SÖDERMANLANDS LÄN</t>
        </is>
      </c>
      <c r="G213" t="inlineStr">
        <is>
          <t>ESKILSTUNA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45694</v>
      </c>
      <c r="E214" s="1" t="n">
        <v>46277</v>
      </c>
      <c r="F214" t="inlineStr">
        <is>
          <t>SÖDERMANLANDS LÄN</t>
        </is>
      </c>
      <c r="G214" t="inlineStr">
        <is>
          <t>ESKILSTUNA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46277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Kyrkan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46277</v>
      </c>
      <c r="F216" t="inlineStr">
        <is>
          <t>SÖDERMANLANDS LÄN</t>
        </is>
      </c>
      <c r="G216" t="inlineStr">
        <is>
          <t>ESKILSTUNA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46277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46277</v>
      </c>
      <c r="F218" t="inlineStr">
        <is>
          <t>SÖDERMANLANDS LÄN</t>
        </is>
      </c>
      <c r="G218" t="inlineStr">
        <is>
          <t>ESKILSTUNA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46277</v>
      </c>
      <c r="F219" t="inlineStr">
        <is>
          <t>SÖDERMANLANDS LÄN</t>
        </is>
      </c>
      <c r="G219" t="inlineStr">
        <is>
          <t>ESKILSTUNA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46277</v>
      </c>
      <c r="F220" t="inlineStr">
        <is>
          <t>SÖDERMANLANDS LÄN</t>
        </is>
      </c>
      <c r="G220" t="inlineStr">
        <is>
          <t>ESKILSTUNA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44698</v>
      </c>
      <c r="E221" s="1" t="n">
        <v>46277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44998</v>
      </c>
      <c r="E222" s="1" t="n">
        <v>46277</v>
      </c>
      <c r="F222" t="inlineStr">
        <is>
          <t>SÖDERMANLANDS LÄN</t>
        </is>
      </c>
      <c r="G222" t="inlineStr">
        <is>
          <t>ESKILSTUNA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44946</v>
      </c>
      <c r="E223" s="1" t="n">
        <v>46277</v>
      </c>
      <c r="F223" t="inlineStr">
        <is>
          <t>SÖDERMANLANDS LÄN</t>
        </is>
      </c>
      <c r="G223" t="inlineStr">
        <is>
          <t>ESKILSTUNA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44946</v>
      </c>
      <c r="E224" s="1" t="n">
        <v>46277</v>
      </c>
      <c r="F224" t="inlineStr">
        <is>
          <t>SÖDERMANLANDS LÄN</t>
        </is>
      </c>
      <c r="G224" t="inlineStr">
        <is>
          <t>ESKILSTUNA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46277</v>
      </c>
      <c r="F225" t="inlineStr">
        <is>
          <t>SÖDERMANLANDS LÄN</t>
        </is>
      </c>
      <c r="G225" t="inlineStr">
        <is>
          <t>ESKILSTUNA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46277</v>
      </c>
      <c r="F226" t="inlineStr">
        <is>
          <t>SÖDERMANLANDS LÄN</t>
        </is>
      </c>
      <c r="G226" t="inlineStr">
        <is>
          <t>ESKILSTUNA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46277</v>
      </c>
      <c r="F227" t="inlineStr">
        <is>
          <t>SÖDERMANLANDS LÄN</t>
        </is>
      </c>
      <c r="G227" t="inlineStr">
        <is>
          <t>ESKILSTUNA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46277</v>
      </c>
      <c r="F228" t="inlineStr">
        <is>
          <t>SÖDERMANLANDS LÄN</t>
        </is>
      </c>
      <c r="G228" t="inlineStr">
        <is>
          <t>ESKILSTUNA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46277</v>
      </c>
      <c r="F229" t="inlineStr">
        <is>
          <t>SÖDERMANLANDS LÄN</t>
        </is>
      </c>
      <c r="G229" t="inlineStr">
        <is>
          <t>ESKILSTUNA</t>
        </is>
      </c>
      <c r="I229" t="n">
        <v>16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46277</v>
      </c>
      <c r="F230" t="inlineStr">
        <is>
          <t>SÖDERMANLANDS LÄN</t>
        </is>
      </c>
      <c r="G230" t="inlineStr">
        <is>
          <t>ESKILSTUNA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46277</v>
      </c>
      <c r="F231" t="inlineStr">
        <is>
          <t>SÖDERMANLANDS LÄN</t>
        </is>
      </c>
      <c r="G231" t="inlineStr">
        <is>
          <t>ESKILSTUNA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44946</v>
      </c>
      <c r="E232" s="1" t="n">
        <v>46277</v>
      </c>
      <c r="F232" t="inlineStr">
        <is>
          <t>SÖDERMANLANDS LÄN</t>
        </is>
      </c>
      <c r="G232" t="inlineStr">
        <is>
          <t>ESKILSTUNA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46277</v>
      </c>
      <c r="F233" t="inlineStr">
        <is>
          <t>SÖDERMANLANDS LÄN</t>
        </is>
      </c>
      <c r="G233" t="inlineStr">
        <is>
          <t>ESKILSTUNA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44983</v>
      </c>
      <c r="E234" s="1" t="n">
        <v>46277</v>
      </c>
      <c r="F234" t="inlineStr">
        <is>
          <t>SÖDERMANLANDS LÄN</t>
        </is>
      </c>
      <c r="G234" t="inlineStr">
        <is>
          <t>ESKILSTUNA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46277</v>
      </c>
      <c r="F235" t="inlineStr">
        <is>
          <t>SÖDERMANLANDS LÄN</t>
        </is>
      </c>
      <c r="G235" t="inlineStr">
        <is>
          <t>ESKILSTUNA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46277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45005</v>
      </c>
      <c r="E237" s="1" t="n">
        <v>46277</v>
      </c>
      <c r="F237" t="inlineStr">
        <is>
          <t>SÖDERMANLANDS LÄN</t>
        </is>
      </c>
      <c r="G237" t="inlineStr">
        <is>
          <t>ESKILSTUNA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46277</v>
      </c>
      <c r="F238" t="inlineStr">
        <is>
          <t>SÖDERMANLANDS LÄN</t>
        </is>
      </c>
      <c r="G238" t="inlineStr">
        <is>
          <t>ESKILSTUNA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59276-2021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46277</v>
      </c>
      <c r="F239" t="inlineStr">
        <is>
          <t>SÖDERMANLANDS LÄN</t>
        </is>
      </c>
      <c r="G239" t="inlineStr">
        <is>
          <t>ESKILSTUNA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46277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44741</v>
      </c>
      <c r="E241" s="1" t="n">
        <v>46277</v>
      </c>
      <c r="F241" t="inlineStr">
        <is>
          <t>SÖDERMANLANDS LÄN</t>
        </is>
      </c>
      <c r="G241" t="inlineStr">
        <is>
          <t>ESKILSTUNA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61367-2021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44499</v>
      </c>
      <c r="E242" s="1" t="n">
        <v>46277</v>
      </c>
      <c r="F242" t="inlineStr">
        <is>
          <t>SÖDERMANLANDS LÄN</t>
        </is>
      </c>
      <c r="G242" t="inlineStr">
        <is>
          <t>ESKILSTUNA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65595-2021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46277</v>
      </c>
      <c r="F243" t="inlineStr">
        <is>
          <t>SÖDERMANLANDS LÄN</t>
        </is>
      </c>
      <c r="G243" t="inlineStr">
        <is>
          <t>ESKILSTUNA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46277</v>
      </c>
      <c r="F244" t="inlineStr">
        <is>
          <t>SÖDERMANLANDS LÄN</t>
        </is>
      </c>
      <c r="G244" t="inlineStr">
        <is>
          <t>ESKILSTUNA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46277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Allmännings- och besparingsskogar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46277</v>
      </c>
      <c r="F246" t="inlineStr">
        <is>
          <t>SÖDERMANLANDS LÄN</t>
        </is>
      </c>
      <c r="G246" t="inlineStr">
        <is>
          <t>ESKILSTUNA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46277</v>
      </c>
      <c r="F247" t="inlineStr">
        <is>
          <t>SÖDERMANLANDS LÄN</t>
        </is>
      </c>
      <c r="G247" t="inlineStr">
        <is>
          <t>ESKILSTUNA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38895-2023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45163</v>
      </c>
      <c r="E248" s="1" t="n">
        <v>46277</v>
      </c>
      <c r="F248" t="inlineStr">
        <is>
          <t>SÖDERMANLANDS LÄN</t>
        </is>
      </c>
      <c r="G248" t="inlineStr">
        <is>
          <t>ESKILSTUNA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46277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Allmännings- och besparingsskogar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46277</v>
      </c>
      <c r="F250" t="inlineStr">
        <is>
          <t>SÖDERMANLANDS LÄN</t>
        </is>
      </c>
      <c r="G250" t="inlineStr">
        <is>
          <t>ESKILSTUNA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44832</v>
      </c>
      <c r="E251" s="1" t="n">
        <v>46277</v>
      </c>
      <c r="F251" t="inlineStr">
        <is>
          <t>SÖDERMANLANDS LÄN</t>
        </is>
      </c>
      <c r="G251" t="inlineStr">
        <is>
          <t>ESKILSTUNA</t>
        </is>
      </c>
      <c r="I251" t="n">
        <v>19.9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46277</v>
      </c>
      <c r="F252" t="inlineStr">
        <is>
          <t>SÖDERMANLANDS LÄN</t>
        </is>
      </c>
      <c r="G252" t="inlineStr">
        <is>
          <t>ESKILSTUNA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46277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57061-2021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44482</v>
      </c>
      <c r="E254" s="1" t="n">
        <v>46277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46277</v>
      </c>
      <c r="F255" t="inlineStr">
        <is>
          <t>SÖDERMANLANDS LÄN</t>
        </is>
      </c>
      <c r="G255" t="inlineStr">
        <is>
          <t>ESKILSTUNA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46277</v>
      </c>
      <c r="F256" t="inlineStr">
        <is>
          <t>SÖDERMANLANDS LÄN</t>
        </is>
      </c>
      <c r="G256" t="inlineStr">
        <is>
          <t>ESKILSTUNA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46277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46277</v>
      </c>
      <c r="F258" t="inlineStr">
        <is>
          <t>SÖDERMANLANDS LÄN</t>
        </is>
      </c>
      <c r="G258" t="inlineStr">
        <is>
          <t>ESKILSTUNA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44886</v>
      </c>
      <c r="E259" s="1" t="n">
        <v>46277</v>
      </c>
      <c r="F259" t="inlineStr">
        <is>
          <t>SÖDERMANLANDS LÄN</t>
        </is>
      </c>
      <c r="G259" t="inlineStr">
        <is>
          <t>ESKILSTUNA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46277</v>
      </c>
      <c r="F260" t="inlineStr">
        <is>
          <t>SÖDERMANLANDS LÄN</t>
        </is>
      </c>
      <c r="G260" t="inlineStr">
        <is>
          <t>ESKILSTUNA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68022-2021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46277</v>
      </c>
      <c r="F261" t="inlineStr">
        <is>
          <t>SÖDERMANLANDS LÄN</t>
        </is>
      </c>
      <c r="G261" t="inlineStr">
        <is>
          <t>ESKILSTUNA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46277</v>
      </c>
      <c r="F262" t="inlineStr">
        <is>
          <t>SÖDERMANLANDS LÄN</t>
        </is>
      </c>
      <c r="G262" t="inlineStr">
        <is>
          <t>ESKILSTUNA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54598-2021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44473</v>
      </c>
      <c r="E263" s="1" t="n">
        <v>46277</v>
      </c>
      <c r="F263" t="inlineStr">
        <is>
          <t>SÖDERMANLANDS LÄN</t>
        </is>
      </c>
      <c r="G263" t="inlineStr">
        <is>
          <t>ESKILSTUNA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46277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46277</v>
      </c>
      <c r="F265" t="inlineStr">
        <is>
          <t>SÖDERMANLANDS LÄN</t>
        </is>
      </c>
      <c r="G265" t="inlineStr">
        <is>
          <t>ESKILSTUNA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44671</v>
      </c>
      <c r="E266" s="1" t="n">
        <v>46277</v>
      </c>
      <c r="F266" t="inlineStr">
        <is>
          <t>SÖDERMANLANDS LÄN</t>
        </is>
      </c>
      <c r="G266" t="inlineStr">
        <is>
          <t>ESKILSTUNA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46277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46277</v>
      </c>
      <c r="F268" t="inlineStr">
        <is>
          <t>SÖDERMANLANDS LÄN</t>
        </is>
      </c>
      <c r="G268" t="inlineStr">
        <is>
          <t>ESKILSTUNA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18105-2026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46125</v>
      </c>
      <c r="E269" s="1" t="n">
        <v>46277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52830-2021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46277</v>
      </c>
      <c r="F270" t="inlineStr">
        <is>
          <t>SÖDERMANLANDS LÄN</t>
        </is>
      </c>
      <c r="G270" t="inlineStr">
        <is>
          <t>ESKILSTUNA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46277</v>
      </c>
      <c r="F271" t="inlineStr">
        <is>
          <t>SÖDERMANLANDS LÄN</t>
        </is>
      </c>
      <c r="G271" t="inlineStr">
        <is>
          <t>ESKILSTUNA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46277</v>
      </c>
      <c r="F272" t="inlineStr">
        <is>
          <t>SÖDERMANLANDS LÄN</t>
        </is>
      </c>
      <c r="G272" t="inlineStr">
        <is>
          <t>ESKILSTUNA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46277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46277</v>
      </c>
      <c r="F274" t="inlineStr">
        <is>
          <t>SÖDERMANLANDS LÄN</t>
        </is>
      </c>
      <c r="G274" t="inlineStr">
        <is>
          <t>ESKILSTUNA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46277</v>
      </c>
      <c r="F275" t="inlineStr">
        <is>
          <t>SÖDERMANLANDS LÄN</t>
        </is>
      </c>
      <c r="G275" t="inlineStr">
        <is>
          <t>ESKILSTUNA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45587</v>
      </c>
      <c r="E276" s="1" t="n">
        <v>46277</v>
      </c>
      <c r="F276" t="inlineStr">
        <is>
          <t>SÖDERMANLANDS LÄN</t>
        </is>
      </c>
      <c r="G276" t="inlineStr">
        <is>
          <t>ESKILSTUNA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65614-2021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44516</v>
      </c>
      <c r="E277" s="1" t="n">
        <v>46277</v>
      </c>
      <c r="F277" t="inlineStr">
        <is>
          <t>SÖDERMANLANDS LÄN</t>
        </is>
      </c>
      <c r="G277" t="inlineStr">
        <is>
          <t>ESKILSTUNA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44916</v>
      </c>
      <c r="E278" s="1" t="n">
        <v>46277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44888</v>
      </c>
      <c r="E279" s="1" t="n">
        <v>46277</v>
      </c>
      <c r="F279" t="inlineStr">
        <is>
          <t>SÖDERMANLANDS LÄN</t>
        </is>
      </c>
      <c r="G279" t="inlineStr">
        <is>
          <t>ESKILSTUNA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44865</v>
      </c>
      <c r="E280" s="1" t="n">
        <v>46277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Kyrkan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46277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46277</v>
      </c>
      <c r="F282" t="inlineStr">
        <is>
          <t>SÖDERMANLANDS LÄN</t>
        </is>
      </c>
      <c r="G282" t="inlineStr">
        <is>
          <t>ESKILSTUNA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46277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44664</v>
      </c>
      <c r="E284" s="1" t="n">
        <v>46277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46277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44729</v>
      </c>
      <c r="E286" s="1" t="n">
        <v>46277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46277</v>
      </c>
      <c r="F287" t="inlineStr">
        <is>
          <t>SÖDERMANLANDS LÄN</t>
        </is>
      </c>
      <c r="G287" t="inlineStr">
        <is>
          <t>ESKILSTUNA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46277</v>
      </c>
      <c r="F288" t="inlineStr">
        <is>
          <t>SÖDERMANLANDS LÄN</t>
        </is>
      </c>
      <c r="G288" t="inlineStr">
        <is>
          <t>ESKILSTUNA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46277</v>
      </c>
      <c r="F289" t="inlineStr">
        <is>
          <t>SÖDERMANLANDS LÄN</t>
        </is>
      </c>
      <c r="G289" t="inlineStr">
        <is>
          <t>ESKILSTUNA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46277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45056</v>
      </c>
      <c r="E291" s="1" t="n">
        <v>46277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46277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45918</v>
      </c>
      <c r="E293" s="1" t="n">
        <v>46277</v>
      </c>
      <c r="F293" t="inlineStr">
        <is>
          <t>SÖDERMANLANDS LÄN</t>
        </is>
      </c>
      <c r="G293" t="inlineStr">
        <is>
          <t>ESKILSTUNA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46277</v>
      </c>
      <c r="F294" t="inlineStr">
        <is>
          <t>SÖDERMANLANDS LÄN</t>
        </is>
      </c>
      <c r="G294" t="inlineStr">
        <is>
          <t>ESKILSTUNA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46277</v>
      </c>
      <c r="F295" t="inlineStr">
        <is>
          <t>SÖDERMANLANDS LÄN</t>
        </is>
      </c>
      <c r="G295" t="inlineStr">
        <is>
          <t>ESKILSTUNA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36565-2022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44804</v>
      </c>
      <c r="E296" s="1" t="n">
        <v>46277</v>
      </c>
      <c r="F296" t="inlineStr">
        <is>
          <t>SÖDERMANLANDS LÄN</t>
        </is>
      </c>
      <c r="G296" t="inlineStr">
        <is>
          <t>ESKILSTUNA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44490</v>
      </c>
      <c r="E297" s="1" t="n">
        <v>46277</v>
      </c>
      <c r="F297" t="inlineStr">
        <is>
          <t>SÖDERMANLANDS LÄN</t>
        </is>
      </c>
      <c r="G297" t="inlineStr">
        <is>
          <t>ESKILSTUNA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46277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46277</v>
      </c>
      <c r="F299" t="inlineStr">
        <is>
          <t>SÖDERMANLANDS LÄN</t>
        </is>
      </c>
      <c r="G299" t="inlineStr">
        <is>
          <t>ESKILSTUNA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46277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44930</v>
      </c>
      <c r="E301" s="1" t="n">
        <v>46277</v>
      </c>
      <c r="F301" t="inlineStr">
        <is>
          <t>SÖDERMANLANDS LÄN</t>
        </is>
      </c>
      <c r="G301" t="inlineStr">
        <is>
          <t>ESKILSTUNA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61170-2021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44497</v>
      </c>
      <c r="E302" s="1" t="n">
        <v>46277</v>
      </c>
      <c r="F302" t="inlineStr">
        <is>
          <t>SÖDERMANLANDS LÄN</t>
        </is>
      </c>
      <c r="G302" t="inlineStr">
        <is>
          <t>ESKILSTUNA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30373-2023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46277</v>
      </c>
      <c r="F303" t="inlineStr">
        <is>
          <t>SÖDERMANLANDS LÄN</t>
        </is>
      </c>
      <c r="G303" t="inlineStr">
        <is>
          <t>ESKILSTUNA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46277</v>
      </c>
      <c r="F304" t="inlineStr">
        <is>
          <t>SÖDERMANLANDS LÄN</t>
        </is>
      </c>
      <c r="G304" t="inlineStr">
        <is>
          <t>ESKILSTUNA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50484-2025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45945</v>
      </c>
      <c r="E305" s="1" t="n">
        <v>46277</v>
      </c>
      <c r="F305" t="inlineStr">
        <is>
          <t>SÖDERMANLANDS LÄN</t>
        </is>
      </c>
      <c r="G305" t="inlineStr">
        <is>
          <t>ESKILSTUNA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46277</v>
      </c>
      <c r="F306" t="inlineStr">
        <is>
          <t>SÖDERMANLANDS LÄN</t>
        </is>
      </c>
      <c r="G306" t="inlineStr">
        <is>
          <t>ESKILSTUNA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46277</v>
      </c>
      <c r="F307" t="inlineStr">
        <is>
          <t>SÖDERMANLANDS LÄN</t>
        </is>
      </c>
      <c r="G307" t="inlineStr">
        <is>
          <t>ESKILSTUNA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45049</v>
      </c>
      <c r="E308" s="1" t="n">
        <v>46277</v>
      </c>
      <c r="F308" t="inlineStr">
        <is>
          <t>SÖDERMANLANDS LÄN</t>
        </is>
      </c>
      <c r="G308" t="inlineStr">
        <is>
          <t>ESKILSTUNA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1340-2024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45303</v>
      </c>
      <c r="E309" s="1" t="n">
        <v>46277</v>
      </c>
      <c r="F309" t="inlineStr">
        <is>
          <t>SÖDERMANLANDS LÄN</t>
        </is>
      </c>
      <c r="G309" t="inlineStr">
        <is>
          <t>ESKILSTUNA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46277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Övriga Aktiebolag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51801-2025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45950</v>
      </c>
      <c r="E311" s="1" t="n">
        <v>46277</v>
      </c>
      <c r="F311" t="inlineStr">
        <is>
          <t>SÖDERMANLANDS LÄN</t>
        </is>
      </c>
      <c r="G311" t="inlineStr">
        <is>
          <t>ESKILSTUNA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45007</v>
      </c>
      <c r="E312" s="1" t="n">
        <v>46277</v>
      </c>
      <c r="F312" t="inlineStr">
        <is>
          <t>SÖDERMANLANDS LÄN</t>
        </is>
      </c>
      <c r="G312" t="inlineStr">
        <is>
          <t>ESKILSTUNA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45271</v>
      </c>
      <c r="E313" s="1" t="n">
        <v>46277</v>
      </c>
      <c r="F313" t="inlineStr">
        <is>
          <t>SÖDERMANLANDS LÄN</t>
        </is>
      </c>
      <c r="G313" t="inlineStr">
        <is>
          <t>ESKILSTUNA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70265-2021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44536</v>
      </c>
      <c r="E314" s="1" t="n">
        <v>46277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46277</v>
      </c>
      <c r="F315" t="inlineStr">
        <is>
          <t>SÖDERMANLANDS LÄN</t>
        </is>
      </c>
      <c r="G315" t="inlineStr">
        <is>
          <t>ESKILSTUNA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44701</v>
      </c>
      <c r="E316" s="1" t="n">
        <v>46277</v>
      </c>
      <c r="F316" t="inlineStr">
        <is>
          <t>SÖDERMANLANDS LÄN</t>
        </is>
      </c>
      <c r="G316" t="inlineStr">
        <is>
          <t>ESKILSTUNA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46608-2024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45582</v>
      </c>
      <c r="E317" s="1" t="n">
        <v>46277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68020-2021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44525</v>
      </c>
      <c r="E318" s="1" t="n">
        <v>46277</v>
      </c>
      <c r="F318" t="inlineStr">
        <is>
          <t>SÖDERMANLANDS LÄN</t>
        </is>
      </c>
      <c r="G318" t="inlineStr">
        <is>
          <t>ESKILSTUNA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38058-2024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46277</v>
      </c>
      <c r="F319" t="inlineStr">
        <is>
          <t>SÖDERMANLANDS LÄN</t>
        </is>
      </c>
      <c r="G319" t="inlineStr">
        <is>
          <t>ESKILSTUNA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46277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Kyrkan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46277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46277</v>
      </c>
      <c r="F322" t="inlineStr">
        <is>
          <t>SÖDERMANLANDS LÄN</t>
        </is>
      </c>
      <c r="G322" t="inlineStr">
        <is>
          <t>ESKILSTUNA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44626</v>
      </c>
      <c r="E323" s="1" t="n">
        <v>46277</v>
      </c>
      <c r="F323" t="inlineStr">
        <is>
          <t>SÖDERMANLANDS LÄN</t>
        </is>
      </c>
      <c r="G323" t="inlineStr">
        <is>
          <t>ESKILSTUNA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44927-2023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45190</v>
      </c>
      <c r="E324" s="1" t="n">
        <v>46277</v>
      </c>
      <c r="F324" t="inlineStr">
        <is>
          <t>SÖDERMANLANDS LÄN</t>
        </is>
      </c>
      <c r="G324" t="inlineStr">
        <is>
          <t>ESKILSTUNA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46277</v>
      </c>
      <c r="F325" t="inlineStr">
        <is>
          <t>SÖDERMANLANDS LÄN</t>
        </is>
      </c>
      <c r="G325" t="inlineStr">
        <is>
          <t>ESKILSTUNA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22605-2023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45071</v>
      </c>
      <c r="E326" s="1" t="n">
        <v>46277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Kyrkan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46277</v>
      </c>
      <c r="F327" t="inlineStr">
        <is>
          <t>SÖDERMANLANDS LÄN</t>
        </is>
      </c>
      <c r="G327" t="inlineStr">
        <is>
          <t>ESKILSTUNA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44572</v>
      </c>
      <c r="E328" s="1" t="n">
        <v>46277</v>
      </c>
      <c r="F328" t="inlineStr">
        <is>
          <t>SÖDERMANLANDS LÄN</t>
        </is>
      </c>
      <c r="G328" t="inlineStr">
        <is>
          <t>ESKILSTUNA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44606</v>
      </c>
      <c r="E329" s="1" t="n">
        <v>46277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46277</v>
      </c>
      <c r="F330" t="inlineStr">
        <is>
          <t>SÖDERMANLANDS LÄN</t>
        </is>
      </c>
      <c r="G330" t="inlineStr">
        <is>
          <t>ESKILSTUNA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46277</v>
      </c>
      <c r="F331" t="inlineStr">
        <is>
          <t>SÖDERMANLANDS LÄN</t>
        </is>
      </c>
      <c r="G331" t="inlineStr">
        <is>
          <t>ESKILSTUNA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45387</v>
      </c>
      <c r="E332" s="1" t="n">
        <v>46277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Kyrkan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45715</v>
      </c>
      <c r="E333" s="1" t="n">
        <v>46277</v>
      </c>
      <c r="F333" t="inlineStr">
        <is>
          <t>SÖDERMANLANDS LÄN</t>
        </is>
      </c>
      <c r="G333" t="inlineStr">
        <is>
          <t>ESKILSTUNA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46277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46277</v>
      </c>
      <c r="F335" t="inlineStr">
        <is>
          <t>SÖDERMANLANDS LÄN</t>
        </is>
      </c>
      <c r="G335" t="inlineStr">
        <is>
          <t>ESKILSTUNA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46277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52203-2025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45953</v>
      </c>
      <c r="E337" s="1" t="n">
        <v>46277</v>
      </c>
      <c r="F337" t="inlineStr">
        <is>
          <t>SÖDERMANLANDS LÄN</t>
        </is>
      </c>
      <c r="G337" t="inlineStr">
        <is>
          <t>ESKILSTUNA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46277</v>
      </c>
      <c r="F338" t="inlineStr">
        <is>
          <t>SÖDERMANLANDS LÄN</t>
        </is>
      </c>
      <c r="G338" t="inlineStr">
        <is>
          <t>ESKILSTUNA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49061-2023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46277</v>
      </c>
      <c r="F339" t="inlineStr">
        <is>
          <t>SÖDERMANLANDS LÄN</t>
        </is>
      </c>
      <c r="G339" t="inlineStr">
        <is>
          <t>ESKILSTUNA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46164</v>
      </c>
      <c r="E340" s="1" t="n">
        <v>46277</v>
      </c>
      <c r="F340" t="inlineStr">
        <is>
          <t>SÖDERMANLANDS LÄN</t>
        </is>
      </c>
      <c r="G340" t="inlineStr">
        <is>
          <t>ESKILSTUNA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22388-2026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46277</v>
      </c>
      <c r="F341" t="inlineStr">
        <is>
          <t>SÖDERMANLANDS LÄN</t>
        </is>
      </c>
      <c r="G341" t="inlineStr">
        <is>
          <t>ESKILSTUNA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46277</v>
      </c>
      <c r="F342" t="inlineStr">
        <is>
          <t>SÖDERMANLANDS LÄN</t>
        </is>
      </c>
      <c r="G342" t="inlineStr">
        <is>
          <t>ESKILSTUNA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46277</v>
      </c>
      <c r="F343" t="inlineStr">
        <is>
          <t>SÖDERMANLANDS LÄN</t>
        </is>
      </c>
      <c r="G343" t="inlineStr">
        <is>
          <t>ESKILSTUNA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46277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46277</v>
      </c>
      <c r="F345" t="inlineStr">
        <is>
          <t>SÖDERMANLANDS LÄN</t>
        </is>
      </c>
      <c r="G345" t="inlineStr">
        <is>
          <t>ESKILSTUNA</t>
        </is>
      </c>
      <c r="I345" t="n">
        <v>15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46277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46277</v>
      </c>
      <c r="F347" t="inlineStr">
        <is>
          <t>SÖDERMANLANDS LÄN</t>
        </is>
      </c>
      <c r="G347" t="inlineStr">
        <is>
          <t>ESKILSTUNA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4200-2025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45685</v>
      </c>
      <c r="E348" s="1" t="n">
        <v>46277</v>
      </c>
      <c r="F348" t="inlineStr">
        <is>
          <t>SÖDERMANLANDS LÄN</t>
        </is>
      </c>
      <c r="G348" t="inlineStr">
        <is>
          <t>ESKILSTUNA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46277</v>
      </c>
      <c r="F349" t="inlineStr">
        <is>
          <t>SÖDERMANLANDS LÄN</t>
        </is>
      </c>
      <c r="G349" t="inlineStr">
        <is>
          <t>ESKILSTUNA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45723</v>
      </c>
      <c r="E350" s="1" t="n">
        <v>46277</v>
      </c>
      <c r="F350" t="inlineStr">
        <is>
          <t>SÖDERMANLANDS LÄN</t>
        </is>
      </c>
      <c r="G350" t="inlineStr">
        <is>
          <t>ESKILSTUNA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46277</v>
      </c>
      <c r="F351" t="inlineStr">
        <is>
          <t>SÖDERMANLANDS LÄN</t>
        </is>
      </c>
      <c r="G351" t="inlineStr">
        <is>
          <t>ESKILSTUNA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46277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Allmännings- och besparingsskogar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61831-2023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45266</v>
      </c>
      <c r="E353" s="1" t="n">
        <v>46277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29068-2022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44749</v>
      </c>
      <c r="E354" s="1" t="n">
        <v>46277</v>
      </c>
      <c r="F354" t="inlineStr">
        <is>
          <t>SÖDERMANLANDS LÄN</t>
        </is>
      </c>
      <c r="G354" t="inlineStr">
        <is>
          <t>ESKILSTUNA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46277</v>
      </c>
      <c r="F355" t="inlineStr">
        <is>
          <t>SÖDERMANLANDS LÄN</t>
        </is>
      </c>
      <c r="G355" t="inlineStr">
        <is>
          <t>ESKILSTUNA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1330-2024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45303</v>
      </c>
      <c r="E356" s="1" t="n">
        <v>46277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1334-2024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46277</v>
      </c>
      <c r="F357" t="inlineStr">
        <is>
          <t>SÖDERMANLANDS LÄN</t>
        </is>
      </c>
      <c r="G357" t="inlineStr">
        <is>
          <t>ESKILSTUNA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46277</v>
      </c>
      <c r="F358" t="inlineStr">
        <is>
          <t>SÖDERMANLANDS LÄN</t>
        </is>
      </c>
      <c r="G358" t="inlineStr">
        <is>
          <t>ESKILSTUNA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46277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Kommuner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46277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29750-2022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44755</v>
      </c>
      <c r="E361" s="1" t="n">
        <v>46277</v>
      </c>
      <c r="F361" t="inlineStr">
        <is>
          <t>SÖDERMANLANDS LÄN</t>
        </is>
      </c>
      <c r="G361" t="inlineStr">
        <is>
          <t>ESKILSTUNA</t>
        </is>
      </c>
      <c r="I361" t="n">
        <v>20.1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46277</v>
      </c>
      <c r="F362" t="inlineStr">
        <is>
          <t>SÖDERMANLANDS LÄN</t>
        </is>
      </c>
      <c r="G362" t="inlineStr">
        <is>
          <t>ESKILSTUNA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30968-2022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44768</v>
      </c>
      <c r="E363" s="1" t="n">
        <v>46277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Sveaskog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45225</v>
      </c>
      <c r="E364" s="1" t="n">
        <v>46277</v>
      </c>
      <c r="F364" t="inlineStr">
        <is>
          <t>SÖDERMANLANDS LÄN</t>
        </is>
      </c>
      <c r="G364" t="inlineStr">
        <is>
          <t>ESKILSTUNA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46277</v>
      </c>
      <c r="F365" t="inlineStr">
        <is>
          <t>SÖDERMANLANDS LÄN</t>
        </is>
      </c>
      <c r="G365" t="inlineStr">
        <is>
          <t>ESKILSTUNA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46277</v>
      </c>
      <c r="F366" t="inlineStr">
        <is>
          <t>SÖDERMANLANDS LÄN</t>
        </is>
      </c>
      <c r="G366" t="inlineStr">
        <is>
          <t>ESKILSTUNA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44804</v>
      </c>
      <c r="E367" s="1" t="n">
        <v>46277</v>
      </c>
      <c r="F367" t="inlineStr">
        <is>
          <t>SÖDERMANLANDS LÄN</t>
        </is>
      </c>
      <c r="G367" t="inlineStr">
        <is>
          <t>ESKILSTUNA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46277</v>
      </c>
      <c r="F368" t="inlineStr">
        <is>
          <t>SÖDERMANLANDS LÄN</t>
        </is>
      </c>
      <c r="G368" t="inlineStr">
        <is>
          <t>ESKILSTUNA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46277</v>
      </c>
      <c r="F369" t="inlineStr">
        <is>
          <t>SÖDERMANLANDS LÄN</t>
        </is>
      </c>
      <c r="G369" t="inlineStr">
        <is>
          <t>ESKILSTUNA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44998</v>
      </c>
      <c r="E370" s="1" t="n">
        <v>46277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Kommuner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61830-2023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46277</v>
      </c>
      <c r="F371" t="inlineStr">
        <is>
          <t>SÖDERMANLANDS LÄN</t>
        </is>
      </c>
      <c r="G371" t="inlineStr">
        <is>
          <t>ESKILSTUNA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46277</v>
      </c>
      <c r="F372" t="inlineStr">
        <is>
          <t>SÖDERMANLANDS LÄN</t>
        </is>
      </c>
      <c r="G372" t="inlineStr">
        <is>
          <t>ESKILSTUNA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36613-2024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45537</v>
      </c>
      <c r="E373" s="1" t="n">
        <v>46277</v>
      </c>
      <c r="F373" t="inlineStr">
        <is>
          <t>SÖDERMANLANDS LÄN</t>
        </is>
      </c>
      <c r="G373" t="inlineStr">
        <is>
          <t>ESKILSTUNA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46277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44582</v>
      </c>
      <c r="E375" s="1" t="n">
        <v>46277</v>
      </c>
      <c r="F375" t="inlineStr">
        <is>
          <t>SÖDERMANLANDS LÄN</t>
        </is>
      </c>
      <c r="G375" t="inlineStr">
        <is>
          <t>ESKILSTUNA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27779-2026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46191</v>
      </c>
      <c r="E376" s="1" t="n">
        <v>46277</v>
      </c>
      <c r="F376" t="inlineStr">
        <is>
          <t>SÖDERMANLANDS LÄN</t>
        </is>
      </c>
      <c r="G376" t="inlineStr">
        <is>
          <t>ESKILSTUNA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46238</v>
      </c>
      <c r="E377" s="1" t="n">
        <v>46277</v>
      </c>
      <c r="F377" t="inlineStr">
        <is>
          <t>SÖDERMANLANDS LÄN</t>
        </is>
      </c>
      <c r="G377" t="inlineStr">
        <is>
          <t>ESKILSTUNA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44803</v>
      </c>
      <c r="E378" s="1" t="n">
        <v>46277</v>
      </c>
      <c r="F378" t="inlineStr">
        <is>
          <t>SÖDERMANLANDS LÄN</t>
        </is>
      </c>
      <c r="G378" t="inlineStr">
        <is>
          <t>ESKILSTUNA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44803</v>
      </c>
      <c r="E379" s="1" t="n">
        <v>46277</v>
      </c>
      <c r="F379" t="inlineStr">
        <is>
          <t>SÖDERMANLANDS LÄN</t>
        </is>
      </c>
      <c r="G379" t="inlineStr">
        <is>
          <t>ESKILSTUNA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46277</v>
      </c>
      <c r="F380" t="inlineStr">
        <is>
          <t>SÖDERMANLANDS LÄN</t>
        </is>
      </c>
      <c r="G380" t="inlineStr">
        <is>
          <t>ESKILSTUNA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70613-2021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44537</v>
      </c>
      <c r="E381" s="1" t="n">
        <v>46277</v>
      </c>
      <c r="F381" t="inlineStr">
        <is>
          <t>SÖDERMANLANDS LÄN</t>
        </is>
      </c>
      <c r="G381" t="inlineStr">
        <is>
          <t>ESKILSTUNA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46238</v>
      </c>
      <c r="E382" s="1" t="n">
        <v>46277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46237</v>
      </c>
      <c r="E383" s="1" t="n">
        <v>46277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Sveaskog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44615-2022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44839</v>
      </c>
      <c r="E384" s="1" t="n">
        <v>46277</v>
      </c>
      <c r="F384" t="inlineStr">
        <is>
          <t>SÖDERMANLANDS LÄN</t>
        </is>
      </c>
      <c r="G384" t="inlineStr">
        <is>
          <t>ESKILSTUNA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45763</v>
      </c>
      <c r="E385" s="1" t="n">
        <v>46277</v>
      </c>
      <c r="F385" t="inlineStr">
        <is>
          <t>SÖDERMANLANDS LÄN</t>
        </is>
      </c>
      <c r="G385" t="inlineStr">
        <is>
          <t>ESKILSTUNA</t>
        </is>
      </c>
      <c r="I385" t="n">
        <v>15.6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46239</v>
      </c>
      <c r="E386" s="1" t="n">
        <v>46277</v>
      </c>
      <c r="F386" t="inlineStr">
        <is>
          <t>SÖDERMANLANDS LÄN</t>
        </is>
      </c>
      <c r="G386" t="inlineStr">
        <is>
          <t>ESKILSTUNA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46277</v>
      </c>
      <c r="F387" t="inlineStr">
        <is>
          <t>SÖDERMANLANDS LÄN</t>
        </is>
      </c>
      <c r="G387" t="inlineStr">
        <is>
          <t>ESKILSTUNA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46244</v>
      </c>
      <c r="E388" s="1" t="n">
        <v>46277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29053-2026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46199</v>
      </c>
      <c r="E389" s="1" t="n">
        <v>46277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46277</v>
      </c>
      <c r="F390" t="inlineStr">
        <is>
          <t>SÖDERMANLANDS LÄN</t>
        </is>
      </c>
      <c r="G390" t="inlineStr">
        <is>
          <t>ESKILSTUNA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46277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46277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29051-2026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46199</v>
      </c>
      <c r="E393" s="1" t="n">
        <v>46277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32963-2026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46241</v>
      </c>
      <c r="E394" s="1" t="n">
        <v>46277</v>
      </c>
      <c r="F394" t="inlineStr">
        <is>
          <t>SÖDERMANLANDS LÄN</t>
        </is>
      </c>
      <c r="G394" t="inlineStr">
        <is>
          <t>ESKILSTUNA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46277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45005</v>
      </c>
      <c r="E396" s="1" t="n">
        <v>46277</v>
      </c>
      <c r="F396" t="inlineStr">
        <is>
          <t>SÖDERMANLANDS LÄN</t>
        </is>
      </c>
      <c r="G396" t="inlineStr">
        <is>
          <t>ESKILSTUNA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46277</v>
      </c>
      <c r="F397" t="inlineStr">
        <is>
          <t>SÖDERMANLANDS LÄN</t>
        </is>
      </c>
      <c r="G397" t="inlineStr">
        <is>
          <t>ESKILSTUNA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46245</v>
      </c>
      <c r="E398" s="1" t="n">
        <v>46277</v>
      </c>
      <c r="F398" t="inlineStr">
        <is>
          <t>SÖDERMANLANDS LÄN</t>
        </is>
      </c>
      <c r="G398" t="inlineStr">
        <is>
          <t>ESKILSTUNA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46277</v>
      </c>
      <c r="F399" t="inlineStr">
        <is>
          <t>SÖDERMANLANDS LÄN</t>
        </is>
      </c>
      <c r="G399" t="inlineStr">
        <is>
          <t>ESKILSTUNA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46245</v>
      </c>
      <c r="E400" s="1" t="n">
        <v>46277</v>
      </c>
      <c r="F400" t="inlineStr">
        <is>
          <t>SÖDERMANLANDS LÄN</t>
        </is>
      </c>
      <c r="G400" t="inlineStr">
        <is>
          <t>ESKILSTUNA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46277</v>
      </c>
      <c r="F401" t="inlineStr">
        <is>
          <t>SÖDERMANLANDS LÄN</t>
        </is>
      </c>
      <c r="G401" t="inlineStr">
        <is>
          <t>ESKILSTUNA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44819</v>
      </c>
      <c r="E402" s="1" t="n">
        <v>46277</v>
      </c>
      <c r="F402" t="inlineStr">
        <is>
          <t>SÖDERMANLANDS LÄN</t>
        </is>
      </c>
      <c r="G402" t="inlineStr">
        <is>
          <t>ESKILSTUNA</t>
        </is>
      </c>
      <c r="I402" t="n">
        <v>11.6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48671-2021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44452</v>
      </c>
      <c r="E403" s="1" t="n">
        <v>46277</v>
      </c>
      <c r="F403" t="inlineStr">
        <is>
          <t>SÖDERMANLANDS LÄN</t>
        </is>
      </c>
      <c r="G403" t="inlineStr">
        <is>
          <t>ESKILSTUNA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46277</v>
      </c>
      <c r="F404" t="inlineStr">
        <is>
          <t>SÖDERMANLANDS LÄN</t>
        </is>
      </c>
      <c r="G404" t="inlineStr">
        <is>
          <t>ESKILSTUNA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44468</v>
      </c>
      <c r="E405" s="1" t="n">
        <v>46277</v>
      </c>
      <c r="F405" t="inlineStr">
        <is>
          <t>SÖDERMANLANDS LÄN</t>
        </is>
      </c>
      <c r="G405" t="inlineStr">
        <is>
          <t>ESKILSTUNA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45608</v>
      </c>
      <c r="E406" s="1" t="n">
        <v>46277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Övriga Aktiebolag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46277</v>
      </c>
      <c r="F407" t="inlineStr">
        <is>
          <t>SÖDERMANLANDS LÄN</t>
        </is>
      </c>
      <c r="G407" t="inlineStr">
        <is>
          <t>ESKILSTUNA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46277</v>
      </c>
      <c r="F408" t="inlineStr">
        <is>
          <t>SÖDERMANLANDS LÄN</t>
        </is>
      </c>
      <c r="G408" t="inlineStr">
        <is>
          <t>ESKILSTUNA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45006</v>
      </c>
      <c r="E409" s="1" t="n">
        <v>46277</v>
      </c>
      <c r="F409" t="inlineStr">
        <is>
          <t>SÖDERMANLANDS LÄN</t>
        </is>
      </c>
      <c r="G409" t="inlineStr">
        <is>
          <t>ESKILSTUNA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46157</v>
      </c>
      <c r="E410" s="1" t="n">
        <v>46277</v>
      </c>
      <c r="F410" t="inlineStr">
        <is>
          <t>SÖDERMANLANDS LÄN</t>
        </is>
      </c>
      <c r="G410" t="inlineStr">
        <is>
          <t>ESKILSTUNA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46277</v>
      </c>
      <c r="F411" t="inlineStr">
        <is>
          <t>SÖDERMANLANDS LÄN</t>
        </is>
      </c>
      <c r="G411" t="inlineStr">
        <is>
          <t>ESKILSTUNA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46277</v>
      </c>
      <c r="F412" t="inlineStr">
        <is>
          <t>SÖDERMANLANDS LÄN</t>
        </is>
      </c>
      <c r="G412" t="inlineStr">
        <is>
          <t>ESKILSTUNA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45004</v>
      </c>
      <c r="E413" s="1" t="n">
        <v>46277</v>
      </c>
      <c r="F413" t="inlineStr">
        <is>
          <t>SÖDERMANLANDS LÄN</t>
        </is>
      </c>
      <c r="G413" t="inlineStr">
        <is>
          <t>ESKILSTUNA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46277</v>
      </c>
      <c r="F414" t="inlineStr">
        <is>
          <t>SÖDERMANLANDS LÄN</t>
        </is>
      </c>
      <c r="G414" t="inlineStr">
        <is>
          <t>ESKILSTUNA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46277</v>
      </c>
      <c r="F415" t="inlineStr">
        <is>
          <t>SÖDERMANLANDS LÄN</t>
        </is>
      </c>
      <c r="G415" t="inlineStr">
        <is>
          <t>ESKILSTUNA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46213</v>
      </c>
      <c r="E416" s="1" t="n">
        <v>46277</v>
      </c>
      <c r="F416" t="inlineStr">
        <is>
          <t>SÖDERMANLANDS LÄN</t>
        </is>
      </c>
      <c r="G416" t="inlineStr">
        <is>
          <t>ESKILSTUNA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44729</v>
      </c>
      <c r="E417" s="1" t="n">
        <v>46277</v>
      </c>
      <c r="F417" t="inlineStr">
        <is>
          <t>SÖDERMANLANDS LÄN</t>
        </is>
      </c>
      <c r="G417" t="inlineStr">
        <is>
          <t>ESKILSTUNA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46277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59151-2022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44904</v>
      </c>
      <c r="E419" s="1" t="n">
        <v>46277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Allmännings- och besparingsskogar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44946</v>
      </c>
      <c r="E420" s="1" t="n">
        <v>46277</v>
      </c>
      <c r="F420" t="inlineStr">
        <is>
          <t>SÖDERMANLANDS LÄN</t>
        </is>
      </c>
      <c r="G420" t="inlineStr">
        <is>
          <t>ESKILSTUNA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46277</v>
      </c>
      <c r="F421" t="inlineStr">
        <is>
          <t>SÖDERMANLANDS LÄN</t>
        </is>
      </c>
      <c r="G421" t="inlineStr">
        <is>
          <t>ESKILSTUNA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57541-2022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46277</v>
      </c>
      <c r="F422" t="inlineStr">
        <is>
          <t>SÖDERMANLANDS LÄN</t>
        </is>
      </c>
      <c r="G422" t="inlineStr">
        <is>
          <t>ESKILSTUNA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44592</v>
      </c>
      <c r="E423" s="1" t="n">
        <v>46277</v>
      </c>
      <c r="F423" t="inlineStr">
        <is>
          <t>SÖDERMANLANDS LÄN</t>
        </is>
      </c>
      <c r="G423" t="inlineStr">
        <is>
          <t>ESKILSTUNA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20984-2023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45061</v>
      </c>
      <c r="E424" s="1" t="n">
        <v>46277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44797</v>
      </c>
      <c r="E425" s="1" t="n">
        <v>46277</v>
      </c>
      <c r="F425" t="inlineStr">
        <is>
          <t>SÖDERMANLANDS LÄN</t>
        </is>
      </c>
      <c r="G425" t="inlineStr">
        <is>
          <t>ESKILSTUNA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46277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31131-2026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46216</v>
      </c>
      <c r="E427" s="1" t="n">
        <v>46277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46217</v>
      </c>
      <c r="E428" s="1" t="n">
        <v>46277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Kommuner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46217</v>
      </c>
      <c r="E429" s="1" t="n">
        <v>46277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Kommuner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46216</v>
      </c>
      <c r="E430" s="1" t="n">
        <v>46277</v>
      </c>
      <c r="F430" t="inlineStr">
        <is>
          <t>SÖDERMANLANDS LÄN</t>
        </is>
      </c>
      <c r="G430" t="inlineStr">
        <is>
          <t>ESKILSTUNA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46277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46277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46277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45303</v>
      </c>
      <c r="E434" s="1" t="n">
        <v>46277</v>
      </c>
      <c r="F434" t="inlineStr">
        <is>
          <t>SÖDERMANLANDS LÄN</t>
        </is>
      </c>
      <c r="G434" t="inlineStr">
        <is>
          <t>ESKILSTUNA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46219</v>
      </c>
      <c r="E435" s="1" t="n">
        <v>46277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44804</v>
      </c>
      <c r="E436" s="1" t="n">
        <v>46277</v>
      </c>
      <c r="F436" t="inlineStr">
        <is>
          <t>SÖDERMANLANDS LÄN</t>
        </is>
      </c>
      <c r="G436" t="inlineStr">
        <is>
          <t>ESKILSTUNA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46277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25668-2022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44732</v>
      </c>
      <c r="E438" s="1" t="n">
        <v>46277</v>
      </c>
      <c r="F438" t="inlineStr">
        <is>
          <t>SÖDERMANLANDS LÄN</t>
        </is>
      </c>
      <c r="G438" t="inlineStr">
        <is>
          <t>ESKILSTUNA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46277</v>
      </c>
      <c r="F439" t="inlineStr">
        <is>
          <t>SÖDERMANLANDS LÄN</t>
        </is>
      </c>
      <c r="G439" t="inlineStr">
        <is>
          <t>ESKILSTUNA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45664</v>
      </c>
      <c r="E440" s="1" t="n">
        <v>46277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61989-2023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45266</v>
      </c>
      <c r="E441" s="1" t="n">
        <v>46277</v>
      </c>
      <c r="F441" t="inlineStr">
        <is>
          <t>SÖDERMANLANDS LÄN</t>
        </is>
      </c>
      <c r="G441" t="inlineStr">
        <is>
          <t>ESKILSTUNA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45518</v>
      </c>
      <c r="E442" s="1" t="n">
        <v>46277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Övriga Aktiebolag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46277</v>
      </c>
      <c r="F443" t="inlineStr">
        <is>
          <t>SÖDERMANLANDS LÄN</t>
        </is>
      </c>
      <c r="G443" t="inlineStr">
        <is>
          <t>ESKILSTUNA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46277</v>
      </c>
      <c r="F444" t="inlineStr">
        <is>
          <t>SÖDERMANLANDS LÄN</t>
        </is>
      </c>
      <c r="G444" t="inlineStr">
        <is>
          <t>ESKILSTUNA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1346-2024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46277</v>
      </c>
      <c r="F445" t="inlineStr">
        <is>
          <t>SÖDERMANLANDS LÄN</t>
        </is>
      </c>
      <c r="G445" t="inlineStr">
        <is>
          <t>ESKILSTUNA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44873</v>
      </c>
      <c r="E446" s="1" t="n">
        <v>46277</v>
      </c>
      <c r="F446" t="inlineStr">
        <is>
          <t>SÖDERMANLANDS LÄN</t>
        </is>
      </c>
      <c r="G446" t="inlineStr">
        <is>
          <t>ESKILSTUNA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44965</v>
      </c>
      <c r="E447" s="1" t="n">
        <v>46277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44634</v>
      </c>
      <c r="E448" s="1" t="n">
        <v>46277</v>
      </c>
      <c r="F448" t="inlineStr">
        <is>
          <t>SÖDERMANLANDS LÄN</t>
        </is>
      </c>
      <c r="G448" t="inlineStr">
        <is>
          <t>ESKILSTUNA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46277</v>
      </c>
      <c r="F449" t="inlineStr">
        <is>
          <t>SÖDERMANLANDS LÄN</t>
        </is>
      </c>
      <c r="G449" t="inlineStr">
        <is>
          <t>ESKILSTUNA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13153-2026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46092</v>
      </c>
      <c r="E450" s="1" t="n">
        <v>46277</v>
      </c>
      <c r="F450" t="inlineStr">
        <is>
          <t>SÖDERMANLANDS LÄN</t>
        </is>
      </c>
      <c r="G450" t="inlineStr">
        <is>
          <t>ESKILSTUNA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44844</v>
      </c>
      <c r="E451" s="1" t="n">
        <v>46277</v>
      </c>
      <c r="F451" t="inlineStr">
        <is>
          <t>SÖDERMANLANDS LÄN</t>
        </is>
      </c>
      <c r="G451" t="inlineStr">
        <is>
          <t>ESKILSTUNA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45884-2022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44844</v>
      </c>
      <c r="E452" s="1" t="n">
        <v>46277</v>
      </c>
      <c r="F452" t="inlineStr">
        <is>
          <t>SÖDERMANLANDS LÄN</t>
        </is>
      </c>
      <c r="G452" t="inlineStr">
        <is>
          <t>ESKILSTUNA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44942</v>
      </c>
      <c r="E453" s="1" t="n">
        <v>46277</v>
      </c>
      <c r="F453" t="inlineStr">
        <is>
          <t>SÖDERMANLANDS LÄN</t>
        </is>
      </c>
      <c r="G453" t="inlineStr">
        <is>
          <t>ESKILSTUNA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45514</v>
      </c>
      <c r="E454" s="1" t="n">
        <v>46277</v>
      </c>
      <c r="F454" t="inlineStr">
        <is>
          <t>SÖDERMANLANDS LÄN</t>
        </is>
      </c>
      <c r="G454" t="inlineStr">
        <is>
          <t>ESKILSTUNA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45058</v>
      </c>
      <c r="E455" s="1" t="n">
        <v>46277</v>
      </c>
      <c r="F455" t="inlineStr">
        <is>
          <t>SÖDERMANLANDS LÄN</t>
        </is>
      </c>
      <c r="G455" t="inlineStr">
        <is>
          <t>ESKILSTUNA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33585-2022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44789</v>
      </c>
      <c r="E456" s="1" t="n">
        <v>46277</v>
      </c>
      <c r="F456" t="inlineStr">
        <is>
          <t>SÖDERMANLANDS LÄN</t>
        </is>
      </c>
      <c r="G456" t="inlineStr">
        <is>
          <t>ESKILSTUNA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45341</v>
      </c>
      <c r="E457" s="1" t="n">
        <v>46277</v>
      </c>
      <c r="F457" t="inlineStr">
        <is>
          <t>SÖDERMANLANDS LÄN</t>
        </is>
      </c>
      <c r="G457" t="inlineStr">
        <is>
          <t>ESKILSTUNA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45695</v>
      </c>
      <c r="E458" s="1" t="n">
        <v>46277</v>
      </c>
      <c r="F458" t="inlineStr">
        <is>
          <t>SÖDERMANLANDS LÄN</t>
        </is>
      </c>
      <c r="G458" t="inlineStr">
        <is>
          <t>ESKILSTUNA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15592-2023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45020</v>
      </c>
      <c r="E459" s="1" t="n">
        <v>46277</v>
      </c>
      <c r="F459" t="inlineStr">
        <is>
          <t>SÖDERMANLANDS LÄN</t>
        </is>
      </c>
      <c r="G459" t="inlineStr">
        <is>
          <t>ESKILSTUNA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45341</v>
      </c>
      <c r="E460" s="1" t="n">
        <v>46277</v>
      </c>
      <c r="F460" t="inlineStr">
        <is>
          <t>SÖDERMANLANDS LÄN</t>
        </is>
      </c>
      <c r="G460" t="inlineStr">
        <is>
          <t>ESKILSTUNA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45695</v>
      </c>
      <c r="E461" s="1" t="n">
        <v>46277</v>
      </c>
      <c r="F461" t="inlineStr">
        <is>
          <t>SÖDERMANLANDS LÄN</t>
        </is>
      </c>
      <c r="G461" t="inlineStr">
        <is>
          <t>ESKILSTUNA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46277</v>
      </c>
      <c r="F462" t="inlineStr">
        <is>
          <t>SÖDERMANLANDS LÄN</t>
        </is>
      </c>
      <c r="G462" t="inlineStr">
        <is>
          <t>ESKILSTUNA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45637</v>
      </c>
      <c r="E463" s="1" t="n">
        <v>46277</v>
      </c>
      <c r="F463" t="inlineStr">
        <is>
          <t>SÖDERMANLANDS LÄN</t>
        </is>
      </c>
      <c r="G463" t="inlineStr">
        <is>
          <t>ESKILSTUNA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45301</v>
      </c>
      <c r="E464" s="1" t="n">
        <v>46277</v>
      </c>
      <c r="F464" t="inlineStr">
        <is>
          <t>SÖDERMANLANDS LÄN</t>
        </is>
      </c>
      <c r="G464" t="inlineStr">
        <is>
          <t>ESKILSTUNA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53181-2024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45611</v>
      </c>
      <c r="E465" s="1" t="n">
        <v>46277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45670</v>
      </c>
      <c r="E466" s="1" t="n">
        <v>46277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70560-2021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44536</v>
      </c>
      <c r="E467" s="1" t="n">
        <v>46277</v>
      </c>
      <c r="F467" t="inlineStr">
        <is>
          <t>SÖDERMANLANDS LÄN</t>
        </is>
      </c>
      <c r="G467" t="inlineStr">
        <is>
          <t>ESKILSTUNA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45615</v>
      </c>
      <c r="E468" s="1" t="n">
        <v>46277</v>
      </c>
      <c r="F468" t="inlineStr">
        <is>
          <t>SÖDERMANLANDS LÄN</t>
        </is>
      </c>
      <c r="G468" t="inlineStr">
        <is>
          <t>ESKILSTUNA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43261-2023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45183</v>
      </c>
      <c r="E469" s="1" t="n">
        <v>46277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46277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46277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46277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46277</v>
      </c>
      <c r="F473" t="inlineStr">
        <is>
          <t>SÖDERMANLANDS LÄN</t>
        </is>
      </c>
      <c r="G473" t="inlineStr">
        <is>
          <t>ESKILSTUNA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4954-2022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44593</v>
      </c>
      <c r="E474" s="1" t="n">
        <v>46277</v>
      </c>
      <c r="F474" t="inlineStr">
        <is>
          <t>SÖDERMANLANDS LÄN</t>
        </is>
      </c>
      <c r="G474" t="inlineStr">
        <is>
          <t>ESKILSTUNA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45365</v>
      </c>
      <c r="E475" s="1" t="n">
        <v>46277</v>
      </c>
      <c r="F475" t="inlineStr">
        <is>
          <t>SÖDERMANLANDS LÄN</t>
        </is>
      </c>
      <c r="G475" t="inlineStr">
        <is>
          <t>ESKILSTUNA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46277</v>
      </c>
      <c r="F476" t="inlineStr">
        <is>
          <t>SÖDERMANLANDS LÄN</t>
        </is>
      </c>
      <c r="G476" t="inlineStr">
        <is>
          <t>ESKILSTUNA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24537-2025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45798</v>
      </c>
      <c r="E477" s="1" t="n">
        <v>46277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24534-2025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45798</v>
      </c>
      <c r="E478" s="1" t="n">
        <v>46277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45798</v>
      </c>
      <c r="E479" s="1" t="n">
        <v>46277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24536-2025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45798</v>
      </c>
      <c r="E480" s="1" t="n">
        <v>46277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46277</v>
      </c>
      <c r="F481" t="inlineStr">
        <is>
          <t>SÖDERMANLANDS LÄN</t>
        </is>
      </c>
      <c r="G481" t="inlineStr">
        <is>
          <t>ESKILSTUNA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46277</v>
      </c>
      <c r="F482" t="inlineStr">
        <is>
          <t>SÖDERMANLANDS LÄN</t>
        </is>
      </c>
      <c r="G482" t="inlineStr">
        <is>
          <t>ESKILSTUNA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46277</v>
      </c>
      <c r="F483" t="inlineStr">
        <is>
          <t>SÖDERMANLANDS LÄN</t>
        </is>
      </c>
      <c r="G483" t="inlineStr">
        <is>
          <t>ESKILSTUNA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46277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46277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1333-2020</t>
        </is>
      </c>
      <c r="B486" t="inlineStr">
        <is>
          <t>samrådsanmälan</t>
        </is>
      </c>
      <c r="C486" t="inlineStr">
        <is>
          <t>Åtgärd i nyckelbiotop</t>
        </is>
      </c>
      <c r="D486" s="1" t="n">
        <v>43993</v>
      </c>
      <c r="E486" s="1" t="n">
        <v>46277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383-2023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44959</v>
      </c>
      <c r="E487" s="1" t="n">
        <v>46277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3665-2023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45217</v>
      </c>
      <c r="E488" s="1" t="n">
        <v>46277</v>
      </c>
      <c r="F488" t="inlineStr">
        <is>
          <t>SÖDERMANLANDS LÄN</t>
        </is>
      </c>
      <c r="G488" t="inlineStr">
        <is>
          <t>ESKILSTUNA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4583-2023</t>
        </is>
      </c>
      <c r="B489" t="inlineStr">
        <is>
          <t>samrådsanmälan</t>
        </is>
      </c>
      <c r="C489" t="inlineStr">
        <is>
          <t>Skogsgödsling</t>
        </is>
      </c>
      <c r="D489" s="1" t="n">
        <v>45282</v>
      </c>
      <c r="E489" s="1" t="n">
        <v>46277</v>
      </c>
      <c r="F489" t="inlineStr">
        <is>
          <t>SÖDERMANLANDS LÄN</t>
        </is>
      </c>
      <c r="G489" t="inlineStr">
        <is>
          <t>ESKILSTUNA</t>
        </is>
      </c>
      <c r="I489" t="n">
        <v>31.4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1601-2025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46277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1602-2025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45798</v>
      </c>
      <c r="E491" s="1" t="n">
        <v>46277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291-2025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45686</v>
      </c>
      <c r="E492" s="1" t="n">
        <v>46277</v>
      </c>
      <c r="F492" t="inlineStr">
        <is>
          <t>SÖDERMANLANDS LÄN</t>
        </is>
      </c>
      <c r="G492" t="inlineStr">
        <is>
          <t>ESKILSTUNA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2917-2024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45504</v>
      </c>
      <c r="E493" s="1" t="n">
        <v>46277</v>
      </c>
      <c r="F493" t="inlineStr">
        <is>
          <t>SÖDERMANLANDS LÄN</t>
        </is>
      </c>
      <c r="G493" t="inlineStr">
        <is>
          <t>ESKILSTUNA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1920-2025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45826</v>
      </c>
      <c r="E494" s="1" t="n">
        <v>46277</v>
      </c>
      <c r="F494" t="inlineStr">
        <is>
          <t>SÖDERMANLANDS LÄN</t>
        </is>
      </c>
      <c r="G494" t="inlineStr">
        <is>
          <t>ESKILSTUNA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1030-2026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46125</v>
      </c>
      <c r="E495" s="1" t="n">
        <v>46277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1870-2026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46277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>
      <c r="A497" t="inlineStr">
        <is>
          <t>S 1871-2026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46199</v>
      </c>
      <c r="E497" s="1" t="n">
        <v>46277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2026-09-12T02:09:24Z</dcterms:created>
  <dcterms:modified xmlns:dcterms="http://purl.org/dc/terms/" xmlns:xsi="http://www.w3.org/2001/XMLSchema-instance" xsi:type="dcterms:W3CDTF">2026-09-12T02:09:24Z</dcterms:modified>
</cp:coreProperties>
</file>