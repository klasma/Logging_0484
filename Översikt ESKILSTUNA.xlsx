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45680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45680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45680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45680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45680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45680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45680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45680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45680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45680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45680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45680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45680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45680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45680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45680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45680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45680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45680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45680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45680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45680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45680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45680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45680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45680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45680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45680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45680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45680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45680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45680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45680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45680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45680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45680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45680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45680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45680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45680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45680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45680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45680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45680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45680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45680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45680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43401-2019</t>
        </is>
      </c>
      <c r="B49" s="1" t="n">
        <v>43706</v>
      </c>
      <c r="C49" s="1" t="n">
        <v>45680</v>
      </c>
      <c r="D49" t="inlineStr">
        <is>
          <t>SÖDERMANLANDS LÄN</t>
        </is>
      </c>
      <c r="E49" t="inlineStr">
        <is>
          <t>ESKILSTUNA</t>
        </is>
      </c>
      <c r="G49" t="n">
        <v>22.9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 sköldmossa
Stubbspretmossa</t>
        </is>
      </c>
      <c r="S49">
        <f>HYPERLINK("https://klasma.github.io/Logging_0484/artfynd/A 43401-2019 artfynd.xlsx", "A 43401-2019")</f>
        <v/>
      </c>
      <c r="T49">
        <f>HYPERLINK("https://klasma.github.io/Logging_0484/kartor/A 43401-2019 karta.png", "A 43401-2019")</f>
        <v/>
      </c>
      <c r="V49">
        <f>HYPERLINK("https://klasma.github.io/Logging_0484/klagomål/A 43401-2019 FSC-klagomål.docx", "A 43401-2019")</f>
        <v/>
      </c>
      <c r="W49">
        <f>HYPERLINK("https://klasma.github.io/Logging_0484/klagomålsmail/A 43401-2019 FSC-klagomål mail.docx", "A 43401-2019")</f>
        <v/>
      </c>
      <c r="X49">
        <f>HYPERLINK("https://klasma.github.io/Logging_0484/tillsyn/A 43401-2019 tillsynsbegäran.docx", "A 43401-2019")</f>
        <v/>
      </c>
      <c r="Y49">
        <f>HYPERLINK("https://klasma.github.io/Logging_0484/tillsynsmail/A 43401-2019 tillsynsbegäran mail.docx", "A 43401-2019")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45680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45680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45680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5581-2020</t>
        </is>
      </c>
      <c r="B53" s="1" t="n">
        <v>43861</v>
      </c>
      <c r="C53" s="1" t="n">
        <v>45680</v>
      </c>
      <c r="D53" t="inlineStr">
        <is>
          <t>SÖDERMANLANDS LÄN</t>
        </is>
      </c>
      <c r="E53" t="inlineStr">
        <is>
          <t>ESKILSTUNA</t>
        </is>
      </c>
      <c r="G53" t="n">
        <v>7.1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Rävticka
Vedticka</t>
        </is>
      </c>
      <c r="S53">
        <f>HYPERLINK("https://klasma.github.io/Logging_0484/artfynd/A 5581-2020 artfynd.xlsx", "A 5581-2020")</f>
        <v/>
      </c>
      <c r="T53">
        <f>HYPERLINK("https://klasma.github.io/Logging_0484/kartor/A 5581-2020 karta.png", "A 5581-2020")</f>
        <v/>
      </c>
      <c r="V53">
        <f>HYPERLINK("https://klasma.github.io/Logging_0484/klagomål/A 5581-2020 FSC-klagomål.docx", "A 5581-2020")</f>
        <v/>
      </c>
      <c r="W53">
        <f>HYPERLINK("https://klasma.github.io/Logging_0484/klagomålsmail/A 5581-2020 FSC-klagomål mail.docx", "A 5581-2020")</f>
        <v/>
      </c>
      <c r="X53">
        <f>HYPERLINK("https://klasma.github.io/Logging_0484/tillsyn/A 5581-2020 tillsynsbegäran.docx", "A 5581-2020")</f>
        <v/>
      </c>
      <c r="Y53">
        <f>HYPERLINK("https://klasma.github.io/Logging_0484/tillsynsmail/A 5581-2020 tillsynsbegäran mail.docx", "A 5581-2020")</f>
        <v/>
      </c>
    </row>
    <row r="54" ht="15" customHeight="1">
      <c r="A54" t="inlineStr">
        <is>
          <t>A 46353-2020</t>
        </is>
      </c>
      <c r="B54" s="1" t="n">
        <v>44092</v>
      </c>
      <c r="C54" s="1" t="n">
        <v>45680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Sandviol
Revlummer</t>
        </is>
      </c>
      <c r="S54">
        <f>HYPERLINK("https://klasma.github.io/Logging_0484/artfynd/A 46353-2020 artfynd.xlsx", "A 46353-2020")</f>
        <v/>
      </c>
      <c r="T54">
        <f>HYPERLINK("https://klasma.github.io/Logging_0484/kartor/A 46353-2020 karta.png", "A 46353-2020")</f>
        <v/>
      </c>
      <c r="V54">
        <f>HYPERLINK("https://klasma.github.io/Logging_0484/klagomål/A 46353-2020 FSC-klagomål.docx", "A 46353-2020")</f>
        <v/>
      </c>
      <c r="W54">
        <f>HYPERLINK("https://klasma.github.io/Logging_0484/klagomålsmail/A 46353-2020 FSC-klagomål mail.docx", "A 46353-2020")</f>
        <v/>
      </c>
      <c r="X54">
        <f>HYPERLINK("https://klasma.github.io/Logging_0484/tillsyn/A 46353-2020 tillsynsbegäran.docx", "A 46353-2020")</f>
        <v/>
      </c>
      <c r="Y54">
        <f>HYPERLINK("https://klasma.github.io/Logging_0484/tillsynsmail/A 46353-2020 tillsynsbegäran mail.docx", "A 46353-2020")</f>
        <v/>
      </c>
    </row>
    <row r="55" ht="15" customHeight="1">
      <c r="A55" t="inlineStr">
        <is>
          <t>A 56191-2020</t>
        </is>
      </c>
      <c r="B55" s="1" t="n">
        <v>44133</v>
      </c>
      <c r="C55" s="1" t="n">
        <v>45680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4.9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HYPERLINK("https://klasma.github.io/Logging_0484/artfynd/A 56191-2020 artfynd.xlsx", "A 56191-2020")</f>
        <v/>
      </c>
      <c r="T55">
        <f>HYPERLINK("https://klasma.github.io/Logging_0484/kartor/A 56191-2020 karta.png", "A 56191-2020")</f>
        <v/>
      </c>
      <c r="V55">
        <f>HYPERLINK("https://klasma.github.io/Logging_0484/klagomål/A 56191-2020 FSC-klagomål.docx", "A 56191-2020")</f>
        <v/>
      </c>
      <c r="W55">
        <f>HYPERLINK("https://klasma.github.io/Logging_0484/klagomålsmail/A 56191-2020 FSC-klagomål mail.docx", "A 56191-2020")</f>
        <v/>
      </c>
      <c r="X55">
        <f>HYPERLINK("https://klasma.github.io/Logging_0484/tillsyn/A 56191-2020 tillsynsbegäran.docx", "A 56191-2020")</f>
        <v/>
      </c>
      <c r="Y55">
        <f>HYPERLINK("https://klasma.github.io/Logging_0484/tillsynsmail/A 56191-2020 tillsynsbegäran mail.docx", "A 56191-2020")</f>
        <v/>
      </c>
    </row>
    <row r="56" ht="15" customHeight="1">
      <c r="A56" t="inlineStr">
        <is>
          <t>A 69068-2021</t>
        </is>
      </c>
      <c r="B56" s="1" t="n">
        <v>44530</v>
      </c>
      <c r="C56" s="1" t="n">
        <v>45680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Mindre märgborre</t>
        </is>
      </c>
      <c r="S56">
        <f>HYPERLINK("https://klasma.github.io/Logging_0484/artfynd/A 69068-2021 artfynd.xlsx", "A 69068-2021")</f>
        <v/>
      </c>
      <c r="T56">
        <f>HYPERLINK("https://klasma.github.io/Logging_0484/kartor/A 69068-2021 karta.png", "A 69068-2021")</f>
        <v/>
      </c>
      <c r="V56">
        <f>HYPERLINK("https://klasma.github.io/Logging_0484/klagomål/A 69068-2021 FSC-klagomål.docx", "A 69068-2021")</f>
        <v/>
      </c>
      <c r="W56">
        <f>HYPERLINK("https://klasma.github.io/Logging_0484/klagomålsmail/A 69068-2021 FSC-klagomål mail.docx", "A 69068-2021")</f>
        <v/>
      </c>
      <c r="X56">
        <f>HYPERLINK("https://klasma.github.io/Logging_0484/tillsyn/A 69068-2021 tillsynsbegäran.docx", "A 69068-2021")</f>
        <v/>
      </c>
      <c r="Y56">
        <f>HYPERLINK("https://klasma.github.io/Logging_0484/tillsynsmail/A 69068-2021 tillsynsbegäran mail.docx", "A 69068-2021")</f>
        <v/>
      </c>
    </row>
    <row r="57" ht="15" customHeight="1">
      <c r="A57" t="inlineStr">
        <is>
          <t>A 71969-2021</t>
        </is>
      </c>
      <c r="B57" s="1" t="n">
        <v>44544</v>
      </c>
      <c r="C57" s="1" t="n">
        <v>45680</v>
      </c>
      <c r="D57" t="inlineStr">
        <is>
          <t>SÖDERMANLANDS LÄN</t>
        </is>
      </c>
      <c r="E57" t="inlineStr">
        <is>
          <t>ESKILSTUNA</t>
        </is>
      </c>
      <c r="G57" t="n">
        <v>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Blåsippa</t>
        </is>
      </c>
      <c r="S57">
        <f>HYPERLINK("https://klasma.github.io/Logging_0484/artfynd/A 71969-2021 artfynd.xlsx", "A 71969-2021")</f>
        <v/>
      </c>
      <c r="T57">
        <f>HYPERLINK("https://klasma.github.io/Logging_0484/kartor/A 71969-2021 karta.png", "A 71969-2021")</f>
        <v/>
      </c>
      <c r="V57">
        <f>HYPERLINK("https://klasma.github.io/Logging_0484/klagomål/A 71969-2021 FSC-klagomål.docx", "A 71969-2021")</f>
        <v/>
      </c>
      <c r="W57">
        <f>HYPERLINK("https://klasma.github.io/Logging_0484/klagomålsmail/A 71969-2021 FSC-klagomål mail.docx", "A 71969-2021")</f>
        <v/>
      </c>
      <c r="X57">
        <f>HYPERLINK("https://klasma.github.io/Logging_0484/tillsyn/A 71969-2021 tillsynsbegäran.docx", "A 71969-2021")</f>
        <v/>
      </c>
      <c r="Y57">
        <f>HYPERLINK("https://klasma.github.io/Logging_0484/tillsynsmail/A 71969-2021 tillsynsbegäran mail.docx", "A 71969-2021")</f>
        <v/>
      </c>
    </row>
    <row r="58" ht="15" customHeight="1">
      <c r="A58" t="inlineStr">
        <is>
          <t>A 571-2023</t>
        </is>
      </c>
      <c r="B58" s="1" t="n">
        <v>44930</v>
      </c>
      <c r="C58" s="1" t="n">
        <v>45680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Revlummer</t>
        </is>
      </c>
      <c r="S58">
        <f>HYPERLINK("https://klasma.github.io/Logging_0484/artfynd/A 571-2023 artfynd.xlsx", "A 571-2023")</f>
        <v/>
      </c>
      <c r="T58">
        <f>HYPERLINK("https://klasma.github.io/Logging_0484/kartor/A 571-2023 karta.png", "A 571-2023")</f>
        <v/>
      </c>
      <c r="V58">
        <f>HYPERLINK("https://klasma.github.io/Logging_0484/klagomål/A 571-2023 FSC-klagomål.docx", "A 571-2023")</f>
        <v/>
      </c>
      <c r="W58">
        <f>HYPERLINK("https://klasma.github.io/Logging_0484/klagomålsmail/A 571-2023 FSC-klagomål mail.docx", "A 571-2023")</f>
        <v/>
      </c>
      <c r="X58">
        <f>HYPERLINK("https://klasma.github.io/Logging_0484/tillsyn/A 571-2023 tillsynsbegäran.docx", "A 571-2023")</f>
        <v/>
      </c>
      <c r="Y58">
        <f>HYPERLINK("https://klasma.github.io/Logging_0484/tillsynsmail/A 571-2023 tillsynsbegäran mail.docx", "A 571-2023")</f>
        <v/>
      </c>
      <c r="Z58">
        <f>HYPERLINK("https://klasma.github.io/Logging_0484/fåglar/A 571-2023 prioriterade fågelarter.docx", "A 571-2023")</f>
        <v/>
      </c>
    </row>
    <row r="59" ht="15" customHeight="1">
      <c r="A59" t="inlineStr">
        <is>
          <t>A 25122-2023</t>
        </is>
      </c>
      <c r="B59" s="1" t="n">
        <v>45086</v>
      </c>
      <c r="C59" s="1" t="n">
        <v>45680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7.5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Revlummer</t>
        </is>
      </c>
      <c r="S59">
        <f>HYPERLINK("https://klasma.github.io/Logging_0484/artfynd/A 25122-2023 artfynd.xlsx", "A 25122-2023")</f>
        <v/>
      </c>
      <c r="T59">
        <f>HYPERLINK("https://klasma.github.io/Logging_0484/kartor/A 25122-2023 karta.png", "A 25122-2023")</f>
        <v/>
      </c>
      <c r="V59">
        <f>HYPERLINK("https://klasma.github.io/Logging_0484/klagomål/A 25122-2023 FSC-klagomål.docx", "A 25122-2023")</f>
        <v/>
      </c>
      <c r="W59">
        <f>HYPERLINK("https://klasma.github.io/Logging_0484/klagomålsmail/A 25122-2023 FSC-klagomål mail.docx", "A 25122-2023")</f>
        <v/>
      </c>
      <c r="X59">
        <f>HYPERLINK("https://klasma.github.io/Logging_0484/tillsyn/A 25122-2023 tillsynsbegäran.docx", "A 25122-2023")</f>
        <v/>
      </c>
      <c r="Y59">
        <f>HYPERLINK("https://klasma.github.io/Logging_0484/tillsynsmail/A 25122-2023 tillsynsbegäran mail.docx", "A 25122-2023")</f>
        <v/>
      </c>
    </row>
    <row r="60" ht="15" customHeight="1">
      <c r="A60" t="inlineStr">
        <is>
          <t>A 43237-2023</t>
        </is>
      </c>
      <c r="B60" s="1" t="n">
        <v>45183</v>
      </c>
      <c r="C60" s="1" t="n">
        <v>45680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4.2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Talltita</t>
        </is>
      </c>
      <c r="S60">
        <f>HYPERLINK("https://klasma.github.io/Logging_0484/artfynd/A 43237-2023 artfynd.xlsx", "A 43237-2023")</f>
        <v/>
      </c>
      <c r="T60">
        <f>HYPERLINK("https://klasma.github.io/Logging_0484/kartor/A 43237-2023 karta.png", "A 43237-2023")</f>
        <v/>
      </c>
      <c r="V60">
        <f>HYPERLINK("https://klasma.github.io/Logging_0484/klagomål/A 43237-2023 FSC-klagomål.docx", "A 43237-2023")</f>
        <v/>
      </c>
      <c r="W60">
        <f>HYPERLINK("https://klasma.github.io/Logging_0484/klagomålsmail/A 43237-2023 FSC-klagomål mail.docx", "A 43237-2023")</f>
        <v/>
      </c>
      <c r="X60">
        <f>HYPERLINK("https://klasma.github.io/Logging_0484/tillsyn/A 43237-2023 tillsynsbegäran.docx", "A 43237-2023")</f>
        <v/>
      </c>
      <c r="Y60">
        <f>HYPERLINK("https://klasma.github.io/Logging_0484/tillsynsmail/A 43237-2023 tillsynsbegäran mail.docx", "A 43237-2023")</f>
        <v/>
      </c>
      <c r="Z60">
        <f>HYPERLINK("https://klasma.github.io/Logging_0484/fåglar/A 43237-2023 prioriterade fågelarter.docx", "A 43237-2023")</f>
        <v/>
      </c>
    </row>
    <row r="61" ht="15" customHeight="1">
      <c r="A61" t="inlineStr">
        <is>
          <t>A 24767-2024</t>
        </is>
      </c>
      <c r="B61" s="1" t="n">
        <v>45460</v>
      </c>
      <c r="C61" s="1" t="n">
        <v>45680</v>
      </c>
      <c r="D61" t="inlineStr">
        <is>
          <t>SÖDERMANLANDS LÄN</t>
        </is>
      </c>
      <c r="E61" t="inlineStr">
        <is>
          <t>ESKILSTUNA</t>
        </is>
      </c>
      <c r="G61" t="n">
        <v>15.2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Mattlummer</t>
        </is>
      </c>
      <c r="S61">
        <f>HYPERLINK("https://klasma.github.io/Logging_0484/artfynd/A 24767-2024 artfynd.xlsx", "A 24767-2024")</f>
        <v/>
      </c>
      <c r="T61">
        <f>HYPERLINK("https://klasma.github.io/Logging_0484/kartor/A 24767-2024 karta.png", "A 24767-2024")</f>
        <v/>
      </c>
      <c r="V61">
        <f>HYPERLINK("https://klasma.github.io/Logging_0484/klagomål/A 24767-2024 FSC-klagomål.docx", "A 24767-2024")</f>
        <v/>
      </c>
      <c r="W61">
        <f>HYPERLINK("https://klasma.github.io/Logging_0484/klagomålsmail/A 24767-2024 FSC-klagomål mail.docx", "A 24767-2024")</f>
        <v/>
      </c>
      <c r="X61">
        <f>HYPERLINK("https://klasma.github.io/Logging_0484/tillsyn/A 24767-2024 tillsynsbegäran.docx", "A 24767-2024")</f>
        <v/>
      </c>
      <c r="Y61">
        <f>HYPERLINK("https://klasma.github.io/Logging_0484/tillsynsmail/A 24767-2024 tillsynsbegäran mail.docx", "A 24767-2024")</f>
        <v/>
      </c>
    </row>
    <row r="62" ht="15" customHeight="1">
      <c r="A62" t="inlineStr">
        <is>
          <t>A 43014-2024</t>
        </is>
      </c>
      <c r="B62" s="1" t="n">
        <v>45566</v>
      </c>
      <c r="C62" s="1" t="n">
        <v>45680</v>
      </c>
      <c r="D62" t="inlineStr">
        <is>
          <t>SÖDERMANLANDS LÄN</t>
        </is>
      </c>
      <c r="E62" t="inlineStr">
        <is>
          <t>ESKILSTUNA</t>
        </is>
      </c>
      <c r="G62" t="n">
        <v>19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Järpe
Kungsörn</t>
        </is>
      </c>
      <c r="S62">
        <f>HYPERLINK("https://klasma.github.io/Logging_0484/artfynd/A 43014-2024 artfynd.xlsx", "A 43014-2024")</f>
        <v/>
      </c>
      <c r="T62">
        <f>HYPERLINK("https://klasma.github.io/Logging_0484/kartor/A 43014-2024 karta.png", "A 43014-2024")</f>
        <v/>
      </c>
      <c r="V62">
        <f>HYPERLINK("https://klasma.github.io/Logging_0484/klagomål/A 43014-2024 FSC-klagomål.docx", "A 43014-2024")</f>
        <v/>
      </c>
      <c r="W62">
        <f>HYPERLINK("https://klasma.github.io/Logging_0484/klagomålsmail/A 43014-2024 FSC-klagomål mail.docx", "A 43014-2024")</f>
        <v/>
      </c>
      <c r="X62">
        <f>HYPERLINK("https://klasma.github.io/Logging_0484/tillsyn/A 43014-2024 tillsynsbegäran.docx", "A 43014-2024")</f>
        <v/>
      </c>
      <c r="Y62">
        <f>HYPERLINK("https://klasma.github.io/Logging_0484/tillsynsmail/A 43014-2024 tillsynsbegäran mail.docx", "A 43014-2024")</f>
        <v/>
      </c>
      <c r="Z62">
        <f>HYPERLINK("https://klasma.github.io/Logging_0484/fåglar/A 43014-2024 prioriterade fågelarter.docx", "A 43014-2024")</f>
        <v/>
      </c>
    </row>
    <row r="63" ht="15" customHeight="1">
      <c r="A63" t="inlineStr">
        <is>
          <t>A 51326-2024</t>
        </is>
      </c>
      <c r="B63" s="1" t="n">
        <v>45603</v>
      </c>
      <c r="C63" s="1" t="n">
        <v>45680</v>
      </c>
      <c r="D63" t="inlineStr">
        <is>
          <t>SÖDERMANLANDS LÄN</t>
        </is>
      </c>
      <c r="E63" t="inlineStr">
        <is>
          <t>ESKILSTUNA</t>
        </is>
      </c>
      <c r="G63" t="n">
        <v>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Myskbock
Blåsippa</t>
        </is>
      </c>
      <c r="S63">
        <f>HYPERLINK("https://klasma.github.io/Logging_0484/artfynd/A 51326-2024 artfynd.xlsx", "A 51326-2024")</f>
        <v/>
      </c>
      <c r="T63">
        <f>HYPERLINK("https://klasma.github.io/Logging_0484/kartor/A 51326-2024 karta.png", "A 51326-2024")</f>
        <v/>
      </c>
      <c r="V63">
        <f>HYPERLINK("https://klasma.github.io/Logging_0484/klagomål/A 51326-2024 FSC-klagomål.docx", "A 51326-2024")</f>
        <v/>
      </c>
      <c r="W63">
        <f>HYPERLINK("https://klasma.github.io/Logging_0484/klagomålsmail/A 51326-2024 FSC-klagomål mail.docx", "A 51326-2024")</f>
        <v/>
      </c>
      <c r="X63">
        <f>HYPERLINK("https://klasma.github.io/Logging_0484/tillsyn/A 51326-2024 tillsynsbegäran.docx", "A 51326-2024")</f>
        <v/>
      </c>
      <c r="Y63">
        <f>HYPERLINK("https://klasma.github.io/Logging_0484/tillsynsmail/A 51326-2024 tillsynsbegäran mail.docx", "A 51326-2024")</f>
        <v/>
      </c>
    </row>
    <row r="64" ht="15" customHeight="1">
      <c r="A64" t="inlineStr">
        <is>
          <t>A 315-2025</t>
        </is>
      </c>
      <c r="B64" s="1" t="n">
        <v>45660</v>
      </c>
      <c r="C64" s="1" t="n">
        <v>45680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Holmen skog AB</t>
        </is>
      </c>
      <c r="G64" t="n">
        <v>10.4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Blåsippa</t>
        </is>
      </c>
      <c r="S64">
        <f>HYPERLINK("https://klasma.github.io/Logging_0484/artfynd/A 315-2025 artfynd.xlsx", "A 315-2025")</f>
        <v/>
      </c>
      <c r="T64">
        <f>HYPERLINK("https://klasma.github.io/Logging_0484/kartor/A 315-2025 karta.png", "A 315-2025")</f>
        <v/>
      </c>
      <c r="V64">
        <f>HYPERLINK("https://klasma.github.io/Logging_0484/klagomål/A 315-2025 FSC-klagomål.docx", "A 315-2025")</f>
        <v/>
      </c>
      <c r="W64">
        <f>HYPERLINK("https://klasma.github.io/Logging_0484/klagomålsmail/A 315-2025 FSC-klagomål mail.docx", "A 315-2025")</f>
        <v/>
      </c>
      <c r="X64">
        <f>HYPERLINK("https://klasma.github.io/Logging_0484/tillsyn/A 315-2025 tillsynsbegäran.docx", "A 315-2025")</f>
        <v/>
      </c>
      <c r="Y64">
        <f>HYPERLINK("https://klasma.github.io/Logging_0484/tillsynsmail/A 315-2025 tillsynsbegäran mail.docx", "A 315-2025")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45680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45680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45680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45680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45680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45680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45680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45680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45680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45680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45680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45680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45680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45680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45680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45680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22267-2022</t>
        </is>
      </c>
      <c r="B81" s="1" t="n">
        <v>44712</v>
      </c>
      <c r="C81" s="1" t="n">
        <v>45680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Sveaskog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HYPERLINK("https://klasma.github.io/Logging_0484/artfynd/A 22267-2022 artfynd.xlsx", "A 22267-2022")</f>
        <v/>
      </c>
      <c r="T81">
        <f>HYPERLINK("https://klasma.github.io/Logging_0484/kartor/A 22267-2022 karta.png", "A 22267-2022")</f>
        <v/>
      </c>
      <c r="V81">
        <f>HYPERLINK("https://klasma.github.io/Logging_0484/klagomål/A 22267-2022 FSC-klagomål.docx", "A 22267-2022")</f>
        <v/>
      </c>
      <c r="W81">
        <f>HYPERLINK("https://klasma.github.io/Logging_0484/klagomålsmail/A 22267-2022 FSC-klagomål mail.docx", "A 22267-2022")</f>
        <v/>
      </c>
      <c r="X81">
        <f>HYPERLINK("https://klasma.github.io/Logging_0484/tillsyn/A 22267-2022 tillsynsbegäran.docx", "A 22267-2022")</f>
        <v/>
      </c>
      <c r="Y81">
        <f>HYPERLINK("https://klasma.github.io/Logging_0484/tillsynsmail/A 22267-2022 tillsynsbegäran mail.docx", "A 22267-2022")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45680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45680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45680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45680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45680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45680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45680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45680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45680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45680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45680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45680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45680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45680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45680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45680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45680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45680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45680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45680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45680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45680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45680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45680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45680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45680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45680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45680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45680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45680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45680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45680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45680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45680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45680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45680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45680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45680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45680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45680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45680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45680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45680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45680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45680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45680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45680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45680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45680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45680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45680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45680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45680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45680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45680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45680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45680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45680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45680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45680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45680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45680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45680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45680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45680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45680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45680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45680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45680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45680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45680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45680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45680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45680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45680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45680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45680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45680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45680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45680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45680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45680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45680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45680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45680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45680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45680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45680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45680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45680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45680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45680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45680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45680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45680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45680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45680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45680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45680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45680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45680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45680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45680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45680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45680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45680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45680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45680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45680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45680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45680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45680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45680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45680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45680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45680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45680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45680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45680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45680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45680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45680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45680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45680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45680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45680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45680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45680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45680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45680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45680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45680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45680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45680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45680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45680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45680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45680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45680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45680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45680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45680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45680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45680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45680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45680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45680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45680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45680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45680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45680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45680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45680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45680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45680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45680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45680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45680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45680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45680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45680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45680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45680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45680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45680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45680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45680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45680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45680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45680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45680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45680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45680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45680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45680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45680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45680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45680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45680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45680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45680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45680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45680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45680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45680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45680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45680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45680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45680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45680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45680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45680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45680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45680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45680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45680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45680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45680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45680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45680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45680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45680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45680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45680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45680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45680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45680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45680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45680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45680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45680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45680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45680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45680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45680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45680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45680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45680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45680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45680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45680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45680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45680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45680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45680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45680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45680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45680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45680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45680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45680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45680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45680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45680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45680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45680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45680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45680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45680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45680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45680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45680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45680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45680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45680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45680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45680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45680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45680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45680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45680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45680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45680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45680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45680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45680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45680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45680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45680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45680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45680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45680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45680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45680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45680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45680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45680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45680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45680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45680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45680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45680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45680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45680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45680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45680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45680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45680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45680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45680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45680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45680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45680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45680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45680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45680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45680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45680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45680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45680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45680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45680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45680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45680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45680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45680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45680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45680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45680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45680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45680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45680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45680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45680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45680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45680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45680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45680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45680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45680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45680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45680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45680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45680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45680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45680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45680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45680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45680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45680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45680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45680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45680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45680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45680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45680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45680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45680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45680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45680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45680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45680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45680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45680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45680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45680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45680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45680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45680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45680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45680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45680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45680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45680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45680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45680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45680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45680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45680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45680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45680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45680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45680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45680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45680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45680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45680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45680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45680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45680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45680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45680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45680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45680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45680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45680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45680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45680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45680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45680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45680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45680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45680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45680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45680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45680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45680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45680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45680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45680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45680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45680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45680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45680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45680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45680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45680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45680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45680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45680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45680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45680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45680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45680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45680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45680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45680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45680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45680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45680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45680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45680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45680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45680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45680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45680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45680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45680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45680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45680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45680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45680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45680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45680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45680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45680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45680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45680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45680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45680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45680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45680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45680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45680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45680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45680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45680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45680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45680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45680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45680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45680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45680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45680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45680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45680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45680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45680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45680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45680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45680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45680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45680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45680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45680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45680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45680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45680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45680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45680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45680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45680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45680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45680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45680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45680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45680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45680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45680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45680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45680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45680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45680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45680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45680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45680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45680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45680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45680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45680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45680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45680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45680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45680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45680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45680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45680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45680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45680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45680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45680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45680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45680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45680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45680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45680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45680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45680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45680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45680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45680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45680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45680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45680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45680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45680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45680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45680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45680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45680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45680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45680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45680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45680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45680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45680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45680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45680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45680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45680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45680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45680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45680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45680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45680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45680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45680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45680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45680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45680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45680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45680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45680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45680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45680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45680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45680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45680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45680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45680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45680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45680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45680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45680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45680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45680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45680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45680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45680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45680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45680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45680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45680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45680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45680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45680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45680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45680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45680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45680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45680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45680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45680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45680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45680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45680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45680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45680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45680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45680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45680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45680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45680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45680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45680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45680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45680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45680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45680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45680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45680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45680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45680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45680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45680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45680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45680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45680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45680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45680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45680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45680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45680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45680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45680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45680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45680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45680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45680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45680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45680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45680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45680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45680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45680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45680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45680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45680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45680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45680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45680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45680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45680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45680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45680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45680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45680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45680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45680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45680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45680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45680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45680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45680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45680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45680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45680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45680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45680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45680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45680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45680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45680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45680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45680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45680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45680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45680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45680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45680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45680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45680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45680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45680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45680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45680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45680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45680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45680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45680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45680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45680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45680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45680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45680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45680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45680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45680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45680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45680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45680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45680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45680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45680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45680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45680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45680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45680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45680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45680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45680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45680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45680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45680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45680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45680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45680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45680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45680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45680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45680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45680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45680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45680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45680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45680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45680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45680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45680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45680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45680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45680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45680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45680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45680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45680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45680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45680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45680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45680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45680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45680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45680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45680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45680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45680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45680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45680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45680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45680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45680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45680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45680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45680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45680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45680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45680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45680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45680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45680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45680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45680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45680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45680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45680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45680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45680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45680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45680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45680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45680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45680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45680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45680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45680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45680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45680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45680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45680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45680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45680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45680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45680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45680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45680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45680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45680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45680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45680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45680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45680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45680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45680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45680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45680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45680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45680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45680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45680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45680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45680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45680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45680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45680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45680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45680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45680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45680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45680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45680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45680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45680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45680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45680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45680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45680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45680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45680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45680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45680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45680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45680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45680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45680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45680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45680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45680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45680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45680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45680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45680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45680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45680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45680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45680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45680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45680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45680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45680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45680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45680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45680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45680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45680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45680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45680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45680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45680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45680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45680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45680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45680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45680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45680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45680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45680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45680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45680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45680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45680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45680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45680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45680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45680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45680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45680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45680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45680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45680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45680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45680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45680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45680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45680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45680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45680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45680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45680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45680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45680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45680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45680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45680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45680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45680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45680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45680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45680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45680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45680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45680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45680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45680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45680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45680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45680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45680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45680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45680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45680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45680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45680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45680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45680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45680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45680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45680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45680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45680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45680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45680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45680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45680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45680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45680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45680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45680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45680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45680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45680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45680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45680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45680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45680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45680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45680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45680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45680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45680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45680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45680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45680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45680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45680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45680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45680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45680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45680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45680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45680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45680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45680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45680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45680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45680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45680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45680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45680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45680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45680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45680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45680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45680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45680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45680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45680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45680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45680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45680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45680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45680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45680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45680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45680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45680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45680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45680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45680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45680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45680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45680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45680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45680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45680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45680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45680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45680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45680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45680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45680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45680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45680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45680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45680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45680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45680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45680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45680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45680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45680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45680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45680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45680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45680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45680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45680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45680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45680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45680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45680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45680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45680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45680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45680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45680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45680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45680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45680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45680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45680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45680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45680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45680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45680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45680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45680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45680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45680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45680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45680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45680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45680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45680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45680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45680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45680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45680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45680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45680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45680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45680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45680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45680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45680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45680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45680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45680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45680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45680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45680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45680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45680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45680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45680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45680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45680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45680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45680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45680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45680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45680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45680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45680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45680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45680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60244-2024</t>
        </is>
      </c>
      <c r="B1087" s="1" t="n">
        <v>45642</v>
      </c>
      <c r="C1087" s="1" t="n">
        <v>45680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45680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45680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45680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45680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545-2025</t>
        </is>
      </c>
      <c r="B1092" s="1" t="n">
        <v>45664</v>
      </c>
      <c r="C1092" s="1" t="n">
        <v>45680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1194-2025</t>
        </is>
      </c>
      <c r="B1093" s="1" t="n">
        <v>45667</v>
      </c>
      <c r="C1093" s="1" t="n">
        <v>45680</v>
      </c>
      <c r="D1093" t="inlineStr">
        <is>
          <t>SÖDERMANLANDS LÄN</t>
        </is>
      </c>
      <c r="E1093" t="inlineStr">
        <is>
          <t>ESKILSTUNA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1458-2025</t>
        </is>
      </c>
      <c r="B1094" s="1" t="n">
        <v>45670</v>
      </c>
      <c r="C1094" s="1" t="n">
        <v>45680</v>
      </c>
      <c r="D1094" t="inlineStr">
        <is>
          <t>SÖDERMANLANDS LÄN</t>
        </is>
      </c>
      <c r="E1094" t="inlineStr">
        <is>
          <t>ESKILSTUNA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1506-2025</t>
        </is>
      </c>
      <c r="B1095" s="1" t="n">
        <v>45670</v>
      </c>
      <c r="C1095" s="1" t="n">
        <v>45680</v>
      </c>
      <c r="D1095" t="inlineStr">
        <is>
          <t>SÖDERMANLANDS LÄN</t>
        </is>
      </c>
      <c r="E1095" t="inlineStr">
        <is>
          <t>ESKILSTUNA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1538-2025</t>
        </is>
      </c>
      <c r="B1096" s="1" t="n">
        <v>45670</v>
      </c>
      <c r="C1096" s="1" t="n">
        <v>45680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1701-2025</t>
        </is>
      </c>
      <c r="B1097" s="1" t="n">
        <v>45670</v>
      </c>
      <c r="C1097" s="1" t="n">
        <v>45680</v>
      </c>
      <c r="D1097" t="inlineStr">
        <is>
          <t>SÖDERMANLANDS LÄN</t>
        </is>
      </c>
      <c r="E1097" t="inlineStr">
        <is>
          <t>ESKILSTUNA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1700-2025</t>
        </is>
      </c>
      <c r="B1098" s="1" t="n">
        <v>45670</v>
      </c>
      <c r="C1098" s="1" t="n">
        <v>45680</v>
      </c>
      <c r="D1098" t="inlineStr">
        <is>
          <t>SÖDERMANLANDS LÄN</t>
        </is>
      </c>
      <c r="E1098" t="inlineStr">
        <is>
          <t>ESKILSTUNA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1990-2025</t>
        </is>
      </c>
      <c r="B1099" s="1" t="n">
        <v>45672</v>
      </c>
      <c r="C1099" s="1" t="n">
        <v>45680</v>
      </c>
      <c r="D1099" t="inlineStr">
        <is>
          <t>SÖDERMANLANDS LÄN</t>
        </is>
      </c>
      <c r="E1099" t="inlineStr">
        <is>
          <t>ESKILSTUNA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2261-2025</t>
        </is>
      </c>
      <c r="B1100" s="1" t="n">
        <v>45673</v>
      </c>
      <c r="C1100" s="1" t="n">
        <v>45680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Kyrkan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2514-2025</t>
        </is>
      </c>
      <c r="B1101" s="1" t="n">
        <v>45674</v>
      </c>
      <c r="C1101" s="1" t="n">
        <v>45680</v>
      </c>
      <c r="D1101" t="inlineStr">
        <is>
          <t>SÖDERMANLANDS LÄN</t>
        </is>
      </c>
      <c r="E1101" t="inlineStr">
        <is>
          <t>ESKILSTUNA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2515-2025</t>
        </is>
      </c>
      <c r="B1102" s="1" t="n">
        <v>45674</v>
      </c>
      <c r="C1102" s="1" t="n">
        <v>45680</v>
      </c>
      <c r="D1102" t="inlineStr">
        <is>
          <t>SÖDERMANLANDS LÄN</t>
        </is>
      </c>
      <c r="E1102" t="inlineStr">
        <is>
          <t>ESKILSTUNA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2512-2025</t>
        </is>
      </c>
      <c r="B1103" s="1" t="n">
        <v>45674</v>
      </c>
      <c r="C1103" s="1" t="n">
        <v>45680</v>
      </c>
      <c r="D1103" t="inlineStr">
        <is>
          <t>SÖDERMANLANDS LÄN</t>
        </is>
      </c>
      <c r="E1103" t="inlineStr">
        <is>
          <t>ESKILSTUNA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2517-2025</t>
        </is>
      </c>
      <c r="B1104" s="1" t="n">
        <v>45674</v>
      </c>
      <c r="C1104" s="1" t="n">
        <v>45680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2025-01-23T15:28:36Z</dcterms:created>
  <dcterms:modified xmlns:dcterms="http://purl.org/dc/terms/" xmlns:xsi="http://www.w3.org/2001/XMLSchema-instance" xsi:type="dcterms:W3CDTF">2025-01-23T15:28:37Z</dcterms:modified>
</cp:coreProperties>
</file>