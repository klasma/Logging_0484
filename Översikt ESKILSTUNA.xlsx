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62575-2021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44503</v>
      </c>
      <c r="E2" s="1" t="n">
        <v>46318</v>
      </c>
      <c r="F2" t="inlineStr">
        <is>
          <t>SÖDERMANLANDS LÄN</t>
        </is>
      </c>
      <c r="G2" t="inlineStr">
        <is>
          <t>ESKILSTUNA</t>
        </is>
      </c>
      <c r="I2" t="n">
        <v>13.1</v>
      </c>
      <c r="J2" t="n">
        <v>17</v>
      </c>
      <c r="K2" t="n">
        <v>0</v>
      </c>
      <c r="L2" t="n">
        <v>9</v>
      </c>
      <c r="M2" t="n">
        <v>2</v>
      </c>
      <c r="N2" t="n">
        <v>1</v>
      </c>
      <c r="O2" t="n">
        <v>0</v>
      </c>
      <c r="P2" t="n">
        <v>0</v>
      </c>
      <c r="Q2" t="n">
        <v>12</v>
      </c>
      <c r="R2" t="n">
        <v>3</v>
      </c>
      <c r="S2" t="n">
        <v>17</v>
      </c>
      <c r="T2" t="n">
        <v>17</v>
      </c>
      <c r="U2" t="n">
        <v>1</v>
      </c>
      <c r="V2" s="2" t="inlineStr">
        <is>
          <t>Storspov
Blå kärrhök
Tofsvipa
Duvhök
Enkelbeckasin
Gulsparv
Göktyta
Järnsparv
Mindre hackspett
Nötkråka
Sparvuggla
Talltita
Järpe
Kråka
Sävsparv
Sångsvan
Trana</t>
        </is>
      </c>
      <c r="W2">
        <f>HYPERLINK("https://klasma.github.io/Logging_0484/artfynd/A 62575-2021 artfynd.xlsx", "A 62575-2021")</f>
        <v/>
      </c>
      <c r="X2">
        <f>HYPERLINK("https://klasma.github.io/Logging_0484/kartor/A 62575-2021 karta.png", "A 62575-2021")</f>
        <v/>
      </c>
      <c r="Y2">
        <f>HYPERLINK("https://klasma.github.io/Logging_0484/kartor_geotiff/A 62575-2021 georefererad karta.tif", "A 62575-2021")</f>
        <v/>
      </c>
      <c r="AA2">
        <f>HYPERLINK("https://klasma.github.io/Logging_0484/klagomål/A 62575-2021 FSC-klagomål.docx", "A 62575-2021")</f>
        <v/>
      </c>
      <c r="AB2">
        <f>HYPERLINK("https://klasma.github.io/Logging_0484/klagomålsmail/A 62575-2021 FSC-klagomål mail.docx", "A 62575-2021")</f>
        <v/>
      </c>
      <c r="AC2">
        <f>HYPERLINK("https://klasma.github.io/Logging_0484/tillsyn/A 62575-2021 tillsynsbegäran.docx", "A 62575-2021")</f>
        <v/>
      </c>
      <c r="AD2">
        <f>HYPERLINK("https://klasma.github.io/Logging_0484/tillsynsmail/A 62575-2021 tillsynsbegäran mail.docx", "A 62575-2021")</f>
        <v/>
      </c>
      <c r="AE2">
        <f>HYPERLINK("https://klasma.github.io/Logging_0484/fåglar/A 62575-2021 prioriterade fågelarter.docx", "A 62575-2021")</f>
        <v/>
      </c>
    </row>
    <row r="3" ht="15" customHeight="1">
      <c r="A3" t="inlineStr">
        <is>
          <t>A 50772-2023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45217</v>
      </c>
      <c r="E3" s="1" t="n">
        <v>46318</v>
      </c>
      <c r="F3" t="inlineStr">
        <is>
          <t>SÖDERMANLANDS LÄN</t>
        </is>
      </c>
      <c r="G3" t="inlineStr">
        <is>
          <t>ESKILSTUNA</t>
        </is>
      </c>
      <c r="I3" t="n">
        <v>10.8</v>
      </c>
      <c r="J3" t="n">
        <v>3</v>
      </c>
      <c r="K3" t="n">
        <v>7</v>
      </c>
      <c r="L3" t="n">
        <v>5</v>
      </c>
      <c r="M3" t="n">
        <v>1</v>
      </c>
      <c r="N3" t="n">
        <v>0</v>
      </c>
      <c r="O3" t="n">
        <v>0</v>
      </c>
      <c r="P3" t="n">
        <v>0</v>
      </c>
      <c r="Q3" t="n">
        <v>6</v>
      </c>
      <c r="R3" t="n">
        <v>1</v>
      </c>
      <c r="S3" t="n">
        <v>14</v>
      </c>
      <c r="T3" t="n">
        <v>38</v>
      </c>
      <c r="U3" t="n">
        <v>38</v>
      </c>
      <c r="V3" s="2" t="inlineStr">
        <is>
          <t>Ulltickeporing
Fyrflikig jordstjärna
Motaggsvamp
Talltita
Ullticka
Vedtrappmossa
Blåmossa
Brandticka
Grön sköldmossa
Kamjordstjärna
Mindre märgborre
Platt fjädermossa
Rödgul trumpetsvamp
Blåsippa</t>
        </is>
      </c>
      <c r="W3">
        <f>HYPERLINK("https://klasma.github.io/Logging_0484/artfynd/A 50772-2023 artfynd.xlsx", "A 50772-2023")</f>
        <v/>
      </c>
      <c r="X3">
        <f>HYPERLINK("https://klasma.github.io/Logging_0484/kartor/A 50772-2023 karta.png", "A 50772-2023")</f>
        <v/>
      </c>
      <c r="Y3">
        <f>HYPERLINK("https://klasma.github.io/Logging_0484/kartor_geotiff/A 50772-2023 georefererad karta.tif", "A 50772-2023")</f>
        <v/>
      </c>
      <c r="AA3">
        <f>HYPERLINK("https://klasma.github.io/Logging_0484/klagomål/A 50772-2023 FSC-klagomål.docx", "A 50772-2023")</f>
        <v/>
      </c>
      <c r="AB3">
        <f>HYPERLINK("https://klasma.github.io/Logging_0484/klagomålsmail/A 50772-2023 FSC-klagomål mail.docx", "A 50772-2023")</f>
        <v/>
      </c>
      <c r="AC3">
        <f>HYPERLINK("https://klasma.github.io/Logging_0484/tillsyn/A 50772-2023 tillsynsbegäran.docx", "A 50772-2023")</f>
        <v/>
      </c>
      <c r="AD3">
        <f>HYPERLINK("https://klasma.github.io/Logging_0484/tillsynsmail/A 50772-2023 tillsynsbegäran mail.docx", "A 50772-2023")</f>
        <v/>
      </c>
      <c r="AE3">
        <f>HYPERLINK("https://klasma.github.io/Logging_0484/fåglar/A 50772-2023 prioriterade fågelarter.docx", "A 50772-2023")</f>
        <v/>
      </c>
    </row>
    <row r="4" ht="15" customHeight="1">
      <c r="A4" t="inlineStr">
        <is>
          <t>A 50944-2025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45946</v>
      </c>
      <c r="E4" s="1" t="n">
        <v>46318</v>
      </c>
      <c r="F4" t="inlineStr">
        <is>
          <t>SÖDERMANLANDS LÄN</t>
        </is>
      </c>
      <c r="G4" t="inlineStr">
        <is>
          <t>ESKILSTUNA</t>
        </is>
      </c>
      <c r="I4" t="n">
        <v>11.2</v>
      </c>
      <c r="J4" t="n">
        <v>4</v>
      </c>
      <c r="K4" t="n">
        <v>7</v>
      </c>
      <c r="L4" t="n">
        <v>4</v>
      </c>
      <c r="M4" t="n">
        <v>1</v>
      </c>
      <c r="N4" t="n">
        <v>0</v>
      </c>
      <c r="O4" t="n">
        <v>0</v>
      </c>
      <c r="P4" t="n">
        <v>0</v>
      </c>
      <c r="Q4" t="n">
        <v>5</v>
      </c>
      <c r="R4" t="n">
        <v>1</v>
      </c>
      <c r="S4" t="n">
        <v>14</v>
      </c>
      <c r="T4" t="n">
        <v>52</v>
      </c>
      <c r="U4" t="n">
        <v>52</v>
      </c>
      <c r="V4" s="2" t="inlineStr">
        <is>
          <t>Knärot
Gropticka
Rynkskinn
Talltita
Ullticka
Blåmossa
Bronshjon
Gullgröppa
Kornknutmossa
Mindre märgborre
Stekelbock
Vågbandad barkbock
Spillkråka
Kungsfågel</t>
        </is>
      </c>
      <c r="W4">
        <f>HYPERLINK("https://klasma.github.io/Logging_0484/artfynd/A 50944-2025 artfynd.xlsx", "A 50944-2025")</f>
        <v/>
      </c>
      <c r="X4">
        <f>HYPERLINK("https://klasma.github.io/Logging_0484/kartor/A 50944-2025 karta.png", "A 50944-2025")</f>
        <v/>
      </c>
      <c r="Y4">
        <f>HYPERLINK("https://klasma.github.io/Logging_0484/kartor_geotiff/A 50944-2025 georefererad karta.tif", "A 50944-2025")</f>
        <v/>
      </c>
      <c r="Z4">
        <f>HYPERLINK("https://klasma.github.io/Logging_0484/knärot/A 50944-2025 karta knärot.png", "A 50944-2025")</f>
        <v/>
      </c>
      <c r="AA4">
        <f>HYPERLINK("https://klasma.github.io/Logging_0484/klagomål/A 50944-2025 FSC-klagomål.docx", "A 50944-2025")</f>
        <v/>
      </c>
      <c r="AB4">
        <f>HYPERLINK("https://klasma.github.io/Logging_0484/klagomålsmail/A 50944-2025 FSC-klagomål mail.docx", "A 50944-2025")</f>
        <v/>
      </c>
      <c r="AC4">
        <f>HYPERLINK("https://klasma.github.io/Logging_0484/tillsyn/A 50944-2025 tillsynsbegäran.docx", "A 50944-2025")</f>
        <v/>
      </c>
      <c r="AD4">
        <f>HYPERLINK("https://klasma.github.io/Logging_0484/tillsynsmail/A 50944-2025 tillsynsbegäran mail.docx", "A 50944-2025")</f>
        <v/>
      </c>
      <c r="AE4">
        <f>HYPERLINK("https://klasma.github.io/Logging_0484/fåglar/A 50944-2025 prioriterade fågelarter.docx", "A 50944-2025")</f>
        <v/>
      </c>
    </row>
    <row r="5" ht="15" customHeight="1">
      <c r="A5" t="inlineStr">
        <is>
          <t>A 16119-2026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46108</v>
      </c>
      <c r="E5" s="1" t="n">
        <v>46318</v>
      </c>
      <c r="F5" t="inlineStr">
        <is>
          <t>SÖDERMANLANDS LÄN</t>
        </is>
      </c>
      <c r="G5" t="inlineStr">
        <is>
          <t>ESKILSTUNA</t>
        </is>
      </c>
      <c r="I5" t="n">
        <v>6.5</v>
      </c>
      <c r="J5" t="n">
        <v>5</v>
      </c>
      <c r="K5" t="n">
        <v>3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4</v>
      </c>
      <c r="R5" t="n">
        <v>1</v>
      </c>
      <c r="S5" t="n">
        <v>13</v>
      </c>
      <c r="T5" t="n">
        <v>20</v>
      </c>
      <c r="U5" t="n">
        <v>15</v>
      </c>
      <c r="V5" s="2" t="inlineStr">
        <is>
          <t>Knärot
Gullpudra
Tallticka
Vedskivlav
Kamjordstjärna
Springkorn
Svart trolldruva
Blåsippa
Bäckbräsma
Skriftlav
Spillkråka
Gullviva
Revlummer</t>
        </is>
      </c>
      <c r="W5">
        <f>HYPERLINK("https://klasma.github.io/Logging_0484/artfynd/A 16119-2026 artfynd.xlsx", "A 16119-2026")</f>
        <v/>
      </c>
      <c r="X5">
        <f>HYPERLINK("https://klasma.github.io/Logging_0484/kartor/A 16119-2026 karta.png", "A 16119-2026")</f>
        <v/>
      </c>
      <c r="Y5">
        <f>HYPERLINK("https://klasma.github.io/Logging_0484/kartor_geotiff/A 16119-2026 georefererad karta.tif", "A 16119-2026")</f>
        <v/>
      </c>
      <c r="Z5">
        <f>HYPERLINK("https://klasma.github.io/Logging_0484/knärot/A 16119-2026 karta knärot.png", "A 16119-2026")</f>
        <v/>
      </c>
      <c r="AA5">
        <f>HYPERLINK("https://klasma.github.io/Logging_0484/klagomål/A 16119-2026 FSC-klagomål.docx", "A 16119-2026")</f>
        <v/>
      </c>
      <c r="AB5">
        <f>HYPERLINK("https://klasma.github.io/Logging_0484/klagomålsmail/A 16119-2026 FSC-klagomål mail.docx", "A 16119-2026")</f>
        <v/>
      </c>
      <c r="AC5">
        <f>HYPERLINK("https://klasma.github.io/Logging_0484/tillsyn/A 16119-2026 tillsynsbegäran.docx", "A 16119-2026")</f>
        <v/>
      </c>
      <c r="AD5">
        <f>HYPERLINK("https://klasma.github.io/Logging_0484/tillsynsmail/A 16119-2026 tillsynsbegäran mail.docx", "A 16119-2026")</f>
        <v/>
      </c>
      <c r="AE5">
        <f>HYPERLINK("https://klasma.github.io/Logging_0484/fåglar/A 16119-2026 prioriterade fågelarter.docx", "A 16119-2026")</f>
        <v/>
      </c>
    </row>
    <row r="6" ht="15" customHeight="1">
      <c r="A6" t="inlineStr">
        <is>
          <t>A 42245-2025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45904</v>
      </c>
      <c r="E6" s="1" t="n">
        <v>46318</v>
      </c>
      <c r="F6" t="inlineStr">
        <is>
          <t>SÖDERMANLANDS LÄN</t>
        </is>
      </c>
      <c r="G6" t="inlineStr">
        <is>
          <t>ESKILSTUNA</t>
        </is>
      </c>
      <c r="H6" t="inlineStr">
        <is>
          <t>Kyrkan</t>
        </is>
      </c>
      <c r="I6" t="n">
        <v>1.7</v>
      </c>
      <c r="J6" t="n">
        <v>1</v>
      </c>
      <c r="K6" t="n">
        <v>0</v>
      </c>
      <c r="L6" t="n">
        <v>6</v>
      </c>
      <c r="M6" t="n">
        <v>1</v>
      </c>
      <c r="N6" t="n">
        <v>0</v>
      </c>
      <c r="O6" t="n">
        <v>0</v>
      </c>
      <c r="P6" t="n">
        <v>0</v>
      </c>
      <c r="Q6" t="n">
        <v>7</v>
      </c>
      <c r="R6" t="n">
        <v>1</v>
      </c>
      <c r="S6" t="n">
        <v>11</v>
      </c>
      <c r="T6" t="n">
        <v>19</v>
      </c>
      <c r="U6" t="n">
        <v>19</v>
      </c>
      <c r="V6" s="2" t="inlineStr">
        <is>
          <t>Grangråticka
Fjällig taggsvamp s.str.
Flattoppad klubbsvamp
Fyrflikig jordstjärna
Skarp dropptaggsvamp
Svart taggsvamp
Svinrot
Blåbär
Blåsippa
Ekbräken
Liljekonvalj</t>
        </is>
      </c>
      <c r="W6">
        <f>HYPERLINK("https://klasma.github.io/Logging_0484/artfynd/A 42245-2025 artfynd.xlsx", "A 42245-2025")</f>
        <v/>
      </c>
      <c r="X6">
        <f>HYPERLINK("https://klasma.github.io/Logging_0484/kartor/A 42245-2025 karta.png", "A 42245-2025")</f>
        <v/>
      </c>
      <c r="Y6">
        <f>HYPERLINK("https://klasma.github.io/Logging_0484/kartor_geotiff/A 42245-2025 georefererad karta.tif", "A 42245-2025")</f>
        <v/>
      </c>
      <c r="AA6">
        <f>HYPERLINK("https://klasma.github.io/Logging_0484/klagomål/A 42245-2025 FSC-klagomål.docx", "A 42245-2025")</f>
        <v/>
      </c>
      <c r="AB6">
        <f>HYPERLINK("https://klasma.github.io/Logging_0484/klagomålsmail/A 42245-2025 FSC-klagomål mail.docx", "A 42245-2025")</f>
        <v/>
      </c>
      <c r="AC6">
        <f>HYPERLINK("https://klasma.github.io/Logging_0484/tillsyn/A 42245-2025 tillsynsbegäran.docx", "A 42245-2025")</f>
        <v/>
      </c>
      <c r="AD6">
        <f>HYPERLINK("https://klasma.github.io/Logging_0484/tillsynsmail/A 42245-2025 tillsynsbegäran mail.docx", "A 42245-2025")</f>
        <v/>
      </c>
    </row>
    <row r="7" ht="15" customHeight="1">
      <c r="A7" t="inlineStr">
        <is>
          <t>A 33004-2026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46244</v>
      </c>
      <c r="E7" s="1" t="n">
        <v>46318</v>
      </c>
      <c r="F7" t="inlineStr">
        <is>
          <t>SÖDERMANLANDS LÄN</t>
        </is>
      </c>
      <c r="G7" t="inlineStr">
        <is>
          <t>ESKILSTUNA</t>
        </is>
      </c>
      <c r="H7" t="inlineStr">
        <is>
          <t>Kommuner</t>
        </is>
      </c>
      <c r="I7" t="n">
        <v>1.7</v>
      </c>
      <c r="J7" t="n">
        <v>3</v>
      </c>
      <c r="K7" t="n">
        <v>3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8</v>
      </c>
      <c r="T7" t="n">
        <v>15</v>
      </c>
      <c r="U7" t="n">
        <v>14</v>
      </c>
      <c r="V7" s="2" t="inlineStr">
        <is>
          <t>Kandelabersvamp
Älg
Hasselticka
Svart trolldruva
Tibast
Blåsippa
Spillkråka
Vanlig padda</t>
        </is>
      </c>
      <c r="W7">
        <f>HYPERLINK("https://klasma.github.io/Logging_0484/artfynd/A 33004-2026 artfynd.xlsx", "A 33004-2026")</f>
        <v/>
      </c>
      <c r="X7">
        <f>HYPERLINK("https://klasma.github.io/Logging_0484/kartor/A 33004-2026 karta.png", "A 33004-2026")</f>
        <v/>
      </c>
      <c r="Y7">
        <f>HYPERLINK("https://klasma.github.io/Logging_0484/kartor_geotiff/A 33004-2026 georefererad karta.tif", "A 33004-2026")</f>
        <v/>
      </c>
      <c r="AA7">
        <f>HYPERLINK("https://klasma.github.io/Logging_0484/klagomål/A 33004-2026 FSC-klagomål.docx", "A 33004-2026")</f>
        <v/>
      </c>
      <c r="AB7">
        <f>HYPERLINK("https://klasma.github.io/Logging_0484/klagomålsmail/A 33004-2026 FSC-klagomål mail.docx", "A 33004-2026")</f>
        <v/>
      </c>
      <c r="AC7">
        <f>HYPERLINK("https://klasma.github.io/Logging_0484/tillsyn/A 33004-2026 tillsynsbegäran.docx", "A 33004-2026")</f>
        <v/>
      </c>
      <c r="AD7">
        <f>HYPERLINK("https://klasma.github.io/Logging_0484/tillsynsmail/A 33004-2026 tillsynsbegäran mail.docx", "A 33004-2026")</f>
        <v/>
      </c>
      <c r="AE7">
        <f>HYPERLINK("https://klasma.github.io/Logging_0484/fåglar/A 33004-2026 prioriterade fågelarter.docx", "A 33004-2026")</f>
        <v/>
      </c>
    </row>
    <row r="8" ht="15" customHeight="1">
      <c r="A8" t="inlineStr">
        <is>
          <t>A 17144-2023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45034</v>
      </c>
      <c r="E8" s="1" t="n">
        <v>46318</v>
      </c>
      <c r="F8" t="inlineStr">
        <is>
          <t>SÖDERMANLANDS LÄN</t>
        </is>
      </c>
      <c r="G8" t="inlineStr">
        <is>
          <t>ESKILSTUNA</t>
        </is>
      </c>
      <c r="I8" t="n">
        <v>3.8</v>
      </c>
      <c r="J8" t="n">
        <v>2</v>
      </c>
      <c r="K8" t="n">
        <v>1</v>
      </c>
      <c r="L8" t="n">
        <v>4</v>
      </c>
      <c r="M8" t="n">
        <v>1</v>
      </c>
      <c r="N8" t="n">
        <v>0</v>
      </c>
      <c r="O8" t="n">
        <v>0</v>
      </c>
      <c r="P8" t="n">
        <v>0</v>
      </c>
      <c r="Q8" t="n">
        <v>5</v>
      </c>
      <c r="R8" t="n">
        <v>1</v>
      </c>
      <c r="S8" t="n">
        <v>7</v>
      </c>
      <c r="T8" t="n">
        <v>54</v>
      </c>
      <c r="U8" t="n">
        <v>48</v>
      </c>
      <c r="V8" s="2" t="inlineStr">
        <is>
          <t>Knärot
Dropptaggsvamp
Grantaggsvamp
Motaggsvamp
Talltaggsvamp
Mindre märgborre
Spillkråka</t>
        </is>
      </c>
      <c r="W8">
        <f>HYPERLINK("https://klasma.github.io/Logging_0484/artfynd/A 17144-2023 artfynd.xlsx", "A 17144-2023")</f>
        <v/>
      </c>
      <c r="X8">
        <f>HYPERLINK("https://klasma.github.io/Logging_0484/kartor/A 17144-2023 karta.png", "A 17144-2023")</f>
        <v/>
      </c>
      <c r="Y8">
        <f>HYPERLINK("https://klasma.github.io/Logging_0484/kartor_geotiff/A 17144-2023 georefererad karta.tif", "A 17144-2023")</f>
        <v/>
      </c>
      <c r="Z8">
        <f>HYPERLINK("https://klasma.github.io/Logging_0484/knärot/A 17144-2023 karta knärot.png", "A 17144-2023")</f>
        <v/>
      </c>
      <c r="AA8">
        <f>HYPERLINK("https://klasma.github.io/Logging_0484/klagomål/A 17144-2023 FSC-klagomål.docx", "A 17144-2023")</f>
        <v/>
      </c>
      <c r="AB8">
        <f>HYPERLINK("https://klasma.github.io/Logging_0484/klagomålsmail/A 17144-2023 FSC-klagomål mail.docx", "A 17144-2023")</f>
        <v/>
      </c>
      <c r="AC8">
        <f>HYPERLINK("https://klasma.github.io/Logging_0484/tillsyn/A 17144-2023 tillsynsbegäran.docx", "A 17144-2023")</f>
        <v/>
      </c>
      <c r="AD8">
        <f>HYPERLINK("https://klasma.github.io/Logging_0484/tillsynsmail/A 17144-2023 tillsynsbegäran mail.docx", "A 17144-2023")</f>
        <v/>
      </c>
      <c r="AE8">
        <f>HYPERLINK("https://klasma.github.io/Logging_0484/fåglar/A 17144-2023 prioriterade fågelarter.docx", "A 17144-2023")</f>
        <v/>
      </c>
    </row>
    <row r="9" ht="15" customHeight="1">
      <c r="A9" t="inlineStr">
        <is>
          <t>A 4219-2023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44953</v>
      </c>
      <c r="E9" s="1" t="n">
        <v>46318</v>
      </c>
      <c r="F9" t="inlineStr">
        <is>
          <t>SÖDERMANLANDS LÄN</t>
        </is>
      </c>
      <c r="G9" t="inlineStr">
        <is>
          <t>ESKILSTUNA</t>
        </is>
      </c>
      <c r="H9" t="inlineStr">
        <is>
          <t>Kyrkan</t>
        </is>
      </c>
      <c r="I9" t="n">
        <v>0.6</v>
      </c>
      <c r="J9" t="n">
        <v>3</v>
      </c>
      <c r="K9" t="n">
        <v>3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1</v>
      </c>
      <c r="S9" t="n">
        <v>7</v>
      </c>
      <c r="T9" t="n">
        <v>10</v>
      </c>
      <c r="U9" t="n">
        <v>7</v>
      </c>
      <c r="V9" s="2" t="inlineStr">
        <is>
          <t>Knärot
Tallkötticka
Talltita
Blodticka
Blåmossa
Mindre märgborre
Blåsippa</t>
        </is>
      </c>
      <c r="W9">
        <f>HYPERLINK("https://klasma.github.io/Logging_0484/artfynd/A 4219-2023 artfynd.xlsx", "A 4219-2023")</f>
        <v/>
      </c>
      <c r="X9">
        <f>HYPERLINK("https://klasma.github.io/Logging_0484/kartor/A 4219-2023 karta.png", "A 4219-2023")</f>
        <v/>
      </c>
      <c r="Y9">
        <f>HYPERLINK("https://klasma.github.io/Logging_0484/kartor_geotiff/A 4219-2023 georefererad karta.tif", "A 4219-2023")</f>
        <v/>
      </c>
      <c r="Z9">
        <f>HYPERLINK("https://klasma.github.io/Logging_0484/knärot/A 4219-2023 karta knärot.png", "A 4219-2023")</f>
        <v/>
      </c>
      <c r="AA9">
        <f>HYPERLINK("https://klasma.github.io/Logging_0484/klagomål/A 4219-2023 FSC-klagomål.docx", "A 4219-2023")</f>
        <v/>
      </c>
      <c r="AB9">
        <f>HYPERLINK("https://klasma.github.io/Logging_0484/klagomålsmail/A 4219-2023 FSC-klagomål mail.docx", "A 4219-2023")</f>
        <v/>
      </c>
      <c r="AC9">
        <f>HYPERLINK("https://klasma.github.io/Logging_0484/tillsyn/A 4219-2023 tillsynsbegäran.docx", "A 4219-2023")</f>
        <v/>
      </c>
      <c r="AD9">
        <f>HYPERLINK("https://klasma.github.io/Logging_0484/tillsynsmail/A 4219-2023 tillsynsbegäran mail.docx", "A 4219-2023")</f>
        <v/>
      </c>
      <c r="AE9">
        <f>HYPERLINK("https://klasma.github.io/Logging_0484/fåglar/A 4219-2023 prioriterade fågelarter.docx", "A 4219-2023")</f>
        <v/>
      </c>
    </row>
    <row r="10" ht="15" customHeight="1">
      <c r="A10" t="inlineStr">
        <is>
          <t>A 21734-2023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45063</v>
      </c>
      <c r="E10" s="1" t="n">
        <v>46318</v>
      </c>
      <c r="F10" t="inlineStr">
        <is>
          <t>SÖDERMANLANDS LÄN</t>
        </is>
      </c>
      <c r="G10" t="inlineStr">
        <is>
          <t>ESKILSTUNA</t>
        </is>
      </c>
      <c r="I10" t="n">
        <v>10.5</v>
      </c>
      <c r="J10" t="n">
        <v>0</v>
      </c>
      <c r="K10" t="n">
        <v>1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7</v>
      </c>
      <c r="T10" t="n">
        <v>10</v>
      </c>
      <c r="U10" t="n">
        <v>10</v>
      </c>
      <c r="V10" s="2" t="inlineStr">
        <is>
          <t>Dropptaggsvamp
Kryddspindling
Motaggsvamp
Skarp dropptaggsvamp
Svartvit taggsvamp
Talltaggsvamp
Grönpyrola</t>
        </is>
      </c>
      <c r="W10">
        <f>HYPERLINK("https://klasma.github.io/Logging_0484/artfynd/A 21734-2023 artfynd.xlsx", "A 21734-2023")</f>
        <v/>
      </c>
      <c r="X10">
        <f>HYPERLINK("https://klasma.github.io/Logging_0484/kartor/A 21734-2023 karta.png", "A 21734-2023")</f>
        <v/>
      </c>
      <c r="Y10">
        <f>HYPERLINK("https://klasma.github.io/Logging_0484/kartor_geotiff/A 21734-2023 georefererad karta.tif", "A 21734-2023")</f>
        <v/>
      </c>
      <c r="AA10">
        <f>HYPERLINK("https://klasma.github.io/Logging_0484/klagomål/A 21734-2023 FSC-klagomål.docx", "A 21734-2023")</f>
        <v/>
      </c>
      <c r="AB10">
        <f>HYPERLINK("https://klasma.github.io/Logging_0484/klagomålsmail/A 21734-2023 FSC-klagomål mail.docx", "A 21734-2023")</f>
        <v/>
      </c>
      <c r="AC10">
        <f>HYPERLINK("https://klasma.github.io/Logging_0484/tillsyn/A 21734-2023 tillsynsbegäran.docx", "A 21734-2023")</f>
        <v/>
      </c>
      <c r="AD10">
        <f>HYPERLINK("https://klasma.github.io/Logging_0484/tillsynsmail/A 21734-2023 tillsynsbegäran mail.docx", "A 21734-2023")</f>
        <v/>
      </c>
    </row>
    <row r="11" ht="15" customHeight="1">
      <c r="A11" t="inlineStr">
        <is>
          <t>A 61503-2022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44916</v>
      </c>
      <c r="E11" s="1" t="n">
        <v>46318</v>
      </c>
      <c r="F11" t="inlineStr">
        <is>
          <t>SÖDERMANLANDS LÄN</t>
        </is>
      </c>
      <c r="G11" t="inlineStr">
        <is>
          <t>ESKILSTUNA</t>
        </is>
      </c>
      <c r="I11" t="n">
        <v>1.8</v>
      </c>
      <c r="J11" t="n">
        <v>0</v>
      </c>
      <c r="K11" t="n">
        <v>0</v>
      </c>
      <c r="L11" t="n">
        <v>5</v>
      </c>
      <c r="M11" t="n">
        <v>1</v>
      </c>
      <c r="N11" t="n">
        <v>0</v>
      </c>
      <c r="O11" t="n">
        <v>0</v>
      </c>
      <c r="P11" t="n">
        <v>0</v>
      </c>
      <c r="Q11" t="n">
        <v>6</v>
      </c>
      <c r="R11" t="n">
        <v>1</v>
      </c>
      <c r="S11" t="n">
        <v>6</v>
      </c>
      <c r="T11" t="n">
        <v>13</v>
      </c>
      <c r="U11" t="n">
        <v>2</v>
      </c>
      <c r="V11" s="2" t="inlineStr">
        <is>
          <t>Mindre bastardsvärmare
Jungfrulin
Klasefibbla
Silversmygare
Skogsklocka
Svinrot</t>
        </is>
      </c>
      <c r="W11">
        <f>HYPERLINK("https://klasma.github.io/Logging_0484/artfynd/A 61503-2022 artfynd.xlsx", "A 61503-2022")</f>
        <v/>
      </c>
      <c r="X11">
        <f>HYPERLINK("https://klasma.github.io/Logging_0484/kartor/A 61503-2022 karta.png", "A 61503-2022")</f>
        <v/>
      </c>
      <c r="Y11">
        <f>HYPERLINK("https://klasma.github.io/Logging_0484/kartor_geotiff/A 61503-2022 georefererad karta.tif", "A 61503-2022")</f>
        <v/>
      </c>
      <c r="AA11">
        <f>HYPERLINK("https://klasma.github.io/Logging_0484/klagomål/A 61503-2022 FSC-klagomål.docx", "A 61503-2022")</f>
        <v/>
      </c>
      <c r="AB11">
        <f>HYPERLINK("https://klasma.github.io/Logging_0484/klagomålsmail/A 61503-2022 FSC-klagomål mail.docx", "A 61503-2022")</f>
        <v/>
      </c>
      <c r="AC11">
        <f>HYPERLINK("https://klasma.github.io/Logging_0484/tillsyn/A 61503-2022 tillsynsbegäran.docx", "A 61503-2022")</f>
        <v/>
      </c>
      <c r="AD11">
        <f>HYPERLINK("https://klasma.github.io/Logging_0484/tillsynsmail/A 61503-2022 tillsynsbegäran mail.docx", "A 61503-2022")</f>
        <v/>
      </c>
    </row>
    <row r="12" ht="15" customHeight="1">
      <c r="A12" t="inlineStr">
        <is>
          <t>A 33699-2022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44789</v>
      </c>
      <c r="E12" s="1" t="n">
        <v>46318</v>
      </c>
      <c r="F12" t="inlineStr">
        <is>
          <t>SÖDERMANLANDS LÄN</t>
        </is>
      </c>
      <c r="G12" t="inlineStr">
        <is>
          <t>ESKILSTUNA</t>
        </is>
      </c>
      <c r="I12" t="n">
        <v>6.5</v>
      </c>
      <c r="J12" t="n">
        <v>4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6</v>
      </c>
      <c r="T12" t="n">
        <v>9</v>
      </c>
      <c r="U12" t="n">
        <v>5</v>
      </c>
      <c r="V12" s="2" t="inlineStr">
        <is>
          <t>Knärot
Motaggsvamp
Mindre märgborre
Blåsippa
Mattlummer
Tjäder</t>
        </is>
      </c>
      <c r="W12">
        <f>HYPERLINK("https://klasma.github.io/Logging_0484/artfynd/A 33699-2022 artfynd.xlsx", "A 33699-2022")</f>
        <v/>
      </c>
      <c r="X12">
        <f>HYPERLINK("https://klasma.github.io/Logging_0484/kartor/A 33699-2022 karta.png", "A 33699-2022")</f>
        <v/>
      </c>
      <c r="Y12">
        <f>HYPERLINK("https://klasma.github.io/Logging_0484/kartor_geotiff/A 33699-2022 georefererad karta.tif", "A 33699-2022")</f>
        <v/>
      </c>
      <c r="Z12">
        <f>HYPERLINK("https://klasma.github.io/Logging_0484/knärot/A 33699-2022 karta knärot.png", "A 33699-2022")</f>
        <v/>
      </c>
      <c r="AA12">
        <f>HYPERLINK("https://klasma.github.io/Logging_0484/klagomål/A 33699-2022 FSC-klagomål.docx", "A 33699-2022")</f>
        <v/>
      </c>
      <c r="AB12">
        <f>HYPERLINK("https://klasma.github.io/Logging_0484/klagomålsmail/A 33699-2022 FSC-klagomål mail.docx", "A 33699-2022")</f>
        <v/>
      </c>
      <c r="AC12">
        <f>HYPERLINK("https://klasma.github.io/Logging_0484/tillsyn/A 33699-2022 tillsynsbegäran.docx", "A 33699-2022")</f>
        <v/>
      </c>
      <c r="AD12">
        <f>HYPERLINK("https://klasma.github.io/Logging_0484/tillsynsmail/A 33699-2022 tillsynsbegäran mail.docx", "A 33699-2022")</f>
        <v/>
      </c>
      <c r="AE12">
        <f>HYPERLINK("https://klasma.github.io/Logging_0484/fåglar/A 33699-2022 prioriterade fågelarter.docx", "A 33699-2022")</f>
        <v/>
      </c>
    </row>
    <row r="13" ht="15" customHeight="1">
      <c r="A13" t="inlineStr">
        <is>
          <t>A 61070-2025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46000</v>
      </c>
      <c r="E13" s="1" t="n">
        <v>46318</v>
      </c>
      <c r="F13" t="inlineStr">
        <is>
          <t>SÖDERMANLANDS LÄN</t>
        </is>
      </c>
      <c r="G13" t="inlineStr">
        <is>
          <t>ESKILSTUNA</t>
        </is>
      </c>
      <c r="H13" t="inlineStr">
        <is>
          <t>Allmännings- och besparingsskogar</t>
        </is>
      </c>
      <c r="I13" t="n">
        <v>0.5</v>
      </c>
      <c r="J13" t="n">
        <v>2</v>
      </c>
      <c r="K13" t="n">
        <v>2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5</v>
      </c>
      <c r="T13" t="n">
        <v>5</v>
      </c>
      <c r="U13" t="n">
        <v>0</v>
      </c>
      <c r="V13" s="2" t="inlineStr">
        <is>
          <t>Ask
Tibast
Vätteros
Blåsippa
Gullviva</t>
        </is>
      </c>
      <c r="W13">
        <f>HYPERLINK("https://klasma.github.io/Logging_0484/artfynd/A 61070-2025 artfynd.xlsx", "A 61070-2025")</f>
        <v/>
      </c>
      <c r="X13">
        <f>HYPERLINK("https://klasma.github.io/Logging_0484/kartor/A 61070-2025 karta.png", "A 61070-2025")</f>
        <v/>
      </c>
      <c r="Y13">
        <f>HYPERLINK("https://klasma.github.io/Logging_0484/kartor_geotiff/A 61070-2025 georefererad karta.tif", "A 61070-2025")</f>
        <v/>
      </c>
      <c r="AA13">
        <f>HYPERLINK("https://klasma.github.io/Logging_0484/klagomål/A 61070-2025 FSC-klagomål.docx", "A 61070-2025")</f>
        <v/>
      </c>
      <c r="AB13">
        <f>HYPERLINK("https://klasma.github.io/Logging_0484/klagomålsmail/A 61070-2025 FSC-klagomål mail.docx", "A 61070-2025")</f>
        <v/>
      </c>
      <c r="AC13">
        <f>HYPERLINK("https://klasma.github.io/Logging_0484/tillsyn/A 61070-2025 tillsynsbegäran.docx", "A 61070-2025")</f>
        <v/>
      </c>
      <c r="AD13">
        <f>HYPERLINK("https://klasma.github.io/Logging_0484/tillsynsmail/A 61070-2025 tillsynsbegäran mail.docx", "A 61070-2025")</f>
        <v/>
      </c>
    </row>
    <row r="14" ht="15" customHeight="1">
      <c r="A14" t="inlineStr">
        <is>
          <t>A 40831-2026</t>
        </is>
      </c>
      <c r="B14" t="inlineStr">
        <is>
          <t>avverkningsanmälan</t>
        </is>
      </c>
      <c r="C14" t="inlineStr">
        <is>
          <t>Avverkning för att bevara och utveckla /försöksver</t>
        </is>
      </c>
      <c r="D14" s="1" t="n">
        <v>46296</v>
      </c>
      <c r="E14" s="1" t="n">
        <v>46318</v>
      </c>
      <c r="F14" t="inlineStr">
        <is>
          <t>SÖDERMANLANDS LÄN</t>
        </is>
      </c>
      <c r="G14" t="inlineStr">
        <is>
          <t>ESKILSTUNA</t>
        </is>
      </c>
      <c r="H14" t="inlineStr">
        <is>
          <t>Sveaskog</t>
        </is>
      </c>
      <c r="I14" t="n">
        <v>0.8</v>
      </c>
      <c r="J14" t="n">
        <v>2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5</v>
      </c>
      <c r="U14" t="n">
        <v>0</v>
      </c>
      <c r="V14" s="2" t="inlineStr">
        <is>
          <t>Mindre hackspett
Grov baronmossa
Piskbaronmossa
Platt fjädermossa
Blåsippa</t>
        </is>
      </c>
      <c r="W14">
        <f>HYPERLINK("https://klasma.github.io/Logging_0484/artfynd/A 40831-2026 artfynd.xlsx", "A 40831-2026")</f>
        <v/>
      </c>
      <c r="X14">
        <f>HYPERLINK("https://klasma.github.io/Logging_0484/kartor/A 40831-2026 karta.png", "A 40831-2026")</f>
        <v/>
      </c>
      <c r="Y14">
        <f>HYPERLINK("https://klasma.github.io/Logging_0484/kartor_geotiff/A 40831-2026 georefererad karta.tif", "A 40831-2026")</f>
        <v/>
      </c>
      <c r="AA14">
        <f>HYPERLINK("https://klasma.github.io/Logging_0484/klagomål/A 40831-2026 FSC-klagomål.docx", "A 40831-2026")</f>
        <v/>
      </c>
      <c r="AB14">
        <f>HYPERLINK("https://klasma.github.io/Logging_0484/klagomålsmail/A 40831-2026 FSC-klagomål mail.docx", "A 40831-2026")</f>
        <v/>
      </c>
      <c r="AC14">
        <f>HYPERLINK("https://klasma.github.io/Logging_0484/tillsyn/A 40831-2026 tillsynsbegäran.docx", "A 40831-2026")</f>
        <v/>
      </c>
      <c r="AD14">
        <f>HYPERLINK("https://klasma.github.io/Logging_0484/tillsynsmail/A 40831-2026 tillsynsbegäran mail.docx", "A 40831-2026")</f>
        <v/>
      </c>
      <c r="AE14">
        <f>HYPERLINK("https://klasma.github.io/Logging_0484/fåglar/A 40831-2026 prioriterade fågelarter.docx", "A 40831-2026")</f>
        <v/>
      </c>
    </row>
    <row r="15" ht="15" customHeight="1">
      <c r="A15" t="inlineStr">
        <is>
          <t>A 53415-2023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45229</v>
      </c>
      <c r="E15" s="1" t="n">
        <v>46318</v>
      </c>
      <c r="F15" t="inlineStr">
        <is>
          <t>SÖDERMANLANDS LÄN</t>
        </is>
      </c>
      <c r="G15" t="inlineStr">
        <is>
          <t>ESKILSTUNA</t>
        </is>
      </c>
      <c r="H15" t="inlineStr">
        <is>
          <t>Allmännings- och besparingsskogar</t>
        </is>
      </c>
      <c r="I15" t="n">
        <v>2.7</v>
      </c>
      <c r="J15" t="n">
        <v>1</v>
      </c>
      <c r="K15" t="n">
        <v>2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1</v>
      </c>
      <c r="S15" t="n">
        <v>5</v>
      </c>
      <c r="T15" t="n">
        <v>5</v>
      </c>
      <c r="U15" t="n">
        <v>0</v>
      </c>
      <c r="V15" s="2" t="inlineStr">
        <is>
          <t>Ask
Gullpudra
Tibast
Underviol
Blåsippa</t>
        </is>
      </c>
      <c r="W15">
        <f>HYPERLINK("https://klasma.github.io/Logging_0484/artfynd/A 53415-2023 artfynd.xlsx", "A 53415-2023")</f>
        <v/>
      </c>
      <c r="X15">
        <f>HYPERLINK("https://klasma.github.io/Logging_0484/kartor/A 53415-2023 karta.png", "A 53415-2023")</f>
        <v/>
      </c>
      <c r="Y15">
        <f>HYPERLINK("https://klasma.github.io/Logging_0484/kartor_geotiff/A 53415-2023 georefererad karta.tif", "A 53415-2023")</f>
        <v/>
      </c>
      <c r="AA15">
        <f>HYPERLINK("https://klasma.github.io/Logging_0484/klagomål/A 53415-2023 FSC-klagomål.docx", "A 53415-2023")</f>
        <v/>
      </c>
      <c r="AB15">
        <f>HYPERLINK("https://klasma.github.io/Logging_0484/klagomålsmail/A 53415-2023 FSC-klagomål mail.docx", "A 53415-2023")</f>
        <v/>
      </c>
      <c r="AC15">
        <f>HYPERLINK("https://klasma.github.io/Logging_0484/tillsyn/A 53415-2023 tillsynsbegäran.docx", "A 53415-2023")</f>
        <v/>
      </c>
      <c r="AD15">
        <f>HYPERLINK("https://klasma.github.io/Logging_0484/tillsynsmail/A 53415-2023 tillsynsbegäran mail.docx", "A 53415-2023")</f>
        <v/>
      </c>
    </row>
    <row r="16" ht="15" customHeight="1">
      <c r="A16" t="inlineStr">
        <is>
          <t>S 2575-2026</t>
        </is>
      </c>
      <c r="B16" t="inlineStr">
        <is>
          <t>samrådsanmälan</t>
        </is>
      </c>
      <c r="C16" t="inlineStr">
        <is>
          <t>Annan skogsbruksåtgärd</t>
        </is>
      </c>
      <c r="D16" s="1" t="n">
        <v>46296</v>
      </c>
      <c r="E16" s="1" t="n">
        <v>46318</v>
      </c>
      <c r="F16" t="inlineStr">
        <is>
          <t>SÖDERMANLANDS LÄN</t>
        </is>
      </c>
      <c r="G16" t="inlineStr">
        <is>
          <t>ESKILSTUNA</t>
        </is>
      </c>
      <c r="H16" t="inlineStr">
        <is>
          <t>Sveaskog</t>
        </is>
      </c>
      <c r="I16" t="n">
        <v>0.8</v>
      </c>
      <c r="J16" t="n">
        <v>2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5</v>
      </c>
      <c r="U16" t="n">
        <v>0</v>
      </c>
      <c r="V16" s="2" t="inlineStr">
        <is>
          <t>Mindre hackspett
Grov baronmossa
Piskbaronmossa
Platt fjädermossa
Blåsippa</t>
        </is>
      </c>
      <c r="W16">
        <f>HYPERLINK("https://klasma.github.io/Logging_0484/artfynd/S 2575-2026 artfynd.xlsx", "S 2575-2026")</f>
        <v/>
      </c>
      <c r="X16">
        <f>HYPERLINK("https://klasma.github.io/Logging_0484/kartor/S 2575-2026 karta.png", "S 2575-2026")</f>
        <v/>
      </c>
      <c r="Y16">
        <f>HYPERLINK("https://klasma.github.io/Logging_0484/kartor_geotiff/S 2575-2026 georefererad karta.tif", "S 2575-2026")</f>
        <v/>
      </c>
      <c r="AA16">
        <f>HYPERLINK("https://klasma.github.io/Logging_0484/klagomål/S 2575-2026 FSC-klagomål.docx", "S 2575-2026")</f>
        <v/>
      </c>
      <c r="AB16">
        <f>HYPERLINK("https://klasma.github.io/Logging_0484/klagomålsmail/S 2575-2026 FSC-klagomål mail.docx", "S 2575-2026")</f>
        <v/>
      </c>
      <c r="AC16">
        <f>HYPERLINK("https://klasma.github.io/Logging_0484/tillsyn/S 2575-2026 tillsynsbegäran.docx", "S 2575-2026")</f>
        <v/>
      </c>
      <c r="AD16">
        <f>HYPERLINK("https://klasma.github.io/Logging_0484/tillsynsmail/S 2575-2026 tillsynsbegäran mail.docx", "S 2575-2026")</f>
        <v/>
      </c>
      <c r="AE16">
        <f>HYPERLINK("https://klasma.github.io/Logging_0484/fåglar/S 2575-2026 prioriterade fågelarter.docx", "S 2575-2026")</f>
        <v/>
      </c>
    </row>
    <row r="17" ht="15" customHeight="1">
      <c r="A17" t="inlineStr">
        <is>
          <t>A 2968-2022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44581</v>
      </c>
      <c r="E17" s="1" t="n">
        <v>46318</v>
      </c>
      <c r="F17" t="inlineStr">
        <is>
          <t>SÖDERMANLANDS LÄN</t>
        </is>
      </c>
      <c r="G17" t="inlineStr">
        <is>
          <t>ESKILSTUNA</t>
        </is>
      </c>
      <c r="H17" t="inlineStr">
        <is>
          <t>Kommuner</t>
        </is>
      </c>
      <c r="I17" t="n">
        <v>5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4</v>
      </c>
      <c r="U17" t="n">
        <v>0</v>
      </c>
      <c r="V17" s="2" t="inlineStr">
        <is>
          <t>Dropptaggsvamp
Bronshjon
Vedticka
Blåsippa</t>
        </is>
      </c>
      <c r="W17">
        <f>HYPERLINK("https://klasma.github.io/Logging_0484/artfynd/A 2968-2022 artfynd.xlsx", "A 2968-2022")</f>
        <v/>
      </c>
      <c r="X17">
        <f>HYPERLINK("https://klasma.github.io/Logging_0484/kartor/A 2968-2022 karta.png", "A 2968-2022")</f>
        <v/>
      </c>
      <c r="Y17">
        <f>HYPERLINK("https://klasma.github.io/Logging_0484/kartor_geotiff/A 2968-2022 georefererad karta.tif", "A 2968-2022")</f>
        <v/>
      </c>
      <c r="AA17">
        <f>HYPERLINK("https://klasma.github.io/Logging_0484/klagomål/A 2968-2022 FSC-klagomål.docx", "A 2968-2022")</f>
        <v/>
      </c>
      <c r="AB17">
        <f>HYPERLINK("https://klasma.github.io/Logging_0484/klagomålsmail/A 2968-2022 FSC-klagomål mail.docx", "A 2968-2022")</f>
        <v/>
      </c>
      <c r="AC17">
        <f>HYPERLINK("https://klasma.github.io/Logging_0484/tillsyn/A 2968-2022 tillsynsbegäran.docx", "A 2968-2022")</f>
        <v/>
      </c>
      <c r="AD17">
        <f>HYPERLINK("https://klasma.github.io/Logging_0484/tillsynsmail/A 2968-2022 tillsynsbegäran mail.docx", "A 2968-2022")</f>
        <v/>
      </c>
    </row>
    <row r="18" ht="15" customHeight="1">
      <c r="A18" t="inlineStr">
        <is>
          <t>A 58994-2022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44903</v>
      </c>
      <c r="E18" s="1" t="n">
        <v>46318</v>
      </c>
      <c r="F18" t="inlineStr">
        <is>
          <t>SÖDERMANLANDS LÄN</t>
        </is>
      </c>
      <c r="G18" t="inlineStr">
        <is>
          <t>ESKILSTUNA</t>
        </is>
      </c>
      <c r="I18" t="n">
        <v>2.9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4</v>
      </c>
      <c r="U18" t="n">
        <v>0</v>
      </c>
      <c r="V18" s="2" t="inlineStr">
        <is>
          <t>Brunlångöra
Nordfladdermus
Dvärgpipistrell
Större brunfladdermus</t>
        </is>
      </c>
      <c r="W18">
        <f>HYPERLINK("https://klasma.github.io/Logging_0484/artfynd/A 58994-2022 artfynd.xlsx", "A 58994-2022")</f>
        <v/>
      </c>
      <c r="X18">
        <f>HYPERLINK("https://klasma.github.io/Logging_0484/kartor/A 58994-2022 karta.png", "A 58994-2022")</f>
        <v/>
      </c>
      <c r="Y18">
        <f>HYPERLINK("https://klasma.github.io/Logging_0484/kartor_geotiff/A 58994-2022 georefererad karta.tif", "A 58994-2022")</f>
        <v/>
      </c>
      <c r="AA18">
        <f>HYPERLINK("https://klasma.github.io/Logging_0484/klagomål/A 58994-2022 FSC-klagomål.docx", "A 58994-2022")</f>
        <v/>
      </c>
      <c r="AB18">
        <f>HYPERLINK("https://klasma.github.io/Logging_0484/klagomålsmail/A 58994-2022 FSC-klagomål mail.docx", "A 58994-2022")</f>
        <v/>
      </c>
      <c r="AC18">
        <f>HYPERLINK("https://klasma.github.io/Logging_0484/tillsyn/A 58994-2022 tillsynsbegäran.docx", "A 58994-2022")</f>
        <v/>
      </c>
      <c r="AD18">
        <f>HYPERLINK("https://klasma.github.io/Logging_0484/tillsynsmail/A 58994-2022 tillsynsbegäran mail.docx", "A 58994-2022")</f>
        <v/>
      </c>
    </row>
    <row r="19" ht="15" customHeight="1">
      <c r="A19" t="inlineStr">
        <is>
          <t>A 4212-2023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44953</v>
      </c>
      <c r="E19" s="1" t="n">
        <v>46318</v>
      </c>
      <c r="F19" t="inlineStr">
        <is>
          <t>SÖDERMANLANDS LÄN</t>
        </is>
      </c>
      <c r="G19" t="inlineStr">
        <is>
          <t>ESKILSTUNA</t>
        </is>
      </c>
      <c r="H19" t="inlineStr">
        <is>
          <t>Kyrkan</t>
        </is>
      </c>
      <c r="I19" t="n">
        <v>0.7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5</v>
      </c>
      <c r="U19" t="n">
        <v>2</v>
      </c>
      <c r="V19" s="2" t="inlineStr">
        <is>
          <t>Mindre hackspett
Granbarkgnagare
Grönpyrola
Blåsippa</t>
        </is>
      </c>
      <c r="W19">
        <f>HYPERLINK("https://klasma.github.io/Logging_0484/artfynd/A 4212-2023 artfynd.xlsx", "A 4212-2023")</f>
        <v/>
      </c>
      <c r="X19">
        <f>HYPERLINK("https://klasma.github.io/Logging_0484/kartor/A 4212-2023 karta.png", "A 4212-2023")</f>
        <v/>
      </c>
      <c r="Y19">
        <f>HYPERLINK("https://klasma.github.io/Logging_0484/kartor_geotiff/A 4212-2023 georefererad karta.tif", "A 4212-2023")</f>
        <v/>
      </c>
      <c r="Z19">
        <f>HYPERLINK("https://klasma.github.io/Logging_0484/knärot/A 4212-2023 karta knärot.png", "A 4212-2023")</f>
        <v/>
      </c>
      <c r="AA19">
        <f>HYPERLINK("https://klasma.github.io/Logging_0484/klagomål/A 4212-2023 FSC-klagomål.docx", "A 4212-2023")</f>
        <v/>
      </c>
      <c r="AB19">
        <f>HYPERLINK("https://klasma.github.io/Logging_0484/klagomålsmail/A 4212-2023 FSC-klagomål mail.docx", "A 4212-2023")</f>
        <v/>
      </c>
      <c r="AC19">
        <f>HYPERLINK("https://klasma.github.io/Logging_0484/tillsyn/A 4212-2023 tillsynsbegäran.docx", "A 4212-2023")</f>
        <v/>
      </c>
      <c r="AD19">
        <f>HYPERLINK("https://klasma.github.io/Logging_0484/tillsynsmail/A 4212-2023 tillsynsbegäran mail.docx", "A 4212-2023")</f>
        <v/>
      </c>
      <c r="AE19">
        <f>HYPERLINK("https://klasma.github.io/Logging_0484/fåglar/A 4212-2023 prioriterade fågelarter.docx", "A 4212-2023")</f>
        <v/>
      </c>
    </row>
    <row r="20" ht="15" customHeight="1">
      <c r="A20" t="inlineStr">
        <is>
          <t>A 12296-2023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44998</v>
      </c>
      <c r="E20" s="1" t="n">
        <v>46318</v>
      </c>
      <c r="F20" t="inlineStr">
        <is>
          <t>SÖDERMANLANDS LÄN</t>
        </is>
      </c>
      <c r="G20" t="inlineStr">
        <is>
          <t>ESKILSTUNA</t>
        </is>
      </c>
      <c r="H20" t="inlineStr">
        <is>
          <t>Kommuner</t>
        </is>
      </c>
      <c r="I20" t="n">
        <v>16.7</v>
      </c>
      <c r="J20" t="n">
        <v>4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1</v>
      </c>
      <c r="S20" t="n">
        <v>4</v>
      </c>
      <c r="T20" t="n">
        <v>4</v>
      </c>
      <c r="U20" t="n">
        <v>0</v>
      </c>
      <c r="V20" s="2" t="inlineStr">
        <is>
          <t>Pärluggla
Mindre hackspett
Havsörn
Kungsfågel</t>
        </is>
      </c>
      <c r="W20">
        <f>HYPERLINK("https://klasma.github.io/Logging_0484/artfynd/A 12296-2023 artfynd.xlsx", "A 12296-2023")</f>
        <v/>
      </c>
      <c r="X20">
        <f>HYPERLINK("https://klasma.github.io/Logging_0484/kartor/A 12296-2023 karta.png", "A 12296-2023")</f>
        <v/>
      </c>
      <c r="Y20">
        <f>HYPERLINK("https://klasma.github.io/Logging_0484/kartor_geotiff/A 12296-2023 georefererad karta.tif", "A 12296-2023")</f>
        <v/>
      </c>
      <c r="AA20">
        <f>HYPERLINK("https://klasma.github.io/Logging_0484/klagomål/A 12296-2023 FSC-klagomål.docx", "A 12296-2023")</f>
        <v/>
      </c>
      <c r="AB20">
        <f>HYPERLINK("https://klasma.github.io/Logging_0484/klagomålsmail/A 12296-2023 FSC-klagomål mail.docx", "A 12296-2023")</f>
        <v/>
      </c>
      <c r="AC20">
        <f>HYPERLINK("https://klasma.github.io/Logging_0484/tillsyn/A 12296-2023 tillsynsbegäran.docx", "A 12296-2023")</f>
        <v/>
      </c>
      <c r="AD20">
        <f>HYPERLINK("https://klasma.github.io/Logging_0484/tillsynsmail/A 12296-2023 tillsynsbegäran mail.docx", "A 12296-2023")</f>
        <v/>
      </c>
      <c r="AE20">
        <f>HYPERLINK("https://klasma.github.io/Logging_0484/fåglar/A 12296-2023 prioriterade fågelarter.docx", "A 12296-2023")</f>
        <v/>
      </c>
    </row>
    <row r="21" ht="15" customHeight="1">
      <c r="A21" t="inlineStr">
        <is>
          <t>A 45535-2023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45194</v>
      </c>
      <c r="E21" s="1" t="n">
        <v>46318</v>
      </c>
      <c r="F21" t="inlineStr">
        <is>
          <t>SÖDERMANLANDS LÄN</t>
        </is>
      </c>
      <c r="G21" t="inlineStr">
        <is>
          <t>ESKILSTUNA</t>
        </is>
      </c>
      <c r="I21" t="n">
        <v>5</v>
      </c>
      <c r="J21" t="n">
        <v>3</v>
      </c>
      <c r="K21" t="n">
        <v>0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4</v>
      </c>
      <c r="T21" t="n">
        <v>14</v>
      </c>
      <c r="U21" t="n">
        <v>14</v>
      </c>
      <c r="V21" s="2" t="inlineStr">
        <is>
          <t>Knärot
Tallticka
Talltita
Gröngöling</t>
        </is>
      </c>
      <c r="W21">
        <f>HYPERLINK("https://klasma.github.io/Logging_0484/artfynd/A 45535-2023 artfynd.xlsx", "A 45535-2023")</f>
        <v/>
      </c>
      <c r="X21">
        <f>HYPERLINK("https://klasma.github.io/Logging_0484/kartor/A 45535-2023 karta.png", "A 45535-2023")</f>
        <v/>
      </c>
      <c r="Y21">
        <f>HYPERLINK("https://klasma.github.io/Logging_0484/kartor_geotiff/A 45535-2023 georefererad karta.tif", "A 45535-2023")</f>
        <v/>
      </c>
      <c r="Z21">
        <f>HYPERLINK("https://klasma.github.io/Logging_0484/knärot/A 45535-2023 karta knärot.png", "A 45535-2023")</f>
        <v/>
      </c>
      <c r="AA21">
        <f>HYPERLINK("https://klasma.github.io/Logging_0484/klagomål/A 45535-2023 FSC-klagomål.docx", "A 45535-2023")</f>
        <v/>
      </c>
      <c r="AB21">
        <f>HYPERLINK("https://klasma.github.io/Logging_0484/klagomålsmail/A 45535-2023 FSC-klagomål mail.docx", "A 45535-2023")</f>
        <v/>
      </c>
      <c r="AC21">
        <f>HYPERLINK("https://klasma.github.io/Logging_0484/tillsyn/A 45535-2023 tillsynsbegäran.docx", "A 45535-2023")</f>
        <v/>
      </c>
      <c r="AD21">
        <f>HYPERLINK("https://klasma.github.io/Logging_0484/tillsynsmail/A 45535-2023 tillsynsbegäran mail.docx", "A 45535-2023")</f>
        <v/>
      </c>
      <c r="AE21">
        <f>HYPERLINK("https://klasma.github.io/Logging_0484/fåglar/A 45535-2023 prioriterade fågelarter.docx", "A 45535-2023")</f>
        <v/>
      </c>
    </row>
    <row r="22" ht="15" customHeight="1">
      <c r="A22" t="inlineStr">
        <is>
          <t>A 15060-2022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44657</v>
      </c>
      <c r="E22" s="1" t="n">
        <v>46318</v>
      </c>
      <c r="F22" t="inlineStr">
        <is>
          <t>SÖDERMANLANDS LÄN</t>
        </is>
      </c>
      <c r="G22" t="inlineStr">
        <is>
          <t>ESKILSTUNA</t>
        </is>
      </c>
      <c r="H22" t="inlineStr">
        <is>
          <t>Kommuner</t>
        </is>
      </c>
      <c r="I22" t="n">
        <v>1.3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3</v>
      </c>
      <c r="U22" t="n">
        <v>0</v>
      </c>
      <c r="V22" s="2" t="inlineStr">
        <is>
          <t>Duvhök
Ullticka
Granbarkgnagare</t>
        </is>
      </c>
      <c r="W22">
        <f>HYPERLINK("https://klasma.github.io/Logging_0484/artfynd/A 15060-2022 artfynd.xlsx", "A 15060-2022")</f>
        <v/>
      </c>
      <c r="X22">
        <f>HYPERLINK("https://klasma.github.io/Logging_0484/kartor/A 15060-2022 karta.png", "A 15060-2022")</f>
        <v/>
      </c>
      <c r="Y22">
        <f>HYPERLINK("https://klasma.github.io/Logging_0484/kartor_geotiff/A 15060-2022 georefererad karta.tif", "A 15060-2022")</f>
        <v/>
      </c>
      <c r="AA22">
        <f>HYPERLINK("https://klasma.github.io/Logging_0484/klagomål/A 15060-2022 FSC-klagomål.docx", "A 15060-2022")</f>
        <v/>
      </c>
      <c r="AB22">
        <f>HYPERLINK("https://klasma.github.io/Logging_0484/klagomålsmail/A 15060-2022 FSC-klagomål mail.docx", "A 15060-2022")</f>
        <v/>
      </c>
      <c r="AC22">
        <f>HYPERLINK("https://klasma.github.io/Logging_0484/tillsyn/A 15060-2022 tillsynsbegäran.docx", "A 15060-2022")</f>
        <v/>
      </c>
      <c r="AD22">
        <f>HYPERLINK("https://klasma.github.io/Logging_0484/tillsynsmail/A 15060-2022 tillsynsbegäran mail.docx", "A 15060-2022")</f>
        <v/>
      </c>
      <c r="AE22">
        <f>HYPERLINK("https://klasma.github.io/Logging_0484/fåglar/A 15060-2022 prioriterade fågelarter.docx", "A 15060-2022")</f>
        <v/>
      </c>
    </row>
    <row r="23" ht="15" customHeight="1">
      <c r="A23" t="inlineStr">
        <is>
          <t>A 24539-2025</t>
        </is>
      </c>
      <c r="B23" t="inlineStr">
        <is>
          <t>avverkningsanmälan</t>
        </is>
      </c>
      <c r="C23" t="inlineStr">
        <is>
          <t>Avverkning för att bevara och utveckla /försöksver</t>
        </is>
      </c>
      <c r="D23" s="1" t="n">
        <v>45798</v>
      </c>
      <c r="E23" s="1" t="n">
        <v>46318</v>
      </c>
      <c r="F23" t="inlineStr">
        <is>
          <t>SÖDERMANLANDS LÄN</t>
        </is>
      </c>
      <c r="G23" t="inlineStr">
        <is>
          <t>ESKILSTUNA</t>
        </is>
      </c>
      <c r="H23" t="inlineStr">
        <is>
          <t>Sveaskog</t>
        </is>
      </c>
      <c r="I23" t="n">
        <v>4.8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7</v>
      </c>
      <c r="U23" t="n">
        <v>0</v>
      </c>
      <c r="V23" s="2" t="inlineStr">
        <is>
          <t>Ängsskära
Svart trolldruva
Blåsippa</t>
        </is>
      </c>
      <c r="W23">
        <f>HYPERLINK("https://klasma.github.io/Logging_0484/artfynd/A 24539-2025 artfynd.xlsx", "A 24539-2025")</f>
        <v/>
      </c>
      <c r="X23">
        <f>HYPERLINK("https://klasma.github.io/Logging_0484/kartor/A 24539-2025 karta.png", "A 24539-2025")</f>
        <v/>
      </c>
      <c r="Y23">
        <f>HYPERLINK("https://klasma.github.io/Logging_0484/kartor_geotiff/A 24539-2025 georefererad karta.tif", "A 24539-2025")</f>
        <v/>
      </c>
      <c r="AA23">
        <f>HYPERLINK("https://klasma.github.io/Logging_0484/klagomål/A 24539-2025 FSC-klagomål.docx", "A 24539-2025")</f>
        <v/>
      </c>
      <c r="AB23">
        <f>HYPERLINK("https://klasma.github.io/Logging_0484/klagomålsmail/A 24539-2025 FSC-klagomål mail.docx", "A 24539-2025")</f>
        <v/>
      </c>
      <c r="AC23">
        <f>HYPERLINK("https://klasma.github.io/Logging_0484/tillsyn/A 24539-2025 tillsynsbegäran.docx", "A 24539-2025")</f>
        <v/>
      </c>
      <c r="AD23">
        <f>HYPERLINK("https://klasma.github.io/Logging_0484/tillsynsmail/A 24539-2025 tillsynsbegäran mail.docx", "A 24539-2025")</f>
        <v/>
      </c>
    </row>
    <row r="24" ht="15" customHeight="1">
      <c r="A24" t="inlineStr">
        <is>
          <t>A 24543-2025</t>
        </is>
      </c>
      <c r="B24" t="inlineStr">
        <is>
          <t>avverkningsanmälan</t>
        </is>
      </c>
      <c r="C24" t="inlineStr">
        <is>
          <t>Avverkning för att bevara och utveckla /försöksver</t>
        </is>
      </c>
      <c r="D24" s="1" t="n">
        <v>45798</v>
      </c>
      <c r="E24" s="1" t="n">
        <v>46318</v>
      </c>
      <c r="F24" t="inlineStr">
        <is>
          <t>SÖDERMANLANDS LÄN</t>
        </is>
      </c>
      <c r="G24" t="inlineStr">
        <is>
          <t>ESKILSTUNA</t>
        </is>
      </c>
      <c r="H24" t="inlineStr">
        <is>
          <t>Sveaskog</t>
        </is>
      </c>
      <c r="I24" t="n">
        <v>0.4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6</v>
      </c>
      <c r="U24" t="n">
        <v>0</v>
      </c>
      <c r="V24" s="2" t="inlineStr">
        <is>
          <t>Ängsskära
Svart trolldruva
Blåsippa</t>
        </is>
      </c>
      <c r="W24">
        <f>HYPERLINK("https://klasma.github.io/Logging_0484/artfynd/A 24543-2025 artfynd.xlsx", "A 24543-2025")</f>
        <v/>
      </c>
      <c r="X24">
        <f>HYPERLINK("https://klasma.github.io/Logging_0484/kartor/A 24543-2025 karta.png", "A 24543-2025")</f>
        <v/>
      </c>
      <c r="Y24">
        <f>HYPERLINK("https://klasma.github.io/Logging_0484/kartor_geotiff/A 24543-2025 georefererad karta.tif", "A 24543-2025")</f>
        <v/>
      </c>
      <c r="AA24">
        <f>HYPERLINK("https://klasma.github.io/Logging_0484/klagomål/A 24543-2025 FSC-klagomål.docx", "A 24543-2025")</f>
        <v/>
      </c>
      <c r="AB24">
        <f>HYPERLINK("https://klasma.github.io/Logging_0484/klagomålsmail/A 24543-2025 FSC-klagomål mail.docx", "A 24543-2025")</f>
        <v/>
      </c>
      <c r="AC24">
        <f>HYPERLINK("https://klasma.github.io/Logging_0484/tillsyn/A 24543-2025 tillsynsbegäran.docx", "A 24543-2025")</f>
        <v/>
      </c>
      <c r="AD24">
        <f>HYPERLINK("https://klasma.github.io/Logging_0484/tillsynsmail/A 24543-2025 tillsynsbegäran mail.docx", "A 24543-2025")</f>
        <v/>
      </c>
    </row>
    <row r="25" ht="15" customHeight="1">
      <c r="A25" t="inlineStr">
        <is>
          <t>A 40857-2025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45897</v>
      </c>
      <c r="E25" s="1" t="n">
        <v>46318</v>
      </c>
      <c r="F25" t="inlineStr">
        <is>
          <t>SÖDERMANLANDS LÄN</t>
        </is>
      </c>
      <c r="G25" t="inlineStr">
        <is>
          <t>ESKILSTUNA</t>
        </is>
      </c>
      <c r="H25" t="inlineStr">
        <is>
          <t>Kyrkan</t>
        </is>
      </c>
      <c r="I25" t="n">
        <v>10.8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3</v>
      </c>
      <c r="V25" s="2" t="inlineStr">
        <is>
          <t>Mindre märgborre
Kungsfågel
Revlummer</t>
        </is>
      </c>
      <c r="W25">
        <f>HYPERLINK("https://klasma.github.io/Logging_0484/artfynd/A 40857-2025 artfynd.xlsx", "A 40857-2025")</f>
        <v/>
      </c>
      <c r="X25">
        <f>HYPERLINK("https://klasma.github.io/Logging_0484/kartor/A 40857-2025 karta.png", "A 40857-2025")</f>
        <v/>
      </c>
      <c r="Y25">
        <f>HYPERLINK("https://klasma.github.io/Logging_0484/kartor_geotiff/A 40857-2025 georefererad karta.tif", "A 40857-2025")</f>
        <v/>
      </c>
      <c r="AA25">
        <f>HYPERLINK("https://klasma.github.io/Logging_0484/klagomål/A 40857-2025 FSC-klagomål.docx", "A 40857-2025")</f>
        <v/>
      </c>
      <c r="AB25">
        <f>HYPERLINK("https://klasma.github.io/Logging_0484/klagomålsmail/A 40857-2025 FSC-klagomål mail.docx", "A 40857-2025")</f>
        <v/>
      </c>
      <c r="AC25">
        <f>HYPERLINK("https://klasma.github.io/Logging_0484/tillsyn/A 40857-2025 tillsynsbegäran.docx", "A 40857-2025")</f>
        <v/>
      </c>
      <c r="AD25">
        <f>HYPERLINK("https://klasma.github.io/Logging_0484/tillsynsmail/A 40857-2025 tillsynsbegäran mail.docx", "A 40857-2025")</f>
        <v/>
      </c>
    </row>
    <row r="26" ht="15" customHeight="1">
      <c r="A26" t="inlineStr">
        <is>
          <t>A 60926-2025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45999</v>
      </c>
      <c r="E26" s="1" t="n">
        <v>46318</v>
      </c>
      <c r="F26" t="inlineStr">
        <is>
          <t>SÖDERMANLANDS LÄN</t>
        </is>
      </c>
      <c r="G26" t="inlineStr">
        <is>
          <t>ESKILSTUNA</t>
        </is>
      </c>
      <c r="H26" t="inlineStr">
        <is>
          <t>Allmännings- och besparingsskogar</t>
        </is>
      </c>
      <c r="I26" t="n">
        <v>2.3</v>
      </c>
      <c r="J26" t="n">
        <v>2</v>
      </c>
      <c r="K26" t="n">
        <v>0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3</v>
      </c>
      <c r="T26" t="n">
        <v>3</v>
      </c>
      <c r="U26" t="n">
        <v>0</v>
      </c>
      <c r="V26" s="2" t="inlineStr">
        <is>
          <t>Knärot
Talltita
Älg</t>
        </is>
      </c>
      <c r="W26">
        <f>HYPERLINK("https://klasma.github.io/Logging_0484/artfynd/A 60926-2025 artfynd.xlsx", "A 60926-2025")</f>
        <v/>
      </c>
      <c r="X26">
        <f>HYPERLINK("https://klasma.github.io/Logging_0484/kartor/A 60926-2025 karta.png", "A 60926-2025")</f>
        <v/>
      </c>
      <c r="Y26">
        <f>HYPERLINK("https://klasma.github.io/Logging_0484/kartor_geotiff/A 60926-2025 georefererad karta.tif", "A 60926-2025")</f>
        <v/>
      </c>
      <c r="Z26">
        <f>HYPERLINK("https://klasma.github.io/Logging_0484/knärot/A 60926-2025 karta knärot.png", "A 60926-2025")</f>
        <v/>
      </c>
      <c r="AA26">
        <f>HYPERLINK("https://klasma.github.io/Logging_0484/klagomål/A 60926-2025 FSC-klagomål.docx", "A 60926-2025")</f>
        <v/>
      </c>
      <c r="AB26">
        <f>HYPERLINK("https://klasma.github.io/Logging_0484/klagomålsmail/A 60926-2025 FSC-klagomål mail.docx", "A 60926-2025")</f>
        <v/>
      </c>
      <c r="AC26">
        <f>HYPERLINK("https://klasma.github.io/Logging_0484/tillsyn/A 60926-2025 tillsynsbegäran.docx", "A 60926-2025")</f>
        <v/>
      </c>
      <c r="AD26">
        <f>HYPERLINK("https://klasma.github.io/Logging_0484/tillsynsmail/A 60926-2025 tillsynsbegäran mail.docx", "A 60926-2025")</f>
        <v/>
      </c>
      <c r="AE26">
        <f>HYPERLINK("https://klasma.github.io/Logging_0484/fåglar/A 60926-2025 prioriterade fågelarter.docx", "A 60926-2025")</f>
        <v/>
      </c>
    </row>
    <row r="27" ht="15" customHeight="1">
      <c r="A27" t="inlineStr">
        <is>
          <t>A 28983-2026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46199</v>
      </c>
      <c r="E27" s="1" t="n">
        <v>46318</v>
      </c>
      <c r="F27" t="inlineStr">
        <is>
          <t>SÖDERMANLANDS LÄN</t>
        </is>
      </c>
      <c r="G27" t="inlineStr">
        <is>
          <t>ESKILSTUNA</t>
        </is>
      </c>
      <c r="H27" t="inlineStr">
        <is>
          <t>Sveaskog</t>
        </is>
      </c>
      <c r="I27" t="n">
        <v>4.1</v>
      </c>
      <c r="J27" t="n">
        <v>0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3</v>
      </c>
      <c r="T27" t="n">
        <v>3</v>
      </c>
      <c r="U27" t="n">
        <v>0</v>
      </c>
      <c r="V27" s="2" t="inlineStr">
        <is>
          <t>Motaggsvamp
Rävticka
Trådticka</t>
        </is>
      </c>
      <c r="W27">
        <f>HYPERLINK("https://klasma.github.io/Logging_0484/artfynd/A 28983-2026 artfynd.xlsx", "A 28983-2026")</f>
        <v/>
      </c>
      <c r="X27">
        <f>HYPERLINK("https://klasma.github.io/Logging_0484/kartor/A 28983-2026 karta.png", "A 28983-2026")</f>
        <v/>
      </c>
      <c r="Y27">
        <f>HYPERLINK("https://klasma.github.io/Logging_0484/kartor_geotiff/A 28983-2026 georefererad karta.tif", "A 28983-2026")</f>
        <v/>
      </c>
      <c r="AA27">
        <f>HYPERLINK("https://klasma.github.io/Logging_0484/klagomål/A 28983-2026 FSC-klagomål.docx", "A 28983-2026")</f>
        <v/>
      </c>
      <c r="AB27">
        <f>HYPERLINK("https://klasma.github.io/Logging_0484/klagomålsmail/A 28983-2026 FSC-klagomål mail.docx", "A 28983-2026")</f>
        <v/>
      </c>
      <c r="AC27">
        <f>HYPERLINK("https://klasma.github.io/Logging_0484/tillsyn/A 28983-2026 tillsynsbegäran.docx", "A 28983-2026")</f>
        <v/>
      </c>
      <c r="AD27">
        <f>HYPERLINK("https://klasma.github.io/Logging_0484/tillsynsmail/A 28983-2026 tillsynsbegäran mail.docx", "A 28983-2026")</f>
        <v/>
      </c>
    </row>
    <row r="28" ht="15" customHeight="1">
      <c r="A28" t="inlineStr">
        <is>
          <t>A 32253-2026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46237</v>
      </c>
      <c r="E28" s="1" t="n">
        <v>46318</v>
      </c>
      <c r="F28" t="inlineStr">
        <is>
          <t>SÖDERMANLANDS LÄN</t>
        </is>
      </c>
      <c r="G28" t="inlineStr">
        <is>
          <t>ESKILSTUNA</t>
        </is>
      </c>
      <c r="H28" t="inlineStr">
        <is>
          <t>Sveaskog</t>
        </is>
      </c>
      <c r="I28" t="n">
        <v>0.6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3</v>
      </c>
      <c r="T28" t="n">
        <v>4</v>
      </c>
      <c r="U28" t="n">
        <v>0</v>
      </c>
      <c r="V28" s="2" t="inlineStr">
        <is>
          <t>Svinrot
Tibast
Blåsippa</t>
        </is>
      </c>
      <c r="W28">
        <f>HYPERLINK("https://klasma.github.io/Logging_0484/artfynd/A 32253-2026 artfynd.xlsx", "A 32253-2026")</f>
        <v/>
      </c>
      <c r="X28">
        <f>HYPERLINK("https://klasma.github.io/Logging_0484/kartor/A 32253-2026 karta.png", "A 32253-2026")</f>
        <v/>
      </c>
      <c r="Y28">
        <f>HYPERLINK("https://klasma.github.io/Logging_0484/kartor_geotiff/A 32253-2026 georefererad karta.tif", "A 32253-2026")</f>
        <v/>
      </c>
      <c r="AA28">
        <f>HYPERLINK("https://klasma.github.io/Logging_0484/klagomål/A 32253-2026 FSC-klagomål.docx", "A 32253-2026")</f>
        <v/>
      </c>
      <c r="AB28">
        <f>HYPERLINK("https://klasma.github.io/Logging_0484/klagomålsmail/A 32253-2026 FSC-klagomål mail.docx", "A 32253-2026")</f>
        <v/>
      </c>
      <c r="AC28">
        <f>HYPERLINK("https://klasma.github.io/Logging_0484/tillsyn/A 32253-2026 tillsynsbegäran.docx", "A 32253-2026")</f>
        <v/>
      </c>
      <c r="AD28">
        <f>HYPERLINK("https://klasma.github.io/Logging_0484/tillsynsmail/A 32253-2026 tillsynsbegäran mail.docx", "A 32253-2026")</f>
        <v/>
      </c>
    </row>
    <row r="29" ht="15" customHeight="1">
      <c r="A29" t="inlineStr">
        <is>
          <t>A 38967-2026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46286</v>
      </c>
      <c r="E29" s="1" t="n">
        <v>46318</v>
      </c>
      <c r="F29" t="inlineStr">
        <is>
          <t>SÖDERMANLANDS LÄN</t>
        </is>
      </c>
      <c r="G29" t="inlineStr">
        <is>
          <t>ESKILSTUNA</t>
        </is>
      </c>
      <c r="I29" t="n">
        <v>9.5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3</v>
      </c>
      <c r="T29" t="n">
        <v>3</v>
      </c>
      <c r="U29" t="n">
        <v>0</v>
      </c>
      <c r="V29" s="2" t="inlineStr">
        <is>
          <t>Älg
Grönpyrola
Revlummer</t>
        </is>
      </c>
      <c r="W29">
        <f>HYPERLINK("https://klasma.github.io/Logging_0484/artfynd/A 38967-2026 artfynd.xlsx", "A 38967-2026")</f>
        <v/>
      </c>
      <c r="X29">
        <f>HYPERLINK("https://klasma.github.io/Logging_0484/kartor/A 38967-2026 karta.png", "A 38967-2026")</f>
        <v/>
      </c>
      <c r="Y29">
        <f>HYPERLINK("https://klasma.github.io/Logging_0484/kartor_geotiff/A 38967-2026 georefererad karta.tif", "A 38967-2026")</f>
        <v/>
      </c>
      <c r="AA29">
        <f>HYPERLINK("https://klasma.github.io/Logging_0484/klagomål/A 38967-2026 FSC-klagomål.docx", "A 38967-2026")</f>
        <v/>
      </c>
      <c r="AB29">
        <f>HYPERLINK("https://klasma.github.io/Logging_0484/klagomålsmail/A 38967-2026 FSC-klagomål mail.docx", "A 38967-2026")</f>
        <v/>
      </c>
      <c r="AC29">
        <f>HYPERLINK("https://klasma.github.io/Logging_0484/tillsyn/A 38967-2026 tillsynsbegäran.docx", "A 38967-2026")</f>
        <v/>
      </c>
      <c r="AD29">
        <f>HYPERLINK("https://klasma.github.io/Logging_0484/tillsynsmail/A 38967-2026 tillsynsbegäran mail.docx", "A 38967-2026")</f>
        <v/>
      </c>
    </row>
    <row r="30" ht="15" customHeight="1">
      <c r="A30" t="inlineStr">
        <is>
          <t>A 40844-2026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46296</v>
      </c>
      <c r="E30" s="1" t="n">
        <v>46318</v>
      </c>
      <c r="F30" t="inlineStr">
        <is>
          <t>SÖDERMANLANDS LÄN</t>
        </is>
      </c>
      <c r="G30" t="inlineStr">
        <is>
          <t>ESKILSTUNA</t>
        </is>
      </c>
      <c r="H30" t="inlineStr">
        <is>
          <t>Sveaskog</t>
        </is>
      </c>
      <c r="I30" t="n">
        <v>2.1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3</v>
      </c>
      <c r="T30" t="n">
        <v>5</v>
      </c>
      <c r="U30" t="n">
        <v>0</v>
      </c>
      <c r="V30" s="2" t="inlineStr">
        <is>
          <t>Gullpudra
Tibast
Blåsippa</t>
        </is>
      </c>
      <c r="W30">
        <f>HYPERLINK("https://klasma.github.io/Logging_0484/artfynd/A 40844-2026 artfynd.xlsx", "A 40844-2026")</f>
        <v/>
      </c>
      <c r="X30">
        <f>HYPERLINK("https://klasma.github.io/Logging_0484/kartor/A 40844-2026 karta.png", "A 40844-2026")</f>
        <v/>
      </c>
      <c r="Y30">
        <f>HYPERLINK("https://klasma.github.io/Logging_0484/kartor_geotiff/A 40844-2026 georefererad karta.tif", "A 40844-2026")</f>
        <v/>
      </c>
      <c r="AA30">
        <f>HYPERLINK("https://klasma.github.io/Logging_0484/klagomål/A 40844-2026 FSC-klagomål.docx", "A 40844-2026")</f>
        <v/>
      </c>
      <c r="AB30">
        <f>HYPERLINK("https://klasma.github.io/Logging_0484/klagomålsmail/A 40844-2026 FSC-klagomål mail.docx", "A 40844-2026")</f>
        <v/>
      </c>
      <c r="AC30">
        <f>HYPERLINK("https://klasma.github.io/Logging_0484/tillsyn/A 40844-2026 tillsynsbegäran.docx", "A 40844-2026")</f>
        <v/>
      </c>
      <c r="AD30">
        <f>HYPERLINK("https://klasma.github.io/Logging_0484/tillsynsmail/A 40844-2026 tillsynsbegäran mail.docx", "A 40844-2026")</f>
        <v/>
      </c>
    </row>
    <row r="31" ht="15" customHeight="1">
      <c r="A31" t="inlineStr">
        <is>
          <t>A 9495-2025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45715</v>
      </c>
      <c r="E31" s="1" t="n">
        <v>46318</v>
      </c>
      <c r="F31" t="inlineStr">
        <is>
          <t>SÖDERMANLANDS LÄN</t>
        </is>
      </c>
      <c r="G31" t="inlineStr">
        <is>
          <t>ESKILSTUNA</t>
        </is>
      </c>
      <c r="I31" t="n">
        <v>9.6</v>
      </c>
      <c r="J31" t="n">
        <v>0</v>
      </c>
      <c r="K31" t="n">
        <v>0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1</v>
      </c>
      <c r="S31" t="n">
        <v>3</v>
      </c>
      <c r="T31" t="n">
        <v>19</v>
      </c>
      <c r="U31" t="n">
        <v>0</v>
      </c>
      <c r="V31" s="2" t="inlineStr">
        <is>
          <t>Ask
Svinrot
Ängsskära</t>
        </is>
      </c>
      <c r="W31">
        <f>HYPERLINK("https://klasma.github.io/Logging_0484/artfynd/A 9495-2025 artfynd.xlsx", "A 9495-2025")</f>
        <v/>
      </c>
      <c r="X31">
        <f>HYPERLINK("https://klasma.github.io/Logging_0484/kartor/A 9495-2025 karta.png", "A 9495-2025")</f>
        <v/>
      </c>
      <c r="Y31">
        <f>HYPERLINK("https://klasma.github.io/Logging_0484/kartor_geotiff/A 9495-2025 georefererad karta.tif", "A 9495-2025")</f>
        <v/>
      </c>
      <c r="AA31">
        <f>HYPERLINK("https://klasma.github.io/Logging_0484/klagomål/A 9495-2025 FSC-klagomål.docx", "A 9495-2025")</f>
        <v/>
      </c>
      <c r="AB31">
        <f>HYPERLINK("https://klasma.github.io/Logging_0484/klagomålsmail/A 9495-2025 FSC-klagomål mail.docx", "A 9495-2025")</f>
        <v/>
      </c>
      <c r="AC31">
        <f>HYPERLINK("https://klasma.github.io/Logging_0484/tillsyn/A 9495-2025 tillsynsbegäran.docx", "A 9495-2025")</f>
        <v/>
      </c>
      <c r="AD31">
        <f>HYPERLINK("https://klasma.github.io/Logging_0484/tillsynsmail/A 9495-2025 tillsynsbegäran mail.docx", "A 9495-2025")</f>
        <v/>
      </c>
    </row>
    <row r="32" ht="15" customHeight="1">
      <c r="A32" t="inlineStr">
        <is>
          <t>A 18968-2023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45044</v>
      </c>
      <c r="E32" s="1" t="n">
        <v>46318</v>
      </c>
      <c r="F32" t="inlineStr">
        <is>
          <t>SÖDERMANLANDS LÄN</t>
        </is>
      </c>
      <c r="G32" t="inlineStr">
        <is>
          <t>ESKILSTUNA</t>
        </is>
      </c>
      <c r="I32" t="n">
        <v>3.6</v>
      </c>
      <c r="J32" t="n">
        <v>0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3</v>
      </c>
      <c r="T32" t="n">
        <v>8</v>
      </c>
      <c r="U32" t="n">
        <v>0</v>
      </c>
      <c r="V32" s="2" t="inlineStr">
        <is>
          <t>Ask
Svart trolldruva
Tibast</t>
        </is>
      </c>
      <c r="W32">
        <f>HYPERLINK("https://klasma.github.io/Logging_0484/artfynd/A 18968-2023 artfynd.xlsx", "A 18968-2023")</f>
        <v/>
      </c>
      <c r="X32">
        <f>HYPERLINK("https://klasma.github.io/Logging_0484/kartor/A 18968-2023 karta.png", "A 18968-2023")</f>
        <v/>
      </c>
      <c r="Y32">
        <f>HYPERLINK("https://klasma.github.io/Logging_0484/kartor_geotiff/A 18968-2023 georefererad karta.tif", "A 18968-2023")</f>
        <v/>
      </c>
      <c r="AA32">
        <f>HYPERLINK("https://klasma.github.io/Logging_0484/klagomål/A 18968-2023 FSC-klagomål.docx", "A 18968-2023")</f>
        <v/>
      </c>
      <c r="AB32">
        <f>HYPERLINK("https://klasma.github.io/Logging_0484/klagomålsmail/A 18968-2023 FSC-klagomål mail.docx", "A 18968-2023")</f>
        <v/>
      </c>
      <c r="AC32">
        <f>HYPERLINK("https://klasma.github.io/Logging_0484/tillsyn/A 18968-2023 tillsynsbegäran.docx", "A 18968-2023")</f>
        <v/>
      </c>
      <c r="AD32">
        <f>HYPERLINK("https://klasma.github.io/Logging_0484/tillsynsmail/A 18968-2023 tillsynsbegäran mail.docx", "A 18968-2023")</f>
        <v/>
      </c>
    </row>
    <row r="33" ht="15" customHeight="1">
      <c r="A33" t="inlineStr">
        <is>
          <t>A 571-2023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44930</v>
      </c>
      <c r="E33" s="1" t="n">
        <v>46318</v>
      </c>
      <c r="F33" t="inlineStr">
        <is>
          <t>SÖDERMANLANDS LÄN</t>
        </is>
      </c>
      <c r="G33" t="inlineStr">
        <is>
          <t>ESKILSTUNA</t>
        </is>
      </c>
      <c r="H33" t="inlineStr">
        <is>
          <t>Kyrkan</t>
        </is>
      </c>
      <c r="I33" t="n">
        <v>2.6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4</v>
      </c>
      <c r="U33" t="n">
        <v>4</v>
      </c>
      <c r="V33" s="2" t="inlineStr">
        <is>
          <t>Spillkråka
Trädlärka
Revlummer</t>
        </is>
      </c>
      <c r="W33">
        <f>HYPERLINK("https://klasma.github.io/Logging_0484/artfynd/A 571-2023 artfynd.xlsx", "A 571-2023")</f>
        <v/>
      </c>
      <c r="X33">
        <f>HYPERLINK("https://klasma.github.io/Logging_0484/kartor/A 571-2023 karta.png", "A 571-2023")</f>
        <v/>
      </c>
      <c r="Y33">
        <f>HYPERLINK("https://klasma.github.io/Logging_0484/kartor_geotiff/A 571-2023 georefererad karta.tif", "A 571-2023")</f>
        <v/>
      </c>
      <c r="AA33">
        <f>HYPERLINK("https://klasma.github.io/Logging_0484/klagomål/A 571-2023 FSC-klagomål.docx", "A 571-2023")</f>
        <v/>
      </c>
      <c r="AB33">
        <f>HYPERLINK("https://klasma.github.io/Logging_0484/klagomålsmail/A 571-2023 FSC-klagomål mail.docx", "A 571-2023")</f>
        <v/>
      </c>
      <c r="AC33">
        <f>HYPERLINK("https://klasma.github.io/Logging_0484/tillsyn/A 571-2023 tillsynsbegäran.docx", "A 571-2023")</f>
        <v/>
      </c>
      <c r="AD33">
        <f>HYPERLINK("https://klasma.github.io/Logging_0484/tillsynsmail/A 571-2023 tillsynsbegäran mail.docx", "A 571-2023")</f>
        <v/>
      </c>
      <c r="AE33">
        <f>HYPERLINK("https://klasma.github.io/Logging_0484/fåglar/A 571-2023 prioriterade fågelarter.docx", "A 571-2023")</f>
        <v/>
      </c>
    </row>
    <row r="34" ht="15" customHeight="1">
      <c r="A34" t="inlineStr">
        <is>
          <t>S 1604-2025</t>
        </is>
      </c>
      <c r="B34" t="inlineStr">
        <is>
          <t>samrådsanmälan</t>
        </is>
      </c>
      <c r="C34" t="inlineStr">
        <is>
          <t>Annan skogsbruksåtgärd</t>
        </is>
      </c>
      <c r="D34" s="1" t="n">
        <v>45798</v>
      </c>
      <c r="E34" s="1" t="n">
        <v>46318</v>
      </c>
      <c r="F34" t="inlineStr">
        <is>
          <t>SÖDERMANLANDS LÄN</t>
        </is>
      </c>
      <c r="G34" t="inlineStr">
        <is>
          <t>ESKILSTUNA</t>
        </is>
      </c>
      <c r="H34" t="inlineStr">
        <is>
          <t>Sveaskog</t>
        </is>
      </c>
      <c r="I34" t="n">
        <v>0.4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6</v>
      </c>
      <c r="U34" t="n">
        <v>0</v>
      </c>
      <c r="V34" s="2" t="inlineStr">
        <is>
          <t>Ängsskära
Svart trolldruva
Blåsippa</t>
        </is>
      </c>
      <c r="W34">
        <f>HYPERLINK("https://klasma.github.io/Logging_0484/artfynd/S 1604-2025 artfynd.xlsx", "S 1604-2025")</f>
        <v/>
      </c>
      <c r="X34">
        <f>HYPERLINK("https://klasma.github.io/Logging_0484/kartor/S 1604-2025 karta.png", "S 1604-2025")</f>
        <v/>
      </c>
      <c r="Y34">
        <f>HYPERLINK("https://klasma.github.io/Logging_0484/kartor_geotiff/S 1604-2025 georefererad karta.tif", "S 1604-2025")</f>
        <v/>
      </c>
      <c r="AA34">
        <f>HYPERLINK("https://klasma.github.io/Logging_0484/klagomål/S 1604-2025 FSC-klagomål.docx", "S 1604-2025")</f>
        <v/>
      </c>
      <c r="AB34">
        <f>HYPERLINK("https://klasma.github.io/Logging_0484/klagomålsmail/S 1604-2025 FSC-klagomål mail.docx", "S 1604-2025")</f>
        <v/>
      </c>
      <c r="AC34">
        <f>HYPERLINK("https://klasma.github.io/Logging_0484/tillsyn/S 1604-2025 tillsynsbegäran.docx", "S 1604-2025")</f>
        <v/>
      </c>
      <c r="AD34">
        <f>HYPERLINK("https://klasma.github.io/Logging_0484/tillsynsmail/S 1604-2025 tillsynsbegäran mail.docx", "S 1604-2025")</f>
        <v/>
      </c>
    </row>
    <row r="35" ht="15" customHeight="1">
      <c r="A35" t="inlineStr">
        <is>
          <t>S 1603-2025</t>
        </is>
      </c>
      <c r="B35" t="inlineStr">
        <is>
          <t>samrådsanmälan</t>
        </is>
      </c>
      <c r="C35" t="inlineStr">
        <is>
          <t>Annan skogsbruksåtgärd</t>
        </is>
      </c>
      <c r="D35" s="1" t="n">
        <v>45798</v>
      </c>
      <c r="E35" s="1" t="n">
        <v>46318</v>
      </c>
      <c r="F35" t="inlineStr">
        <is>
          <t>SÖDERMANLANDS LÄN</t>
        </is>
      </c>
      <c r="G35" t="inlineStr">
        <is>
          <t>ESKILSTUNA</t>
        </is>
      </c>
      <c r="H35" t="inlineStr">
        <is>
          <t>Sveaskog</t>
        </is>
      </c>
      <c r="I35" t="n">
        <v>4.8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7</v>
      </c>
      <c r="U35" t="n">
        <v>0</v>
      </c>
      <c r="V35" s="2" t="inlineStr">
        <is>
          <t>Ängsskära
Svart trolldruva
Blåsippa</t>
        </is>
      </c>
      <c r="W35">
        <f>HYPERLINK("https://klasma.github.io/Logging_0484/artfynd/S 1603-2025 artfynd.xlsx", "S 1603-2025")</f>
        <v/>
      </c>
      <c r="X35">
        <f>HYPERLINK("https://klasma.github.io/Logging_0484/kartor/S 1603-2025 karta.png", "S 1603-2025")</f>
        <v/>
      </c>
      <c r="Y35">
        <f>HYPERLINK("https://klasma.github.io/Logging_0484/kartor_geotiff/S 1603-2025 georefererad karta.tif", "S 1603-2025")</f>
        <v/>
      </c>
      <c r="AA35">
        <f>HYPERLINK("https://klasma.github.io/Logging_0484/klagomål/S 1603-2025 FSC-klagomål.docx", "S 1603-2025")</f>
        <v/>
      </c>
      <c r="AB35">
        <f>HYPERLINK("https://klasma.github.io/Logging_0484/klagomålsmail/S 1603-2025 FSC-klagomål mail.docx", "S 1603-2025")</f>
        <v/>
      </c>
      <c r="AC35">
        <f>HYPERLINK("https://klasma.github.io/Logging_0484/tillsyn/S 1603-2025 tillsynsbegäran.docx", "S 1603-2025")</f>
        <v/>
      </c>
      <c r="AD35">
        <f>HYPERLINK("https://klasma.github.io/Logging_0484/tillsynsmail/S 1603-2025 tillsynsbegäran mail.docx", "S 1603-2025")</f>
        <v/>
      </c>
    </row>
    <row r="36" ht="15" customHeight="1">
      <c r="A36" t="inlineStr">
        <is>
          <t>A 69068-2021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44530</v>
      </c>
      <c r="E36" s="1" t="n">
        <v>46318</v>
      </c>
      <c r="F36" t="inlineStr">
        <is>
          <t>SÖDERMANLANDS LÄN</t>
        </is>
      </c>
      <c r="G36" t="inlineStr">
        <is>
          <t>ESKILSTUNA</t>
        </is>
      </c>
      <c r="I36" t="n">
        <v>3.9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2</v>
      </c>
      <c r="U36" t="n">
        <v>2</v>
      </c>
      <c r="V36" s="2" t="inlineStr">
        <is>
          <t>Tallticka
Mindre märgborre</t>
        </is>
      </c>
      <c r="W36">
        <f>HYPERLINK("https://klasma.github.io/Logging_0484/artfynd/A 69068-2021 artfynd.xlsx", "A 69068-2021")</f>
        <v/>
      </c>
      <c r="X36">
        <f>HYPERLINK("https://klasma.github.io/Logging_0484/kartor/A 69068-2021 karta.png", "A 69068-2021")</f>
        <v/>
      </c>
      <c r="Y36">
        <f>HYPERLINK("https://klasma.github.io/Logging_0484/kartor_geotiff/A 69068-2021 georefererad karta.tif", "A 69068-2021")</f>
        <v/>
      </c>
      <c r="AA36">
        <f>HYPERLINK("https://klasma.github.io/Logging_0484/klagomål/A 69068-2021 FSC-klagomål.docx", "A 69068-2021")</f>
        <v/>
      </c>
      <c r="AB36">
        <f>HYPERLINK("https://klasma.github.io/Logging_0484/klagomålsmail/A 69068-2021 FSC-klagomål mail.docx", "A 69068-2021")</f>
        <v/>
      </c>
      <c r="AC36">
        <f>HYPERLINK("https://klasma.github.io/Logging_0484/tillsyn/A 69068-2021 tillsynsbegäran.docx", "A 69068-2021")</f>
        <v/>
      </c>
      <c r="AD36">
        <f>HYPERLINK("https://klasma.github.io/Logging_0484/tillsynsmail/A 69068-2021 tillsynsbegäran mail.docx", "A 69068-2021")</f>
        <v/>
      </c>
    </row>
    <row r="37" ht="15" customHeight="1">
      <c r="A37" t="inlineStr">
        <is>
          <t>A 62141-2021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44502</v>
      </c>
      <c r="E37" s="1" t="n">
        <v>46318</v>
      </c>
      <c r="F37" t="inlineStr">
        <is>
          <t>SÖDERMANLANDS LÄN</t>
        </is>
      </c>
      <c r="G37" t="inlineStr">
        <is>
          <t>ESKILSTUNA</t>
        </is>
      </c>
      <c r="H37" t="inlineStr">
        <is>
          <t>Kyrkan</t>
        </is>
      </c>
      <c r="I37" t="n">
        <v>13.7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2</v>
      </c>
      <c r="U37" t="n">
        <v>0</v>
      </c>
      <c r="V37" s="2" t="inlineStr">
        <is>
          <t>Gullpudra
Mattlummer</t>
        </is>
      </c>
      <c r="W37">
        <f>HYPERLINK("https://klasma.github.io/Logging_0484/artfynd/A 62141-2021 artfynd.xlsx", "A 62141-2021")</f>
        <v/>
      </c>
      <c r="X37">
        <f>HYPERLINK("https://klasma.github.io/Logging_0484/kartor/A 62141-2021 karta.png", "A 62141-2021")</f>
        <v/>
      </c>
      <c r="Y37">
        <f>HYPERLINK("https://klasma.github.io/Logging_0484/kartor_geotiff/A 62141-2021 georefererad karta.tif", "A 62141-2021")</f>
        <v/>
      </c>
      <c r="AA37">
        <f>HYPERLINK("https://klasma.github.io/Logging_0484/klagomål/A 62141-2021 FSC-klagomål.docx", "A 62141-2021")</f>
        <v/>
      </c>
      <c r="AB37">
        <f>HYPERLINK("https://klasma.github.io/Logging_0484/klagomålsmail/A 62141-2021 FSC-klagomål mail.docx", "A 62141-2021")</f>
        <v/>
      </c>
      <c r="AC37">
        <f>HYPERLINK("https://klasma.github.io/Logging_0484/tillsyn/A 62141-2021 tillsynsbegäran.docx", "A 62141-2021")</f>
        <v/>
      </c>
      <c r="AD37">
        <f>HYPERLINK("https://klasma.github.io/Logging_0484/tillsynsmail/A 62141-2021 tillsynsbegäran mail.docx", "A 62141-2021")</f>
        <v/>
      </c>
    </row>
    <row r="38" ht="15" customHeight="1">
      <c r="A38" t="inlineStr">
        <is>
          <t>A 65380-2021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44515</v>
      </c>
      <c r="E38" s="1" t="n">
        <v>46318</v>
      </c>
      <c r="F38" t="inlineStr">
        <is>
          <t>SÖDERMANLANDS LÄN</t>
        </is>
      </c>
      <c r="G38" t="inlineStr">
        <is>
          <t>ESKILSTUNA</t>
        </is>
      </c>
      <c r="H38" t="inlineStr">
        <is>
          <t>Kyrkan</t>
        </is>
      </c>
      <c r="I38" t="n">
        <v>5.4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2</v>
      </c>
      <c r="U38" t="n">
        <v>1</v>
      </c>
      <c r="V38" s="2" t="inlineStr">
        <is>
          <t>Älg
Blåsippa</t>
        </is>
      </c>
      <c r="W38">
        <f>HYPERLINK("https://klasma.github.io/Logging_0484/artfynd/A 65380-2021 artfynd.xlsx", "A 65380-2021")</f>
        <v/>
      </c>
      <c r="X38">
        <f>HYPERLINK("https://klasma.github.io/Logging_0484/kartor/A 65380-2021 karta.png", "A 65380-2021")</f>
        <v/>
      </c>
      <c r="Y38">
        <f>HYPERLINK("https://klasma.github.io/Logging_0484/kartor_geotiff/A 65380-2021 georefererad karta.tif", "A 65380-2021")</f>
        <v/>
      </c>
      <c r="AA38">
        <f>HYPERLINK("https://klasma.github.io/Logging_0484/klagomål/A 65380-2021 FSC-klagomål.docx", "A 65380-2021")</f>
        <v/>
      </c>
      <c r="AB38">
        <f>HYPERLINK("https://klasma.github.io/Logging_0484/klagomålsmail/A 65380-2021 FSC-klagomål mail.docx", "A 65380-2021")</f>
        <v/>
      </c>
      <c r="AC38">
        <f>HYPERLINK("https://klasma.github.io/Logging_0484/tillsyn/A 65380-2021 tillsynsbegäran.docx", "A 65380-2021")</f>
        <v/>
      </c>
      <c r="AD38">
        <f>HYPERLINK("https://klasma.github.io/Logging_0484/tillsynsmail/A 65380-2021 tillsynsbegäran mail.docx", "A 65380-2021")</f>
        <v/>
      </c>
    </row>
    <row r="39" ht="15" customHeight="1">
      <c r="A39" t="inlineStr">
        <is>
          <t>A 34986-2025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45849</v>
      </c>
      <c r="E39" s="1" t="n">
        <v>46318</v>
      </c>
      <c r="F39" t="inlineStr">
        <is>
          <t>SÖDERMANLANDS LÄN</t>
        </is>
      </c>
      <c r="G39" t="inlineStr">
        <is>
          <t>ESKILSTUNA</t>
        </is>
      </c>
      <c r="H39" t="inlineStr">
        <is>
          <t>Allmännings- och besparingsskogar</t>
        </is>
      </c>
      <c r="I39" t="n">
        <v>1.1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2</v>
      </c>
      <c r="U39" t="n">
        <v>1</v>
      </c>
      <c r="V39" s="2" t="inlineStr">
        <is>
          <t>Svart trolldruva
Spillkråka</t>
        </is>
      </c>
      <c r="W39">
        <f>HYPERLINK("https://klasma.github.io/Logging_0484/artfynd/A 34986-2025 artfynd.xlsx", "A 34986-2025")</f>
        <v/>
      </c>
      <c r="X39">
        <f>HYPERLINK("https://klasma.github.io/Logging_0484/kartor/A 34986-2025 karta.png", "A 34986-2025")</f>
        <v/>
      </c>
      <c r="Y39">
        <f>HYPERLINK("https://klasma.github.io/Logging_0484/kartor_geotiff/A 34986-2025 georefererad karta.tif", "A 34986-2025")</f>
        <v/>
      </c>
      <c r="AA39">
        <f>HYPERLINK("https://klasma.github.io/Logging_0484/klagomål/A 34986-2025 FSC-klagomål.docx", "A 34986-2025")</f>
        <v/>
      </c>
      <c r="AB39">
        <f>HYPERLINK("https://klasma.github.io/Logging_0484/klagomålsmail/A 34986-2025 FSC-klagomål mail.docx", "A 34986-2025")</f>
        <v/>
      </c>
      <c r="AC39">
        <f>HYPERLINK("https://klasma.github.io/Logging_0484/tillsyn/A 34986-2025 tillsynsbegäran.docx", "A 34986-2025")</f>
        <v/>
      </c>
      <c r="AD39">
        <f>HYPERLINK("https://klasma.github.io/Logging_0484/tillsynsmail/A 34986-2025 tillsynsbegäran mail.docx", "A 34986-2025")</f>
        <v/>
      </c>
      <c r="AE39">
        <f>HYPERLINK("https://klasma.github.io/Logging_0484/fåglar/A 34986-2025 prioriterade fågelarter.docx", "A 34986-2025")</f>
        <v/>
      </c>
    </row>
    <row r="40" ht="15" customHeight="1">
      <c r="A40" t="inlineStr">
        <is>
          <t>A 34985-2025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45849</v>
      </c>
      <c r="E40" s="1" t="n">
        <v>46318</v>
      </c>
      <c r="F40" t="inlineStr">
        <is>
          <t>SÖDERMANLANDS LÄN</t>
        </is>
      </c>
      <c r="G40" t="inlineStr">
        <is>
          <t>ESKILSTUNA</t>
        </is>
      </c>
      <c r="H40" t="inlineStr">
        <is>
          <t>Allmännings- och besparingsskogar</t>
        </is>
      </c>
      <c r="I40" t="n">
        <v>5.1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2</v>
      </c>
      <c r="U40" t="n">
        <v>1</v>
      </c>
      <c r="V40" s="2" t="inlineStr">
        <is>
          <t>Krusfrö
Tjäder</t>
        </is>
      </c>
      <c r="W40">
        <f>HYPERLINK("https://klasma.github.io/Logging_0484/artfynd/A 34985-2025 artfynd.xlsx", "A 34985-2025")</f>
        <v/>
      </c>
      <c r="X40">
        <f>HYPERLINK("https://klasma.github.io/Logging_0484/kartor/A 34985-2025 karta.png", "A 34985-2025")</f>
        <v/>
      </c>
      <c r="Y40">
        <f>HYPERLINK("https://klasma.github.io/Logging_0484/kartor_geotiff/A 34985-2025 georefererad karta.tif", "A 34985-2025")</f>
        <v/>
      </c>
      <c r="AA40">
        <f>HYPERLINK("https://klasma.github.io/Logging_0484/klagomål/A 34985-2025 FSC-klagomål.docx", "A 34985-2025")</f>
        <v/>
      </c>
      <c r="AB40">
        <f>HYPERLINK("https://klasma.github.io/Logging_0484/klagomålsmail/A 34985-2025 FSC-klagomål mail.docx", "A 34985-2025")</f>
        <v/>
      </c>
      <c r="AC40">
        <f>HYPERLINK("https://klasma.github.io/Logging_0484/tillsyn/A 34985-2025 tillsynsbegäran.docx", "A 34985-2025")</f>
        <v/>
      </c>
      <c r="AD40">
        <f>HYPERLINK("https://klasma.github.io/Logging_0484/tillsynsmail/A 34985-2025 tillsynsbegäran mail.docx", "A 34985-2025")</f>
        <v/>
      </c>
      <c r="AE40">
        <f>HYPERLINK("https://klasma.github.io/Logging_0484/fåglar/A 34985-2025 prioriterade fågelarter.docx", "A 34985-2025")</f>
        <v/>
      </c>
    </row>
    <row r="41" ht="15" customHeight="1">
      <c r="A41" t="inlineStr">
        <is>
          <t>A 44664-2022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44840</v>
      </c>
      <c r="E41" s="1" t="n">
        <v>46318</v>
      </c>
      <c r="F41" t="inlineStr">
        <is>
          <t>SÖDERMANLANDS LÄN</t>
        </is>
      </c>
      <c r="G41" t="inlineStr">
        <is>
          <t>ESKILSTUNA</t>
        </is>
      </c>
      <c r="I41" t="n">
        <v>20.8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2</v>
      </c>
      <c r="T41" t="n">
        <v>5</v>
      </c>
      <c r="U41" t="n">
        <v>1</v>
      </c>
      <c r="V41" s="2" t="inlineStr">
        <is>
          <t>Knärot
Blåmossa</t>
        </is>
      </c>
      <c r="W41">
        <f>HYPERLINK("https://klasma.github.io/Logging_0484/artfynd/A 44664-2022 artfynd.xlsx", "A 44664-2022")</f>
        <v/>
      </c>
      <c r="X41">
        <f>HYPERLINK("https://klasma.github.io/Logging_0484/kartor/A 44664-2022 karta.png", "A 44664-2022")</f>
        <v/>
      </c>
      <c r="Y41">
        <f>HYPERLINK("https://klasma.github.io/Logging_0484/kartor_geotiff/A 44664-2022 georefererad karta.tif", "A 44664-2022")</f>
        <v/>
      </c>
      <c r="Z41">
        <f>HYPERLINK("https://klasma.github.io/Logging_0484/knärot/A 44664-2022 karta knärot.png", "A 44664-2022")</f>
        <v/>
      </c>
      <c r="AA41">
        <f>HYPERLINK("https://klasma.github.io/Logging_0484/klagomål/A 44664-2022 FSC-klagomål.docx", "A 44664-2022")</f>
        <v/>
      </c>
      <c r="AB41">
        <f>HYPERLINK("https://klasma.github.io/Logging_0484/klagomålsmail/A 44664-2022 FSC-klagomål mail.docx", "A 44664-2022")</f>
        <v/>
      </c>
      <c r="AC41">
        <f>HYPERLINK("https://klasma.github.io/Logging_0484/tillsyn/A 44664-2022 tillsynsbegäran.docx", "A 44664-2022")</f>
        <v/>
      </c>
      <c r="AD41">
        <f>HYPERLINK("https://klasma.github.io/Logging_0484/tillsynsmail/A 44664-2022 tillsynsbegäran mail.docx", "A 44664-2022")</f>
        <v/>
      </c>
    </row>
    <row r="42" ht="15" customHeight="1">
      <c r="A42" t="inlineStr">
        <is>
          <t>A 62009-2024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45655</v>
      </c>
      <c r="E42" s="1" t="n">
        <v>46318</v>
      </c>
      <c r="F42" t="inlineStr">
        <is>
          <t>SÖDERMANLANDS LÄN</t>
        </is>
      </c>
      <c r="G42" t="inlineStr">
        <is>
          <t>ESKILSTUNA</t>
        </is>
      </c>
      <c r="H42" t="inlineStr">
        <is>
          <t>Holmen skog AB</t>
        </is>
      </c>
      <c r="I42" t="n">
        <v>11.9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3</v>
      </c>
      <c r="U42" t="n">
        <v>1</v>
      </c>
      <c r="V42" s="2" t="inlineStr">
        <is>
          <t>Mattlummer
Revlummer</t>
        </is>
      </c>
      <c r="W42">
        <f>HYPERLINK("https://klasma.github.io/Logging_0484/artfynd/A 62009-2024 artfynd.xlsx", "A 62009-2024")</f>
        <v/>
      </c>
      <c r="X42">
        <f>HYPERLINK("https://klasma.github.io/Logging_0484/kartor/A 62009-2024 karta.png", "A 62009-2024")</f>
        <v/>
      </c>
      <c r="Y42">
        <f>HYPERLINK("https://klasma.github.io/Logging_0484/kartor_geotiff/A 62009-2024 georefererad karta.tif", "A 62009-2024")</f>
        <v/>
      </c>
      <c r="AA42">
        <f>HYPERLINK("https://klasma.github.io/Logging_0484/klagomål/A 62009-2024 FSC-klagomål.docx", "A 62009-2024")</f>
        <v/>
      </c>
      <c r="AB42">
        <f>HYPERLINK("https://klasma.github.io/Logging_0484/klagomålsmail/A 62009-2024 FSC-klagomål mail.docx", "A 62009-2024")</f>
        <v/>
      </c>
      <c r="AC42">
        <f>HYPERLINK("https://klasma.github.io/Logging_0484/tillsyn/A 62009-2024 tillsynsbegäran.docx", "A 62009-2024")</f>
        <v/>
      </c>
      <c r="AD42">
        <f>HYPERLINK("https://klasma.github.io/Logging_0484/tillsynsmail/A 62009-2024 tillsynsbegäran mail.docx", "A 62009-2024")</f>
        <v/>
      </c>
    </row>
    <row r="43" ht="15" customHeight="1">
      <c r="A43" t="inlineStr">
        <is>
          <t>A 22760-2026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46157</v>
      </c>
      <c r="E43" s="1" t="n">
        <v>46318</v>
      </c>
      <c r="F43" t="inlineStr">
        <is>
          <t>SÖDERMANLANDS LÄN</t>
        </is>
      </c>
      <c r="G43" t="inlineStr">
        <is>
          <t>ESKILSTUNA</t>
        </is>
      </c>
      <c r="I43" t="n">
        <v>4.4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2</v>
      </c>
      <c r="T43" t="n">
        <v>2</v>
      </c>
      <c r="U43" t="n">
        <v>0</v>
      </c>
      <c r="V43" s="2" t="inlineStr">
        <is>
          <t>Jungfrulin
Solvända</t>
        </is>
      </c>
      <c r="W43">
        <f>HYPERLINK("https://klasma.github.io/Logging_0484/artfynd/A 22760-2026 artfynd.xlsx", "A 22760-2026")</f>
        <v/>
      </c>
      <c r="X43">
        <f>HYPERLINK("https://klasma.github.io/Logging_0484/kartor/A 22760-2026 karta.png", "A 22760-2026")</f>
        <v/>
      </c>
      <c r="Y43">
        <f>HYPERLINK("https://klasma.github.io/Logging_0484/kartor_geotiff/A 22760-2026 georefererad karta.tif", "A 22760-2026")</f>
        <v/>
      </c>
      <c r="AA43">
        <f>HYPERLINK("https://klasma.github.io/Logging_0484/klagomål/A 22760-2026 FSC-klagomål.docx", "A 22760-2026")</f>
        <v/>
      </c>
      <c r="AB43">
        <f>HYPERLINK("https://klasma.github.io/Logging_0484/klagomålsmail/A 22760-2026 FSC-klagomål mail.docx", "A 22760-2026")</f>
        <v/>
      </c>
      <c r="AC43">
        <f>HYPERLINK("https://klasma.github.io/Logging_0484/tillsyn/A 22760-2026 tillsynsbegäran.docx", "A 22760-2026")</f>
        <v/>
      </c>
      <c r="AD43">
        <f>HYPERLINK("https://klasma.github.io/Logging_0484/tillsynsmail/A 22760-2026 tillsynsbegäran mail.docx", "A 22760-2026")</f>
        <v/>
      </c>
    </row>
    <row r="44" ht="15" customHeight="1">
      <c r="A44" t="inlineStr">
        <is>
          <t>A 63042-2025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46009</v>
      </c>
      <c r="E44" s="1" t="n">
        <v>46318</v>
      </c>
      <c r="F44" t="inlineStr">
        <is>
          <t>SÖDERMANLANDS LÄN</t>
        </is>
      </c>
      <c r="G44" t="inlineStr">
        <is>
          <t>ESKILSTUNA</t>
        </is>
      </c>
      <c r="I44" t="n">
        <v>1.4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2</v>
      </c>
      <c r="U44" t="n">
        <v>2</v>
      </c>
      <c r="V44" s="2" t="inlineStr">
        <is>
          <t>Kungsfågel
Revlummer</t>
        </is>
      </c>
      <c r="W44">
        <f>HYPERLINK("https://klasma.github.io/Logging_0484/artfynd/A 63042-2025 artfynd.xlsx", "A 63042-2025")</f>
        <v/>
      </c>
      <c r="X44">
        <f>HYPERLINK("https://klasma.github.io/Logging_0484/kartor/A 63042-2025 karta.png", "A 63042-2025")</f>
        <v/>
      </c>
      <c r="Y44">
        <f>HYPERLINK("https://klasma.github.io/Logging_0484/kartor_geotiff/A 63042-2025 georefererad karta.tif", "A 63042-2025")</f>
        <v/>
      </c>
      <c r="AA44">
        <f>HYPERLINK("https://klasma.github.io/Logging_0484/klagomål/A 63042-2025 FSC-klagomål.docx", "A 63042-2025")</f>
        <v/>
      </c>
      <c r="AB44">
        <f>HYPERLINK("https://klasma.github.io/Logging_0484/klagomålsmail/A 63042-2025 FSC-klagomål mail.docx", "A 63042-2025")</f>
        <v/>
      </c>
      <c r="AC44">
        <f>HYPERLINK("https://klasma.github.io/Logging_0484/tillsyn/A 63042-2025 tillsynsbegäran.docx", "A 63042-2025")</f>
        <v/>
      </c>
      <c r="AD44">
        <f>HYPERLINK("https://klasma.github.io/Logging_0484/tillsynsmail/A 63042-2025 tillsynsbegäran mail.docx", "A 63042-2025")</f>
        <v/>
      </c>
    </row>
    <row r="45" ht="15" customHeight="1">
      <c r="A45" t="inlineStr">
        <is>
          <t>A 32314-2023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45120</v>
      </c>
      <c r="E45" s="1" t="n">
        <v>46318</v>
      </c>
      <c r="F45" t="inlineStr">
        <is>
          <t>SÖDERMANLANDS LÄN</t>
        </is>
      </c>
      <c r="G45" t="inlineStr">
        <is>
          <t>ESKILSTUNA</t>
        </is>
      </c>
      <c r="H45" t="inlineStr">
        <is>
          <t>Sveaskog</t>
        </is>
      </c>
      <c r="I45" t="n">
        <v>4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2</v>
      </c>
      <c r="U45" t="n">
        <v>1</v>
      </c>
      <c r="V45" s="2" t="inlineStr">
        <is>
          <t>Grovticka
Svavelriska</t>
        </is>
      </c>
      <c r="W45">
        <f>HYPERLINK("https://klasma.github.io/Logging_0484/artfynd/A 32314-2023 artfynd.xlsx", "A 32314-2023")</f>
        <v/>
      </c>
      <c r="X45">
        <f>HYPERLINK("https://klasma.github.io/Logging_0484/kartor/A 32314-2023 karta.png", "A 32314-2023")</f>
        <v/>
      </c>
      <c r="Y45">
        <f>HYPERLINK("https://klasma.github.io/Logging_0484/kartor_geotiff/A 32314-2023 georefererad karta.tif", "A 32314-2023")</f>
        <v/>
      </c>
      <c r="AA45">
        <f>HYPERLINK("https://klasma.github.io/Logging_0484/klagomål/A 32314-2023 FSC-klagomål.docx", "A 32314-2023")</f>
        <v/>
      </c>
      <c r="AB45">
        <f>HYPERLINK("https://klasma.github.io/Logging_0484/klagomålsmail/A 32314-2023 FSC-klagomål mail.docx", "A 32314-2023")</f>
        <v/>
      </c>
      <c r="AC45">
        <f>HYPERLINK("https://klasma.github.io/Logging_0484/tillsyn/A 32314-2023 tillsynsbegäran.docx", "A 32314-2023")</f>
        <v/>
      </c>
      <c r="AD45">
        <f>HYPERLINK("https://klasma.github.io/Logging_0484/tillsynsmail/A 32314-2023 tillsynsbegäran mail.docx", "A 32314-2023")</f>
        <v/>
      </c>
    </row>
    <row r="46" ht="15" customHeight="1">
      <c r="A46" t="inlineStr">
        <is>
          <t>A 26095-2026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46181</v>
      </c>
      <c r="E46" s="1" t="n">
        <v>46318</v>
      </c>
      <c r="F46" t="inlineStr">
        <is>
          <t>SÖDERMANLANDS LÄN</t>
        </is>
      </c>
      <c r="G46" t="inlineStr">
        <is>
          <t>ESKILSTUNA</t>
        </is>
      </c>
      <c r="H46" t="inlineStr">
        <is>
          <t>Sveaskog</t>
        </is>
      </c>
      <c r="I46" t="n">
        <v>1.1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3</v>
      </c>
      <c r="U46" t="n">
        <v>3</v>
      </c>
      <c r="V46" s="2" t="inlineStr">
        <is>
          <t>Svinrot
Spillkråka</t>
        </is>
      </c>
      <c r="W46">
        <f>HYPERLINK("https://klasma.github.io/Logging_0484/artfynd/A 26095-2026 artfynd.xlsx", "A 26095-2026")</f>
        <v/>
      </c>
      <c r="X46">
        <f>HYPERLINK("https://klasma.github.io/Logging_0484/kartor/A 26095-2026 karta.png", "A 26095-2026")</f>
        <v/>
      </c>
      <c r="Y46">
        <f>HYPERLINK("https://klasma.github.io/Logging_0484/kartor_geotiff/A 26095-2026 georefererad karta.tif", "A 26095-2026")</f>
        <v/>
      </c>
      <c r="AA46">
        <f>HYPERLINK("https://klasma.github.io/Logging_0484/klagomål/A 26095-2026 FSC-klagomål.docx", "A 26095-2026")</f>
        <v/>
      </c>
      <c r="AB46">
        <f>HYPERLINK("https://klasma.github.io/Logging_0484/klagomålsmail/A 26095-2026 FSC-klagomål mail.docx", "A 26095-2026")</f>
        <v/>
      </c>
      <c r="AC46">
        <f>HYPERLINK("https://klasma.github.io/Logging_0484/tillsyn/A 26095-2026 tillsynsbegäran.docx", "A 26095-2026")</f>
        <v/>
      </c>
      <c r="AD46">
        <f>HYPERLINK("https://klasma.github.io/Logging_0484/tillsynsmail/A 26095-2026 tillsynsbegäran mail.docx", "A 26095-2026")</f>
        <v/>
      </c>
      <c r="AE46">
        <f>HYPERLINK("https://klasma.github.io/Logging_0484/fåglar/A 26095-2026 prioriterade fågelarter.docx", "A 26095-2026")</f>
        <v/>
      </c>
    </row>
    <row r="47" ht="15" customHeight="1">
      <c r="A47" t="inlineStr">
        <is>
          <t>A 26105-2026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46181</v>
      </c>
      <c r="E47" s="1" t="n">
        <v>46318</v>
      </c>
      <c r="F47" t="inlineStr">
        <is>
          <t>SÖDERMANLANDS LÄN</t>
        </is>
      </c>
      <c r="G47" t="inlineStr">
        <is>
          <t>ESKILSTUNA</t>
        </is>
      </c>
      <c r="H47" t="inlineStr">
        <is>
          <t>Sveaskog</t>
        </is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1</v>
      </c>
      <c r="S47" t="n">
        <v>2</v>
      </c>
      <c r="T47" t="n">
        <v>2</v>
      </c>
      <c r="U47" t="n">
        <v>0</v>
      </c>
      <c r="V47" s="2" t="inlineStr">
        <is>
          <t>Backsippa
Backtimjan</t>
        </is>
      </c>
      <c r="W47">
        <f>HYPERLINK("https://klasma.github.io/Logging_0484/artfynd/A 26105-2026 artfynd.xlsx", "A 26105-2026")</f>
        <v/>
      </c>
      <c r="X47">
        <f>HYPERLINK("https://klasma.github.io/Logging_0484/kartor/A 26105-2026 karta.png", "A 26105-2026")</f>
        <v/>
      </c>
      <c r="Y47">
        <f>HYPERLINK("https://klasma.github.io/Logging_0484/kartor_geotiff/A 26105-2026 georefererad karta.tif", "A 26105-2026")</f>
        <v/>
      </c>
      <c r="AA47">
        <f>HYPERLINK("https://klasma.github.io/Logging_0484/klagomål/A 26105-2026 FSC-klagomål.docx", "A 26105-2026")</f>
        <v/>
      </c>
      <c r="AB47">
        <f>HYPERLINK("https://klasma.github.io/Logging_0484/klagomålsmail/A 26105-2026 FSC-klagomål mail.docx", "A 26105-2026")</f>
        <v/>
      </c>
      <c r="AC47">
        <f>HYPERLINK("https://klasma.github.io/Logging_0484/tillsyn/A 26105-2026 tillsynsbegäran.docx", "A 26105-2026")</f>
        <v/>
      </c>
      <c r="AD47">
        <f>HYPERLINK("https://klasma.github.io/Logging_0484/tillsynsmail/A 26105-2026 tillsynsbegäran mail.docx", "A 26105-2026")</f>
        <v/>
      </c>
    </row>
    <row r="48" ht="15" customHeight="1">
      <c r="A48" t="inlineStr">
        <is>
          <t>A 61987-2022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44918</v>
      </c>
      <c r="E48" s="1" t="n">
        <v>46318</v>
      </c>
      <c r="F48" t="inlineStr">
        <is>
          <t>SÖDERMANLANDS LÄN</t>
        </is>
      </c>
      <c r="G48" t="inlineStr">
        <is>
          <t>ESKILSTUNA</t>
        </is>
      </c>
      <c r="I48" t="n">
        <v>4.3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2</v>
      </c>
      <c r="T48" t="n">
        <v>2</v>
      </c>
      <c r="U48" t="n">
        <v>0</v>
      </c>
      <c r="V48" s="2" t="inlineStr">
        <is>
          <t>Svinrot
Mattlummer</t>
        </is>
      </c>
      <c r="W48">
        <f>HYPERLINK("https://klasma.github.io/Logging_0484/artfynd/A 61987-2022 artfynd.xlsx", "A 61987-2022")</f>
        <v/>
      </c>
      <c r="X48">
        <f>HYPERLINK("https://klasma.github.io/Logging_0484/kartor/A 61987-2022 karta.png", "A 61987-2022")</f>
        <v/>
      </c>
      <c r="Y48">
        <f>HYPERLINK("https://klasma.github.io/Logging_0484/kartor_geotiff/A 61987-2022 georefererad karta.tif", "A 61987-2022")</f>
        <v/>
      </c>
      <c r="AA48">
        <f>HYPERLINK("https://klasma.github.io/Logging_0484/klagomål/A 61987-2022 FSC-klagomål.docx", "A 61987-2022")</f>
        <v/>
      </c>
      <c r="AB48">
        <f>HYPERLINK("https://klasma.github.io/Logging_0484/klagomålsmail/A 61987-2022 FSC-klagomål mail.docx", "A 61987-2022")</f>
        <v/>
      </c>
      <c r="AC48">
        <f>HYPERLINK("https://klasma.github.io/Logging_0484/tillsyn/A 61987-2022 tillsynsbegäran.docx", "A 61987-2022")</f>
        <v/>
      </c>
      <c r="AD48">
        <f>HYPERLINK("https://klasma.github.io/Logging_0484/tillsynsmail/A 61987-2022 tillsynsbegäran mail.docx", "A 61987-2022")</f>
        <v/>
      </c>
    </row>
    <row r="49" ht="15" customHeight="1">
      <c r="A49" t="inlineStr">
        <is>
          <t>A 59822-2025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45992</v>
      </c>
      <c r="E49" s="1" t="n">
        <v>46318</v>
      </c>
      <c r="F49" t="inlineStr">
        <is>
          <t>SÖDERMANLANDS LÄN</t>
        </is>
      </c>
      <c r="G49" t="inlineStr">
        <is>
          <t>ESKILSTUNA</t>
        </is>
      </c>
      <c r="I49" t="n">
        <v>8.5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2</v>
      </c>
      <c r="U49" t="n">
        <v>2</v>
      </c>
      <c r="V49" s="2" t="inlineStr">
        <is>
          <t>Stubbspretmossa
Timmerticka</t>
        </is>
      </c>
      <c r="W49">
        <f>HYPERLINK("https://klasma.github.io/Logging_0484/artfynd/A 59822-2025 artfynd.xlsx", "A 59822-2025")</f>
        <v/>
      </c>
      <c r="X49">
        <f>HYPERLINK("https://klasma.github.io/Logging_0484/kartor/A 59822-2025 karta.png", "A 59822-2025")</f>
        <v/>
      </c>
      <c r="Y49">
        <f>HYPERLINK("https://klasma.github.io/Logging_0484/kartor_geotiff/A 59822-2025 georefererad karta.tif", "A 59822-2025")</f>
        <v/>
      </c>
      <c r="AA49">
        <f>HYPERLINK("https://klasma.github.io/Logging_0484/klagomål/A 59822-2025 FSC-klagomål.docx", "A 59822-2025")</f>
        <v/>
      </c>
      <c r="AB49">
        <f>HYPERLINK("https://klasma.github.io/Logging_0484/klagomålsmail/A 59822-2025 FSC-klagomål mail.docx", "A 59822-2025")</f>
        <v/>
      </c>
      <c r="AC49">
        <f>HYPERLINK("https://klasma.github.io/Logging_0484/tillsyn/A 59822-2025 tillsynsbegäran.docx", "A 59822-2025")</f>
        <v/>
      </c>
      <c r="AD49">
        <f>HYPERLINK("https://klasma.github.io/Logging_0484/tillsynsmail/A 59822-2025 tillsynsbegäran mail.docx", "A 59822-2025")</f>
        <v/>
      </c>
    </row>
    <row r="50" ht="15" customHeight="1">
      <c r="A50" t="inlineStr">
        <is>
          <t>A 51326-2024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45603</v>
      </c>
      <c r="E50" s="1" t="n">
        <v>46318</v>
      </c>
      <c r="F50" t="inlineStr">
        <is>
          <t>SÖDERMANLANDS LÄN</t>
        </is>
      </c>
      <c r="G50" t="inlineStr">
        <is>
          <t>ESKILSTUNA</t>
        </is>
      </c>
      <c r="I50" t="n">
        <v>4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3</v>
      </c>
      <c r="U50" t="n">
        <v>0</v>
      </c>
      <c r="V50" s="2" t="inlineStr">
        <is>
          <t>Myskbock
Blåsippa</t>
        </is>
      </c>
      <c r="W50">
        <f>HYPERLINK("https://klasma.github.io/Logging_0484/artfynd/A 51326-2024 artfynd.xlsx", "A 51326-2024")</f>
        <v/>
      </c>
      <c r="X50">
        <f>HYPERLINK("https://klasma.github.io/Logging_0484/kartor/A 51326-2024 karta.png", "A 51326-2024")</f>
        <v/>
      </c>
      <c r="Y50">
        <f>HYPERLINK("https://klasma.github.io/Logging_0484/kartor_geotiff/A 51326-2024 georefererad karta.tif", "A 51326-2024")</f>
        <v/>
      </c>
      <c r="AA50">
        <f>HYPERLINK("https://klasma.github.io/Logging_0484/klagomål/A 51326-2024 FSC-klagomål.docx", "A 51326-2024")</f>
        <v/>
      </c>
      <c r="AB50">
        <f>HYPERLINK("https://klasma.github.io/Logging_0484/klagomålsmail/A 51326-2024 FSC-klagomål mail.docx", "A 51326-2024")</f>
        <v/>
      </c>
      <c r="AC50">
        <f>HYPERLINK("https://klasma.github.io/Logging_0484/tillsyn/A 51326-2024 tillsynsbegäran.docx", "A 51326-2024")</f>
        <v/>
      </c>
      <c r="AD50">
        <f>HYPERLINK("https://klasma.github.io/Logging_0484/tillsynsmail/A 51326-2024 tillsynsbegäran mail.docx", "A 51326-2024")</f>
        <v/>
      </c>
    </row>
    <row r="51" ht="15" customHeight="1">
      <c r="A51" t="inlineStr">
        <is>
          <t>A 17362-2024</t>
        </is>
      </c>
      <c r="B51" t="inlineStr">
        <is>
          <t>avverkningsanmälan</t>
        </is>
      </c>
      <c r="C51" t="inlineStr">
        <is>
          <t>Avverkning för att bevara och utveckla /försöksver</t>
        </is>
      </c>
      <c r="D51" s="1" t="n">
        <v>45414</v>
      </c>
      <c r="E51" s="1" t="n">
        <v>46318</v>
      </c>
      <c r="F51" t="inlineStr">
        <is>
          <t>SÖDERMANLANDS LÄN</t>
        </is>
      </c>
      <c r="G51" t="inlineStr">
        <is>
          <t>ESKILSTUNA</t>
        </is>
      </c>
      <c r="H51" t="inlineStr">
        <is>
          <t>Sveaskog</t>
        </is>
      </c>
      <c r="I51" t="n">
        <v>3.4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2</v>
      </c>
      <c r="T51" t="n">
        <v>2</v>
      </c>
      <c r="U51" t="n">
        <v>0</v>
      </c>
      <c r="V51" s="2" t="inlineStr">
        <is>
          <t>Gul dropplav
Sotlav</t>
        </is>
      </c>
      <c r="W51">
        <f>HYPERLINK("https://klasma.github.io/Logging_0484/artfynd/A 17362-2024 artfynd.xlsx", "A 17362-2024")</f>
        <v/>
      </c>
      <c r="X51">
        <f>HYPERLINK("https://klasma.github.io/Logging_0484/kartor/A 17362-2024 karta.png", "A 17362-2024")</f>
        <v/>
      </c>
      <c r="Y51">
        <f>HYPERLINK("https://klasma.github.io/Logging_0484/kartor_geotiff/A 17362-2024 georefererad karta.tif", "A 17362-2024")</f>
        <v/>
      </c>
      <c r="AA51">
        <f>HYPERLINK("https://klasma.github.io/Logging_0484/klagomål/A 17362-2024 FSC-klagomål.docx", "A 17362-2024")</f>
        <v/>
      </c>
      <c r="AB51">
        <f>HYPERLINK("https://klasma.github.io/Logging_0484/klagomålsmail/A 17362-2024 FSC-klagomål mail.docx", "A 17362-2024")</f>
        <v/>
      </c>
      <c r="AC51">
        <f>HYPERLINK("https://klasma.github.io/Logging_0484/tillsyn/A 17362-2024 tillsynsbegäran.docx", "A 17362-2024")</f>
        <v/>
      </c>
      <c r="AD51">
        <f>HYPERLINK("https://klasma.github.io/Logging_0484/tillsynsmail/A 17362-2024 tillsynsbegäran mail.docx", "A 17362-2024")</f>
        <v/>
      </c>
    </row>
    <row r="52" ht="15" customHeight="1">
      <c r="A52" t="inlineStr">
        <is>
          <t>A 19494-2024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45429</v>
      </c>
      <c r="E52" s="1" t="n">
        <v>46318</v>
      </c>
      <c r="F52" t="inlineStr">
        <is>
          <t>SÖDERMANLANDS LÄN</t>
        </is>
      </c>
      <c r="G52" t="inlineStr">
        <is>
          <t>ESKILSTUNA</t>
        </is>
      </c>
      <c r="I52" t="n">
        <v>0.7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2</v>
      </c>
      <c r="U52" t="n">
        <v>0</v>
      </c>
      <c r="V52" s="2" t="inlineStr">
        <is>
          <t>Svart trolldruva
Blåsippa</t>
        </is>
      </c>
      <c r="W52">
        <f>HYPERLINK("https://klasma.github.io/Logging_0484/artfynd/A 19494-2024 artfynd.xlsx", "A 19494-2024")</f>
        <v/>
      </c>
      <c r="X52">
        <f>HYPERLINK("https://klasma.github.io/Logging_0484/kartor/A 19494-2024 karta.png", "A 19494-2024")</f>
        <v/>
      </c>
      <c r="Y52">
        <f>HYPERLINK("https://klasma.github.io/Logging_0484/kartor_geotiff/A 19494-2024 georefererad karta.tif", "A 19494-2024")</f>
        <v/>
      </c>
      <c r="AA52">
        <f>HYPERLINK("https://klasma.github.io/Logging_0484/klagomål/A 19494-2024 FSC-klagomål.docx", "A 19494-2024")</f>
        <v/>
      </c>
      <c r="AB52">
        <f>HYPERLINK("https://klasma.github.io/Logging_0484/klagomålsmail/A 19494-2024 FSC-klagomål mail.docx", "A 19494-2024")</f>
        <v/>
      </c>
      <c r="AC52">
        <f>HYPERLINK("https://klasma.github.io/Logging_0484/tillsyn/A 19494-2024 tillsynsbegäran.docx", "A 19494-2024")</f>
        <v/>
      </c>
      <c r="AD52">
        <f>HYPERLINK("https://klasma.github.io/Logging_0484/tillsynsmail/A 19494-2024 tillsynsbegäran mail.docx", "A 19494-2024")</f>
        <v/>
      </c>
    </row>
    <row r="53" ht="15" customHeight="1">
      <c r="A53" t="inlineStr">
        <is>
          <t>A 61105-2025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46000</v>
      </c>
      <c r="E53" s="1" t="n">
        <v>46318</v>
      </c>
      <c r="F53" t="inlineStr">
        <is>
          <t>SÖDERMANLANDS LÄN</t>
        </is>
      </c>
      <c r="G53" t="inlineStr">
        <is>
          <t>ESKILSTUNA</t>
        </is>
      </c>
      <c r="H53" t="inlineStr">
        <is>
          <t>Allmännings- och besparingsskogar</t>
        </is>
      </c>
      <c r="I53" t="n">
        <v>1.1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2</v>
      </c>
      <c r="T53" t="n">
        <v>2</v>
      </c>
      <c r="U53" t="n">
        <v>0</v>
      </c>
      <c r="V53" s="2" t="inlineStr">
        <is>
          <t>Krusfrö
Tibast</t>
        </is>
      </c>
      <c r="W53">
        <f>HYPERLINK("https://klasma.github.io/Logging_0484/artfynd/A 61105-2025 artfynd.xlsx", "A 61105-2025")</f>
        <v/>
      </c>
      <c r="X53">
        <f>HYPERLINK("https://klasma.github.io/Logging_0484/kartor/A 61105-2025 karta.png", "A 61105-2025")</f>
        <v/>
      </c>
      <c r="Y53">
        <f>HYPERLINK("https://klasma.github.io/Logging_0484/kartor_geotiff/A 61105-2025 georefererad karta.tif", "A 61105-2025")</f>
        <v/>
      </c>
      <c r="AA53">
        <f>HYPERLINK("https://klasma.github.io/Logging_0484/klagomål/A 61105-2025 FSC-klagomål.docx", "A 61105-2025")</f>
        <v/>
      </c>
      <c r="AB53">
        <f>HYPERLINK("https://klasma.github.io/Logging_0484/klagomålsmail/A 61105-2025 FSC-klagomål mail.docx", "A 61105-2025")</f>
        <v/>
      </c>
      <c r="AC53">
        <f>HYPERLINK("https://klasma.github.io/Logging_0484/tillsyn/A 61105-2025 tillsynsbegäran.docx", "A 61105-2025")</f>
        <v/>
      </c>
      <c r="AD53">
        <f>HYPERLINK("https://klasma.github.io/Logging_0484/tillsynsmail/A 61105-2025 tillsynsbegäran mail.docx", "A 61105-2025")</f>
        <v/>
      </c>
    </row>
    <row r="54" ht="15" customHeight="1">
      <c r="A54" t="inlineStr">
        <is>
          <t>S 1332-2020</t>
        </is>
      </c>
      <c r="B54" t="inlineStr">
        <is>
          <t>samrådsanmälan</t>
        </is>
      </c>
      <c r="C54" t="inlineStr">
        <is>
          <t>Åtgärd i nyckelbiotop</t>
        </is>
      </c>
      <c r="D54" s="1" t="n">
        <v>43993</v>
      </c>
      <c r="E54" s="1" t="n">
        <v>46318</v>
      </c>
      <c r="F54" t="inlineStr">
        <is>
          <t>SÖDERMANLANDS LÄN</t>
        </is>
      </c>
      <c r="G54" t="inlineStr">
        <is>
          <t>ESKILSTUNA</t>
        </is>
      </c>
      <c r="I54" t="n">
        <v>0.9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2</v>
      </c>
      <c r="U54" t="n">
        <v>1</v>
      </c>
      <c r="V54" s="2" t="inlineStr">
        <is>
          <t>Blåsippa
Törnskata</t>
        </is>
      </c>
      <c r="W54">
        <f>HYPERLINK("https://klasma.github.io/Logging_0484/artfynd/S 1332-2020 artfynd.xlsx", "S 1332-2020")</f>
        <v/>
      </c>
      <c r="X54">
        <f>HYPERLINK("https://klasma.github.io/Logging_0484/kartor/S 1332-2020 karta.png", "S 1332-2020")</f>
        <v/>
      </c>
      <c r="Y54">
        <f>HYPERLINK("https://klasma.github.io/Logging_0484/kartor_geotiff/S 1332-2020 georefererad karta.tif", "S 1332-2020")</f>
        <v/>
      </c>
      <c r="AA54">
        <f>HYPERLINK("https://klasma.github.io/Logging_0484/klagomål/S 1332-2020 FSC-klagomål.docx", "S 1332-2020")</f>
        <v/>
      </c>
      <c r="AB54">
        <f>HYPERLINK("https://klasma.github.io/Logging_0484/klagomålsmail/S 1332-2020 FSC-klagomål mail.docx", "S 1332-2020")</f>
        <v/>
      </c>
      <c r="AC54">
        <f>HYPERLINK("https://klasma.github.io/Logging_0484/tillsyn/S 1332-2020 tillsynsbegäran.docx", "S 1332-2020")</f>
        <v/>
      </c>
      <c r="AD54">
        <f>HYPERLINK("https://klasma.github.io/Logging_0484/tillsynsmail/S 1332-2020 tillsynsbegäran mail.docx", "S 1332-2020")</f>
        <v/>
      </c>
      <c r="AE54">
        <f>HYPERLINK("https://klasma.github.io/Logging_0484/fåglar/S 1332-2020 prioriterade fågelarter.docx", "S 1332-2020")</f>
        <v/>
      </c>
    </row>
    <row r="55" ht="15" customHeight="1">
      <c r="A55" t="inlineStr">
        <is>
          <t>S 9518-2021</t>
        </is>
      </c>
      <c r="B55" t="inlineStr">
        <is>
          <t>samrådsanmälan</t>
        </is>
      </c>
      <c r="C55" t="inlineStr">
        <is>
          <t>Annan skogsbruksåtgärd</t>
        </is>
      </c>
      <c r="D55" s="1" t="n">
        <v>44525</v>
      </c>
      <c r="E55" s="1" t="n">
        <v>46318</v>
      </c>
      <c r="F55" t="inlineStr">
        <is>
          <t>SÖDERMANLANDS LÄN</t>
        </is>
      </c>
      <c r="G55" t="inlineStr">
        <is>
          <t>ESKILSTUNA</t>
        </is>
      </c>
      <c r="I55" t="n">
        <v>1.8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2</v>
      </c>
      <c r="U55" t="n">
        <v>0</v>
      </c>
      <c r="V55" s="2" t="inlineStr">
        <is>
          <t>Nattviol
Lopplummer (aggregat)</t>
        </is>
      </c>
      <c r="W55">
        <f>HYPERLINK("https://klasma.github.io/Logging_0484/artfynd/S 9518-2021 artfynd.xlsx", "S 9518-2021")</f>
        <v/>
      </c>
      <c r="X55">
        <f>HYPERLINK("https://klasma.github.io/Logging_0484/kartor/S 9518-2021 karta.png", "S 9518-2021")</f>
        <v/>
      </c>
      <c r="Y55">
        <f>HYPERLINK("https://klasma.github.io/Logging_0484/kartor_geotiff/S 9518-2021 georefererad karta.tif", "S 9518-2021")</f>
        <v/>
      </c>
      <c r="AA55">
        <f>HYPERLINK("https://klasma.github.io/Logging_0484/klagomål/S 9518-2021 FSC-klagomål.docx", "S 9518-2021")</f>
        <v/>
      </c>
      <c r="AB55">
        <f>HYPERLINK("https://klasma.github.io/Logging_0484/klagomålsmail/S 9518-2021 FSC-klagomål mail.docx", "S 9518-2021")</f>
        <v/>
      </c>
      <c r="AC55">
        <f>HYPERLINK("https://klasma.github.io/Logging_0484/tillsyn/S 9518-2021 tillsynsbegäran.docx", "S 9518-2021")</f>
        <v/>
      </c>
      <c r="AD55">
        <f>HYPERLINK("https://klasma.github.io/Logging_0484/tillsynsmail/S 9518-2021 tillsynsbegäran mail.docx", "S 9518-2021")</f>
        <v/>
      </c>
    </row>
    <row r="56" ht="15" customHeight="1">
      <c r="A56" t="inlineStr">
        <is>
          <t>A 36140-2022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44803</v>
      </c>
      <c r="E56" s="1" t="n">
        <v>46318</v>
      </c>
      <c r="F56" t="inlineStr">
        <is>
          <t>SÖDERMANLANDS LÄN</t>
        </is>
      </c>
      <c r="G56" t="inlineStr">
        <is>
          <t>ESKILSTUNA</t>
        </is>
      </c>
      <c r="I56" t="n">
        <v>5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Blåsippa</t>
        </is>
      </c>
      <c r="W56">
        <f>HYPERLINK("https://klasma.github.io/Logging_0484/artfynd/A 36140-2022 artfynd.xlsx", "A 36140-2022")</f>
        <v/>
      </c>
      <c r="X56">
        <f>HYPERLINK("https://klasma.github.io/Logging_0484/kartor/A 36140-2022 karta.png", "A 36140-2022")</f>
        <v/>
      </c>
      <c r="Y56">
        <f>HYPERLINK("https://klasma.github.io/Logging_0484/kartor_geotiff/A 36140-2022 georefererad karta.tif", "A 36140-2022")</f>
        <v/>
      </c>
      <c r="AA56">
        <f>HYPERLINK("https://klasma.github.io/Logging_0484/klagomål/A 36140-2022 FSC-klagomål.docx", "A 36140-2022")</f>
        <v/>
      </c>
      <c r="AB56">
        <f>HYPERLINK("https://klasma.github.io/Logging_0484/klagomålsmail/A 36140-2022 FSC-klagomål mail.docx", "A 36140-2022")</f>
        <v/>
      </c>
      <c r="AC56">
        <f>HYPERLINK("https://klasma.github.io/Logging_0484/tillsyn/A 36140-2022 tillsynsbegäran.docx", "A 36140-2022")</f>
        <v/>
      </c>
      <c r="AD56">
        <f>HYPERLINK("https://klasma.github.io/Logging_0484/tillsynsmail/A 36140-2022 tillsynsbegäran mail.docx", "A 36140-2022")</f>
        <v/>
      </c>
    </row>
    <row r="57" ht="15" customHeight="1">
      <c r="A57" t="inlineStr">
        <is>
          <t>A 18780-2022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44689</v>
      </c>
      <c r="E57" s="1" t="n">
        <v>46318</v>
      </c>
      <c r="F57" t="inlineStr">
        <is>
          <t>SÖDERMANLANDS LÄN</t>
        </is>
      </c>
      <c r="G57" t="inlineStr">
        <is>
          <t>ESKILSTUNA</t>
        </is>
      </c>
      <c r="I57" t="n">
        <v>3.2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s="2" t="inlineStr">
        <is>
          <t>Skogsduva</t>
        </is>
      </c>
      <c r="W57">
        <f>HYPERLINK("https://klasma.github.io/Logging_0484/artfynd/A 18780-2022 artfynd.xlsx", "A 18780-2022")</f>
        <v/>
      </c>
      <c r="X57">
        <f>HYPERLINK("https://klasma.github.io/Logging_0484/kartor/A 18780-2022 karta.png", "A 18780-2022")</f>
        <v/>
      </c>
      <c r="Y57">
        <f>HYPERLINK("https://klasma.github.io/Logging_0484/kartor_geotiff/A 18780-2022 georefererad karta.tif", "A 18780-2022")</f>
        <v/>
      </c>
      <c r="AA57">
        <f>HYPERLINK("https://klasma.github.io/Logging_0484/klagomål/A 18780-2022 FSC-klagomål.docx", "A 18780-2022")</f>
        <v/>
      </c>
      <c r="AB57">
        <f>HYPERLINK("https://klasma.github.io/Logging_0484/klagomålsmail/A 18780-2022 FSC-klagomål mail.docx", "A 18780-2022")</f>
        <v/>
      </c>
      <c r="AC57">
        <f>HYPERLINK("https://klasma.github.io/Logging_0484/tillsyn/A 18780-2022 tillsynsbegäran.docx", "A 18780-2022")</f>
        <v/>
      </c>
      <c r="AD57">
        <f>HYPERLINK("https://klasma.github.io/Logging_0484/tillsynsmail/A 18780-2022 tillsynsbegäran mail.docx", "A 18780-2022")</f>
        <v/>
      </c>
    </row>
    <row r="58" ht="15" customHeight="1">
      <c r="A58" t="inlineStr">
        <is>
          <t>A 28269-2022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44746</v>
      </c>
      <c r="E58" s="1" t="n">
        <v>46318</v>
      </c>
      <c r="F58" t="inlineStr">
        <is>
          <t>SÖDERMANLANDS LÄN</t>
        </is>
      </c>
      <c r="G58" t="inlineStr">
        <is>
          <t>ESKILSTUNA</t>
        </is>
      </c>
      <c r="H58" t="inlineStr">
        <is>
          <t>Kommuner</t>
        </is>
      </c>
      <c r="I58" t="n">
        <v>0.9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Hasselticka</t>
        </is>
      </c>
      <c r="W58">
        <f>HYPERLINK("https://klasma.github.io/Logging_0484/artfynd/A 28269-2022 artfynd.xlsx", "A 28269-2022")</f>
        <v/>
      </c>
      <c r="X58">
        <f>HYPERLINK("https://klasma.github.io/Logging_0484/kartor/A 28269-2022 karta.png", "A 28269-2022")</f>
        <v/>
      </c>
      <c r="Y58">
        <f>HYPERLINK("https://klasma.github.io/Logging_0484/kartor_geotiff/A 28269-2022 georefererad karta.tif", "A 28269-2022")</f>
        <v/>
      </c>
      <c r="AA58">
        <f>HYPERLINK("https://klasma.github.io/Logging_0484/klagomål/A 28269-2022 FSC-klagomål.docx", "A 28269-2022")</f>
        <v/>
      </c>
      <c r="AB58">
        <f>HYPERLINK("https://klasma.github.io/Logging_0484/klagomålsmail/A 28269-2022 FSC-klagomål mail.docx", "A 28269-2022")</f>
        <v/>
      </c>
      <c r="AC58">
        <f>HYPERLINK("https://klasma.github.io/Logging_0484/tillsyn/A 28269-2022 tillsynsbegäran.docx", "A 28269-2022")</f>
        <v/>
      </c>
      <c r="AD58">
        <f>HYPERLINK("https://klasma.github.io/Logging_0484/tillsynsmail/A 28269-2022 tillsynsbegäran mail.docx", "A 28269-2022")</f>
        <v/>
      </c>
    </row>
    <row r="59" ht="15" customHeight="1">
      <c r="A59" t="inlineStr">
        <is>
          <t>A 3162-2022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44582</v>
      </c>
      <c r="E59" s="1" t="n">
        <v>46318</v>
      </c>
      <c r="F59" t="inlineStr">
        <is>
          <t>SÖDERMANLANDS LÄN</t>
        </is>
      </c>
      <c r="G59" t="inlineStr">
        <is>
          <t>ESKILSTUNA</t>
        </is>
      </c>
      <c r="H59" t="inlineStr">
        <is>
          <t>Kommuner</t>
        </is>
      </c>
      <c r="I59" t="n">
        <v>2.6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Ullticka</t>
        </is>
      </c>
      <c r="W59">
        <f>HYPERLINK("https://klasma.github.io/Logging_0484/artfynd/A 3162-2022 artfynd.xlsx", "A 3162-2022")</f>
        <v/>
      </c>
      <c r="X59">
        <f>HYPERLINK("https://klasma.github.io/Logging_0484/kartor/A 3162-2022 karta.png", "A 3162-2022")</f>
        <v/>
      </c>
      <c r="Y59">
        <f>HYPERLINK("https://klasma.github.io/Logging_0484/kartor_geotiff/A 3162-2022 georefererad karta.tif", "A 3162-2022")</f>
        <v/>
      </c>
      <c r="AA59">
        <f>HYPERLINK("https://klasma.github.io/Logging_0484/klagomål/A 3162-2022 FSC-klagomål.docx", "A 3162-2022")</f>
        <v/>
      </c>
      <c r="AB59">
        <f>HYPERLINK("https://klasma.github.io/Logging_0484/klagomålsmail/A 3162-2022 FSC-klagomål mail.docx", "A 3162-2022")</f>
        <v/>
      </c>
      <c r="AC59">
        <f>HYPERLINK("https://klasma.github.io/Logging_0484/tillsyn/A 3162-2022 tillsynsbegäran.docx", "A 3162-2022")</f>
        <v/>
      </c>
      <c r="AD59">
        <f>HYPERLINK("https://klasma.github.io/Logging_0484/tillsynsmail/A 3162-2022 tillsynsbegäran mail.docx", "A 3162-2022")</f>
        <v/>
      </c>
    </row>
    <row r="60" ht="15" customHeight="1">
      <c r="A60" t="inlineStr">
        <is>
          <t>A 61368-2021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44499</v>
      </c>
      <c r="E60" s="1" t="n">
        <v>46318</v>
      </c>
      <c r="F60" t="inlineStr">
        <is>
          <t>SÖDERMANLANDS LÄN</t>
        </is>
      </c>
      <c r="G60" t="inlineStr">
        <is>
          <t>ESKILSTUNA</t>
        </is>
      </c>
      <c r="I60" t="n">
        <v>5.6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s="2" t="inlineStr">
        <is>
          <t>Revlummer</t>
        </is>
      </c>
      <c r="W60">
        <f>HYPERLINK("https://klasma.github.io/Logging_0484/artfynd/A 61368-2021 artfynd.xlsx", "A 61368-2021")</f>
        <v/>
      </c>
      <c r="X60">
        <f>HYPERLINK("https://klasma.github.io/Logging_0484/kartor/A 61368-2021 karta.png", "A 61368-2021")</f>
        <v/>
      </c>
      <c r="Y60">
        <f>HYPERLINK("https://klasma.github.io/Logging_0484/kartor_geotiff/A 61368-2021 georefererad karta.tif", "A 61368-2021")</f>
        <v/>
      </c>
      <c r="AA60">
        <f>HYPERLINK("https://klasma.github.io/Logging_0484/klagomål/A 61368-2021 FSC-klagomål.docx", "A 61368-2021")</f>
        <v/>
      </c>
      <c r="AB60">
        <f>HYPERLINK("https://klasma.github.io/Logging_0484/klagomålsmail/A 61368-2021 FSC-klagomål mail.docx", "A 61368-2021")</f>
        <v/>
      </c>
      <c r="AC60">
        <f>HYPERLINK("https://klasma.github.io/Logging_0484/tillsyn/A 61368-2021 tillsynsbegäran.docx", "A 61368-2021")</f>
        <v/>
      </c>
      <c r="AD60">
        <f>HYPERLINK("https://klasma.github.io/Logging_0484/tillsynsmail/A 61368-2021 tillsynsbegäran mail.docx", "A 61368-2021")</f>
        <v/>
      </c>
    </row>
    <row r="61" ht="15" customHeight="1">
      <c r="A61" t="inlineStr">
        <is>
          <t>A 23637-2023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45077</v>
      </c>
      <c r="E61" s="1" t="n">
        <v>46318</v>
      </c>
      <c r="F61" t="inlineStr">
        <is>
          <t>SÖDERMANLANDS LÄN</t>
        </is>
      </c>
      <c r="G61" t="inlineStr">
        <is>
          <t>ESKILSTUNA</t>
        </is>
      </c>
      <c r="I61" t="n">
        <v>15.8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s="2" t="inlineStr">
        <is>
          <t>Violett fingersvamp</t>
        </is>
      </c>
      <c r="W61">
        <f>HYPERLINK("https://klasma.github.io/Logging_0484/artfynd/A 23637-2023 artfynd.xlsx", "A 23637-2023")</f>
        <v/>
      </c>
      <c r="X61">
        <f>HYPERLINK("https://klasma.github.io/Logging_0484/kartor/A 23637-2023 karta.png", "A 23637-2023")</f>
        <v/>
      </c>
      <c r="Y61">
        <f>HYPERLINK("https://klasma.github.io/Logging_0484/kartor_geotiff/A 23637-2023 georefererad karta.tif", "A 23637-2023")</f>
        <v/>
      </c>
      <c r="AA61">
        <f>HYPERLINK("https://klasma.github.io/Logging_0484/klagomål/A 23637-2023 FSC-klagomål.docx", "A 23637-2023")</f>
        <v/>
      </c>
      <c r="AB61">
        <f>HYPERLINK("https://klasma.github.io/Logging_0484/klagomålsmail/A 23637-2023 FSC-klagomål mail.docx", "A 23637-2023")</f>
        <v/>
      </c>
      <c r="AC61">
        <f>HYPERLINK("https://klasma.github.io/Logging_0484/tillsyn/A 23637-2023 tillsynsbegäran.docx", "A 23637-2023")</f>
        <v/>
      </c>
      <c r="AD61">
        <f>HYPERLINK("https://klasma.github.io/Logging_0484/tillsynsmail/A 23637-2023 tillsynsbegäran mail.docx", "A 23637-2023")</f>
        <v/>
      </c>
    </row>
    <row r="62" ht="15" customHeight="1">
      <c r="A62" t="inlineStr">
        <is>
          <t>A 29647-2023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45107</v>
      </c>
      <c r="E62" s="1" t="n">
        <v>46318</v>
      </c>
      <c r="F62" t="inlineStr">
        <is>
          <t>SÖDERMANLANDS LÄN</t>
        </is>
      </c>
      <c r="G62" t="inlineStr">
        <is>
          <t>ESKILSTUNA</t>
        </is>
      </c>
      <c r="H62" t="inlineStr">
        <is>
          <t>Allmännings- och besparingsskogar</t>
        </is>
      </c>
      <c r="I62" t="n">
        <v>0.9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s="2" t="inlineStr">
        <is>
          <t>Rödvingetrast</t>
        </is>
      </c>
      <c r="W62">
        <f>HYPERLINK("https://klasma.github.io/Logging_0484/artfynd/A 29647-2023 artfynd.xlsx", "A 29647-2023")</f>
        <v/>
      </c>
      <c r="X62">
        <f>HYPERLINK("https://klasma.github.io/Logging_0484/kartor/A 29647-2023 karta.png", "A 29647-2023")</f>
        <v/>
      </c>
      <c r="Y62">
        <f>HYPERLINK("https://klasma.github.io/Logging_0484/kartor_geotiff/A 29647-2023 georefererad karta.tif", "A 29647-2023")</f>
        <v/>
      </c>
      <c r="AA62">
        <f>HYPERLINK("https://klasma.github.io/Logging_0484/klagomål/A 29647-2023 FSC-klagomål.docx", "A 29647-2023")</f>
        <v/>
      </c>
      <c r="AB62">
        <f>HYPERLINK("https://klasma.github.io/Logging_0484/klagomålsmail/A 29647-2023 FSC-klagomål mail.docx", "A 29647-2023")</f>
        <v/>
      </c>
      <c r="AC62">
        <f>HYPERLINK("https://klasma.github.io/Logging_0484/tillsyn/A 29647-2023 tillsynsbegäran.docx", "A 29647-2023")</f>
        <v/>
      </c>
      <c r="AD62">
        <f>HYPERLINK("https://klasma.github.io/Logging_0484/tillsynsmail/A 29647-2023 tillsynsbegäran mail.docx", "A 29647-2023")</f>
        <v/>
      </c>
      <c r="AE62">
        <f>HYPERLINK("https://klasma.github.io/Logging_0484/fåglar/A 29647-2023 prioriterade fågelarter.docx", "A 29647-2023")</f>
        <v/>
      </c>
    </row>
    <row r="63" ht="15" customHeight="1">
      <c r="A63" t="inlineStr">
        <is>
          <t>A 31056-2025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45832</v>
      </c>
      <c r="E63" s="1" t="n">
        <v>46318</v>
      </c>
      <c r="F63" t="inlineStr">
        <is>
          <t>SÖDERMANLANDS LÄN</t>
        </is>
      </c>
      <c r="G63" t="inlineStr">
        <is>
          <t>ESKILSTUNA</t>
        </is>
      </c>
      <c r="H63" t="inlineStr">
        <is>
          <t>Sveaskog</t>
        </is>
      </c>
      <c r="I63" t="n">
        <v>1.5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s="2" t="inlineStr">
        <is>
          <t>Skogsklocka</t>
        </is>
      </c>
      <c r="W63">
        <f>HYPERLINK("https://klasma.github.io/Logging_0484/artfynd/A 31056-2025 artfynd.xlsx", "A 31056-2025")</f>
        <v/>
      </c>
      <c r="X63">
        <f>HYPERLINK("https://klasma.github.io/Logging_0484/kartor/A 31056-2025 karta.png", "A 31056-2025")</f>
        <v/>
      </c>
      <c r="Y63">
        <f>HYPERLINK("https://klasma.github.io/Logging_0484/kartor_geotiff/A 31056-2025 georefererad karta.tif", "A 31056-2025")</f>
        <v/>
      </c>
      <c r="AA63">
        <f>HYPERLINK("https://klasma.github.io/Logging_0484/klagomål/A 31056-2025 FSC-klagomål.docx", "A 31056-2025")</f>
        <v/>
      </c>
      <c r="AB63">
        <f>HYPERLINK("https://klasma.github.io/Logging_0484/klagomålsmail/A 31056-2025 FSC-klagomål mail.docx", "A 31056-2025")</f>
        <v/>
      </c>
      <c r="AC63">
        <f>HYPERLINK("https://klasma.github.io/Logging_0484/tillsyn/A 31056-2025 tillsynsbegäran.docx", "A 31056-2025")</f>
        <v/>
      </c>
      <c r="AD63">
        <f>HYPERLINK("https://klasma.github.io/Logging_0484/tillsynsmail/A 31056-2025 tillsynsbegäran mail.docx", "A 31056-2025")</f>
        <v/>
      </c>
    </row>
    <row r="64" ht="15" customHeight="1">
      <c r="A64" t="inlineStr">
        <is>
          <t>A 5203-2025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45691</v>
      </c>
      <c r="E64" s="1" t="n">
        <v>46318</v>
      </c>
      <c r="F64" t="inlineStr">
        <is>
          <t>SÖDERMANLANDS LÄN</t>
        </is>
      </c>
      <c r="G64" t="inlineStr">
        <is>
          <t>ESKILSTUNA</t>
        </is>
      </c>
      <c r="H64" t="inlineStr">
        <is>
          <t>Holmen skog AB</t>
        </is>
      </c>
      <c r="I64" t="n">
        <v>2.5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s="2" t="inlineStr">
        <is>
          <t>Nattskärra</t>
        </is>
      </c>
      <c r="W64">
        <f>HYPERLINK("https://klasma.github.io/Logging_0484/artfynd/A 5203-2025 artfynd.xlsx", "A 5203-2025")</f>
        <v/>
      </c>
      <c r="X64">
        <f>HYPERLINK("https://klasma.github.io/Logging_0484/kartor/A 5203-2025 karta.png", "A 5203-2025")</f>
        <v/>
      </c>
      <c r="Y64">
        <f>HYPERLINK("https://klasma.github.io/Logging_0484/kartor_geotiff/A 5203-2025 georefererad karta.tif", "A 5203-2025")</f>
        <v/>
      </c>
      <c r="AA64">
        <f>HYPERLINK("https://klasma.github.io/Logging_0484/klagomål/A 5203-2025 FSC-klagomål.docx", "A 5203-2025")</f>
        <v/>
      </c>
      <c r="AB64">
        <f>HYPERLINK("https://klasma.github.io/Logging_0484/klagomålsmail/A 5203-2025 FSC-klagomål mail.docx", "A 5203-2025")</f>
        <v/>
      </c>
      <c r="AC64">
        <f>HYPERLINK("https://klasma.github.io/Logging_0484/tillsyn/A 5203-2025 tillsynsbegäran.docx", "A 5203-2025")</f>
        <v/>
      </c>
      <c r="AD64">
        <f>HYPERLINK("https://klasma.github.io/Logging_0484/tillsynsmail/A 5203-2025 tillsynsbegäran mail.docx", "A 5203-2025")</f>
        <v/>
      </c>
      <c r="AE64">
        <f>HYPERLINK("https://klasma.github.io/Logging_0484/fåglar/A 5203-2025 prioriterade fågelarter.docx", "A 5203-2025")</f>
        <v/>
      </c>
    </row>
    <row r="65" ht="15" customHeight="1">
      <c r="A65" t="inlineStr">
        <is>
          <t>A 38361-2024</t>
        </is>
      </c>
      <c r="B65" t="inlineStr">
        <is>
          <t>avverkningsanmälan</t>
        </is>
      </c>
      <c r="C65" t="inlineStr">
        <is>
          <t>Avverkning för annat ändamål</t>
        </is>
      </c>
      <c r="D65" s="1" t="n">
        <v>45545</v>
      </c>
      <c r="E65" s="1" t="n">
        <v>46318</v>
      </c>
      <c r="F65" t="inlineStr">
        <is>
          <t>SÖDERMANLANDS LÄN</t>
        </is>
      </c>
      <c r="G65" t="inlineStr">
        <is>
          <t>ESKILSTUNA</t>
        </is>
      </c>
      <c r="I65" t="n">
        <v>0.4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s="2" t="inlineStr">
        <is>
          <t>Spillkråka</t>
        </is>
      </c>
      <c r="W65">
        <f>HYPERLINK("https://klasma.github.io/Logging_0484/artfynd/A 38361-2024 artfynd.xlsx", "A 38361-2024")</f>
        <v/>
      </c>
      <c r="X65">
        <f>HYPERLINK("https://klasma.github.io/Logging_0484/kartor/A 38361-2024 karta.png", "A 38361-2024")</f>
        <v/>
      </c>
      <c r="Y65">
        <f>HYPERLINK("https://klasma.github.io/Logging_0484/kartor_geotiff/A 38361-2024 georefererad karta.tif", "A 38361-2024")</f>
        <v/>
      </c>
      <c r="AA65">
        <f>HYPERLINK("https://klasma.github.io/Logging_0484/klagomål/A 38361-2024 FSC-klagomål.docx", "A 38361-2024")</f>
        <v/>
      </c>
      <c r="AB65">
        <f>HYPERLINK("https://klasma.github.io/Logging_0484/klagomålsmail/A 38361-2024 FSC-klagomål mail.docx", "A 38361-2024")</f>
        <v/>
      </c>
      <c r="AC65">
        <f>HYPERLINK("https://klasma.github.io/Logging_0484/tillsyn/A 38361-2024 tillsynsbegäran.docx", "A 38361-2024")</f>
        <v/>
      </c>
      <c r="AD65">
        <f>HYPERLINK("https://klasma.github.io/Logging_0484/tillsynsmail/A 38361-2024 tillsynsbegäran mail.docx", "A 38361-2024")</f>
        <v/>
      </c>
      <c r="AE65">
        <f>HYPERLINK("https://klasma.github.io/Logging_0484/fåglar/A 38361-2024 prioriterade fågelarter.docx", "A 38361-2024")</f>
        <v/>
      </c>
    </row>
    <row r="66" ht="15" customHeight="1">
      <c r="A66" t="inlineStr">
        <is>
          <t>A 36216-2025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45867</v>
      </c>
      <c r="E66" s="1" t="n">
        <v>46318</v>
      </c>
      <c r="F66" t="inlineStr">
        <is>
          <t>SÖDERMANLANDS LÄN</t>
        </is>
      </c>
      <c r="G66" t="inlineStr">
        <is>
          <t>ESKILSTUNA</t>
        </is>
      </c>
      <c r="I66" t="n">
        <v>18.7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s="2" t="inlineStr">
        <is>
          <t>Blomkålssvamp</t>
        </is>
      </c>
      <c r="W66">
        <f>HYPERLINK("https://klasma.github.io/Logging_0484/artfynd/A 36216-2025 artfynd.xlsx", "A 36216-2025")</f>
        <v/>
      </c>
      <c r="X66">
        <f>HYPERLINK("https://klasma.github.io/Logging_0484/kartor/A 36216-2025 karta.png", "A 36216-2025")</f>
        <v/>
      </c>
      <c r="Y66">
        <f>HYPERLINK("https://klasma.github.io/Logging_0484/kartor_geotiff/A 36216-2025 georefererad karta.tif", "A 36216-2025")</f>
        <v/>
      </c>
      <c r="AA66">
        <f>HYPERLINK("https://klasma.github.io/Logging_0484/klagomål/A 36216-2025 FSC-klagomål.docx", "A 36216-2025")</f>
        <v/>
      </c>
      <c r="AB66">
        <f>HYPERLINK("https://klasma.github.io/Logging_0484/klagomålsmail/A 36216-2025 FSC-klagomål mail.docx", "A 36216-2025")</f>
        <v/>
      </c>
      <c r="AC66">
        <f>HYPERLINK("https://klasma.github.io/Logging_0484/tillsyn/A 36216-2025 tillsynsbegäran.docx", "A 36216-2025")</f>
        <v/>
      </c>
      <c r="AD66">
        <f>HYPERLINK("https://klasma.github.io/Logging_0484/tillsynsmail/A 36216-2025 tillsynsbegäran mail.docx", "A 36216-2025")</f>
        <v/>
      </c>
    </row>
    <row r="67" ht="15" customHeight="1">
      <c r="A67" t="inlineStr">
        <is>
          <t>A 67047-2021</t>
        </is>
      </c>
      <c r="B67" t="inlineStr">
        <is>
          <t>avverkningsanmälan</t>
        </is>
      </c>
      <c r="C67" t="inlineStr">
        <is>
          <t>Avverkning för att bevara och utveckla /försöksver</t>
        </is>
      </c>
      <c r="D67" s="1" t="n">
        <v>44522</v>
      </c>
      <c r="E67" s="1" t="n">
        <v>46318</v>
      </c>
      <c r="F67" t="inlineStr">
        <is>
          <t>SÖDERMANLANDS LÄN</t>
        </is>
      </c>
      <c r="G67" t="inlineStr">
        <is>
          <t>ESKILSTUNA</t>
        </is>
      </c>
      <c r="H67" t="inlineStr">
        <is>
          <t>Kyrkan</t>
        </is>
      </c>
      <c r="I67" t="n">
        <v>2.7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s="2" t="inlineStr">
        <is>
          <t>Blåsippa</t>
        </is>
      </c>
      <c r="W67">
        <f>HYPERLINK("https://klasma.github.io/Logging_0484/artfynd/A 67047-2021 artfynd.xlsx", "A 67047-2021")</f>
        <v/>
      </c>
      <c r="X67">
        <f>HYPERLINK("https://klasma.github.io/Logging_0484/kartor/A 67047-2021 karta.png", "A 67047-2021")</f>
        <v/>
      </c>
      <c r="Y67">
        <f>HYPERLINK("https://klasma.github.io/Logging_0484/kartor_geotiff/A 67047-2021 georefererad karta.tif", "A 67047-2021")</f>
        <v/>
      </c>
      <c r="AA67">
        <f>HYPERLINK("https://klasma.github.io/Logging_0484/klagomål/A 67047-2021 FSC-klagomål.docx", "A 67047-2021")</f>
        <v/>
      </c>
      <c r="AB67">
        <f>HYPERLINK("https://klasma.github.io/Logging_0484/klagomålsmail/A 67047-2021 FSC-klagomål mail.docx", "A 67047-2021")</f>
        <v/>
      </c>
      <c r="AC67">
        <f>HYPERLINK("https://klasma.github.io/Logging_0484/tillsyn/A 67047-2021 tillsynsbegäran.docx", "A 67047-2021")</f>
        <v/>
      </c>
      <c r="AD67">
        <f>HYPERLINK("https://klasma.github.io/Logging_0484/tillsynsmail/A 67047-2021 tillsynsbegäran mail.docx", "A 67047-2021")</f>
        <v/>
      </c>
    </row>
    <row r="68" ht="15" customHeight="1">
      <c r="A68" t="inlineStr">
        <is>
          <t>A 68018-2021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44525</v>
      </c>
      <c r="E68" s="1" t="n">
        <v>46318</v>
      </c>
      <c r="F68" t="inlineStr">
        <is>
          <t>SÖDERMANLANDS LÄN</t>
        </is>
      </c>
      <c r="G68" t="inlineStr">
        <is>
          <t>ESKILSTUNA</t>
        </is>
      </c>
      <c r="I68" t="n">
        <v>0.8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s="2" t="inlineStr">
        <is>
          <t>Motaggsvamp</t>
        </is>
      </c>
      <c r="W68">
        <f>HYPERLINK("https://klasma.github.io/Logging_0484/artfynd/A 68018-2021 artfynd.xlsx", "A 68018-2021")</f>
        <v/>
      </c>
      <c r="X68">
        <f>HYPERLINK("https://klasma.github.io/Logging_0484/kartor/A 68018-2021 karta.png", "A 68018-2021")</f>
        <v/>
      </c>
      <c r="Y68">
        <f>HYPERLINK("https://klasma.github.io/Logging_0484/kartor_geotiff/A 68018-2021 georefererad karta.tif", "A 68018-2021")</f>
        <v/>
      </c>
      <c r="AA68">
        <f>HYPERLINK("https://klasma.github.io/Logging_0484/klagomål/A 68018-2021 FSC-klagomål.docx", "A 68018-2021")</f>
        <v/>
      </c>
      <c r="AB68">
        <f>HYPERLINK("https://klasma.github.io/Logging_0484/klagomålsmail/A 68018-2021 FSC-klagomål mail.docx", "A 68018-2021")</f>
        <v/>
      </c>
      <c r="AC68">
        <f>HYPERLINK("https://klasma.github.io/Logging_0484/tillsyn/A 68018-2021 tillsynsbegäran.docx", "A 68018-2021")</f>
        <v/>
      </c>
      <c r="AD68">
        <f>HYPERLINK("https://klasma.github.io/Logging_0484/tillsynsmail/A 68018-2021 tillsynsbegäran mail.docx", "A 68018-2021")</f>
        <v/>
      </c>
    </row>
    <row r="69" ht="15" customHeight="1">
      <c r="A69" t="inlineStr">
        <is>
          <t>A 52840-2025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45957</v>
      </c>
      <c r="E69" s="1" t="n">
        <v>46318</v>
      </c>
      <c r="F69" t="inlineStr">
        <is>
          <t>SÖDERMANLANDS LÄN</t>
        </is>
      </c>
      <c r="G69" t="inlineStr">
        <is>
          <t>ESKILSTUNA</t>
        </is>
      </c>
      <c r="I69" t="n">
        <v>1.3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s="2" t="inlineStr">
        <is>
          <t>Skrovlig taggsvamp</t>
        </is>
      </c>
      <c r="W69">
        <f>HYPERLINK("https://klasma.github.io/Logging_0484/artfynd/A 52840-2025 artfynd.xlsx", "A 52840-2025")</f>
        <v/>
      </c>
      <c r="X69">
        <f>HYPERLINK("https://klasma.github.io/Logging_0484/kartor/A 52840-2025 karta.png", "A 52840-2025")</f>
        <v/>
      </c>
      <c r="Y69">
        <f>HYPERLINK("https://klasma.github.io/Logging_0484/kartor_geotiff/A 52840-2025 georefererad karta.tif", "A 52840-2025")</f>
        <v/>
      </c>
      <c r="AA69">
        <f>HYPERLINK("https://klasma.github.io/Logging_0484/klagomål/A 52840-2025 FSC-klagomål.docx", "A 52840-2025")</f>
        <v/>
      </c>
      <c r="AB69">
        <f>HYPERLINK("https://klasma.github.io/Logging_0484/klagomålsmail/A 52840-2025 FSC-klagomål mail.docx", "A 52840-2025")</f>
        <v/>
      </c>
      <c r="AC69">
        <f>HYPERLINK("https://klasma.github.io/Logging_0484/tillsyn/A 52840-2025 tillsynsbegäran.docx", "A 52840-2025")</f>
        <v/>
      </c>
      <c r="AD69">
        <f>HYPERLINK("https://klasma.github.io/Logging_0484/tillsynsmail/A 52840-2025 tillsynsbegäran mail.docx", "A 52840-2025")</f>
        <v/>
      </c>
    </row>
    <row r="70" ht="15" customHeight="1">
      <c r="A70" t="inlineStr">
        <is>
          <t>A 47648-2022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44854</v>
      </c>
      <c r="E70" s="1" t="n">
        <v>46318</v>
      </c>
      <c r="F70" t="inlineStr">
        <is>
          <t>SÖDERMANLANDS LÄN</t>
        </is>
      </c>
      <c r="G70" t="inlineStr">
        <is>
          <t>ESKILSTUNA</t>
        </is>
      </c>
      <c r="I70" t="n">
        <v>1.8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0</v>
      </c>
      <c r="V70" s="2" t="inlineStr">
        <is>
          <t>Grönsångare</t>
        </is>
      </c>
      <c r="W70">
        <f>HYPERLINK("https://klasma.github.io/Logging_0484/artfynd/A 47648-2022 artfynd.xlsx", "A 47648-2022")</f>
        <v/>
      </c>
      <c r="X70">
        <f>HYPERLINK("https://klasma.github.io/Logging_0484/kartor/A 47648-2022 karta.png", "A 47648-2022")</f>
        <v/>
      </c>
      <c r="Y70">
        <f>HYPERLINK("https://klasma.github.io/Logging_0484/kartor_geotiff/A 47648-2022 georefererad karta.tif", "A 47648-2022")</f>
        <v/>
      </c>
      <c r="AA70">
        <f>HYPERLINK("https://klasma.github.io/Logging_0484/klagomål/A 47648-2022 FSC-klagomål.docx", "A 47648-2022")</f>
        <v/>
      </c>
      <c r="AB70">
        <f>HYPERLINK("https://klasma.github.io/Logging_0484/klagomålsmail/A 47648-2022 FSC-klagomål mail.docx", "A 47648-2022")</f>
        <v/>
      </c>
      <c r="AC70">
        <f>HYPERLINK("https://klasma.github.io/Logging_0484/tillsyn/A 47648-2022 tillsynsbegäran.docx", "A 47648-2022")</f>
        <v/>
      </c>
      <c r="AD70">
        <f>HYPERLINK("https://klasma.github.io/Logging_0484/tillsynsmail/A 47648-2022 tillsynsbegäran mail.docx", "A 47648-2022")</f>
        <v/>
      </c>
      <c r="AE70">
        <f>HYPERLINK("https://klasma.github.io/Logging_0484/fåglar/A 47648-2022 prioriterade fågelarter.docx", "A 47648-2022")</f>
        <v/>
      </c>
    </row>
    <row r="71" ht="15" customHeight="1">
      <c r="A71" t="inlineStr">
        <is>
          <t>A 51345-2024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45603</v>
      </c>
      <c r="E71" s="1" t="n">
        <v>46318</v>
      </c>
      <c r="F71" t="inlineStr">
        <is>
          <t>SÖDERMANLANDS LÄN</t>
        </is>
      </c>
      <c r="G71" t="inlineStr">
        <is>
          <t>ESKILSTUNA</t>
        </is>
      </c>
      <c r="I71" t="n">
        <v>4.9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s="2" t="inlineStr">
        <is>
          <t>Revlummer</t>
        </is>
      </c>
      <c r="W71">
        <f>HYPERLINK("https://klasma.github.io/Logging_0484/artfynd/A 51345-2024 artfynd.xlsx", "A 51345-2024")</f>
        <v/>
      </c>
      <c r="X71">
        <f>HYPERLINK("https://klasma.github.io/Logging_0484/kartor/A 51345-2024 karta.png", "A 51345-2024")</f>
        <v/>
      </c>
      <c r="Y71">
        <f>HYPERLINK("https://klasma.github.io/Logging_0484/kartor_geotiff/A 51345-2024 georefererad karta.tif", "A 51345-2024")</f>
        <v/>
      </c>
      <c r="AA71">
        <f>HYPERLINK("https://klasma.github.io/Logging_0484/klagomål/A 51345-2024 FSC-klagomål.docx", "A 51345-2024")</f>
        <v/>
      </c>
      <c r="AB71">
        <f>HYPERLINK("https://klasma.github.io/Logging_0484/klagomålsmail/A 51345-2024 FSC-klagomål mail.docx", "A 51345-2024")</f>
        <v/>
      </c>
      <c r="AC71">
        <f>HYPERLINK("https://klasma.github.io/Logging_0484/tillsyn/A 51345-2024 tillsynsbegäran.docx", "A 51345-2024")</f>
        <v/>
      </c>
      <c r="AD71">
        <f>HYPERLINK("https://klasma.github.io/Logging_0484/tillsynsmail/A 51345-2024 tillsynsbegäran mail.docx", "A 51345-2024")</f>
        <v/>
      </c>
    </row>
    <row r="72" ht="15" customHeight="1">
      <c r="A72" t="inlineStr">
        <is>
          <t>A 53399-2023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45229</v>
      </c>
      <c r="E72" s="1" t="n">
        <v>46318</v>
      </c>
      <c r="F72" t="inlineStr">
        <is>
          <t>SÖDERMANLANDS LÄN</t>
        </is>
      </c>
      <c r="G72" t="inlineStr">
        <is>
          <t>ESKILSTUNA</t>
        </is>
      </c>
      <c r="I72" t="n">
        <v>1.1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s="2" t="inlineStr">
        <is>
          <t>Grönvit nattviol</t>
        </is>
      </c>
      <c r="W72">
        <f>HYPERLINK("https://klasma.github.io/Logging_0484/artfynd/A 53399-2023 artfynd.xlsx", "A 53399-2023")</f>
        <v/>
      </c>
      <c r="X72">
        <f>HYPERLINK("https://klasma.github.io/Logging_0484/kartor/A 53399-2023 karta.png", "A 53399-2023")</f>
        <v/>
      </c>
      <c r="Y72">
        <f>HYPERLINK("https://klasma.github.io/Logging_0484/kartor_geotiff/A 53399-2023 georefererad karta.tif", "A 53399-2023")</f>
        <v/>
      </c>
      <c r="AA72">
        <f>HYPERLINK("https://klasma.github.io/Logging_0484/klagomål/A 53399-2023 FSC-klagomål.docx", "A 53399-2023")</f>
        <v/>
      </c>
      <c r="AB72">
        <f>HYPERLINK("https://klasma.github.io/Logging_0484/klagomålsmail/A 53399-2023 FSC-klagomål mail.docx", "A 53399-2023")</f>
        <v/>
      </c>
      <c r="AC72">
        <f>HYPERLINK("https://klasma.github.io/Logging_0484/tillsyn/A 53399-2023 tillsynsbegäran.docx", "A 53399-2023")</f>
        <v/>
      </c>
      <c r="AD72">
        <f>HYPERLINK("https://klasma.github.io/Logging_0484/tillsynsmail/A 53399-2023 tillsynsbegäran mail.docx", "A 53399-2023")</f>
        <v/>
      </c>
    </row>
    <row r="73" ht="15" customHeight="1">
      <c r="A73" t="inlineStr">
        <is>
          <t>A 43547-2022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44834</v>
      </c>
      <c r="E73" s="1" t="n">
        <v>46318</v>
      </c>
      <c r="F73" t="inlineStr">
        <is>
          <t>SÖDERMANLANDS LÄN</t>
        </is>
      </c>
      <c r="G73" t="inlineStr">
        <is>
          <t>ESKILSTUNA</t>
        </is>
      </c>
      <c r="I73" t="n">
        <v>3.2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s="2" t="inlineStr">
        <is>
          <t>Knärot</t>
        </is>
      </c>
      <c r="W73">
        <f>HYPERLINK("https://klasma.github.io/Logging_0484/artfynd/A 43547-2022 artfynd.xlsx", "A 43547-2022")</f>
        <v/>
      </c>
      <c r="X73">
        <f>HYPERLINK("https://klasma.github.io/Logging_0484/kartor/A 43547-2022 karta.png", "A 43547-2022")</f>
        <v/>
      </c>
      <c r="Y73">
        <f>HYPERLINK("https://klasma.github.io/Logging_0484/kartor_geotiff/A 43547-2022 georefererad karta.tif", "A 43547-2022")</f>
        <v/>
      </c>
      <c r="Z73">
        <f>HYPERLINK("https://klasma.github.io/Logging_0484/knärot/A 43547-2022 karta knärot.png", "A 43547-2022")</f>
        <v/>
      </c>
      <c r="AA73">
        <f>HYPERLINK("https://klasma.github.io/Logging_0484/klagomål/A 43547-2022 FSC-klagomål.docx", "A 43547-2022")</f>
        <v/>
      </c>
      <c r="AB73">
        <f>HYPERLINK("https://klasma.github.io/Logging_0484/klagomålsmail/A 43547-2022 FSC-klagomål mail.docx", "A 43547-2022")</f>
        <v/>
      </c>
      <c r="AC73">
        <f>HYPERLINK("https://klasma.github.io/Logging_0484/tillsyn/A 43547-2022 tillsynsbegäran.docx", "A 43547-2022")</f>
        <v/>
      </c>
      <c r="AD73">
        <f>HYPERLINK("https://klasma.github.io/Logging_0484/tillsynsmail/A 43547-2022 tillsynsbegäran mail.docx", "A 43547-2022")</f>
        <v/>
      </c>
    </row>
    <row r="74" ht="15" customHeight="1">
      <c r="A74" t="inlineStr">
        <is>
          <t>A 12984-2024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45385</v>
      </c>
      <c r="E74" s="1" t="n">
        <v>46318</v>
      </c>
      <c r="F74" t="inlineStr">
        <is>
          <t>SÖDERMANLANDS LÄN</t>
        </is>
      </c>
      <c r="G74" t="inlineStr">
        <is>
          <t>ESKILSTUNA</t>
        </is>
      </c>
      <c r="H74" t="inlineStr">
        <is>
          <t>Allmännings- och besparingsskogar</t>
        </is>
      </c>
      <c r="I74" t="n">
        <v>6.4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s="2" t="inlineStr">
        <is>
          <t>Fläcknycklar</t>
        </is>
      </c>
      <c r="W74">
        <f>HYPERLINK("https://klasma.github.io/Logging_0484/artfynd/A 12984-2024 artfynd.xlsx", "A 12984-2024")</f>
        <v/>
      </c>
      <c r="X74">
        <f>HYPERLINK("https://klasma.github.io/Logging_0484/kartor/A 12984-2024 karta.png", "A 12984-2024")</f>
        <v/>
      </c>
      <c r="Y74">
        <f>HYPERLINK("https://klasma.github.io/Logging_0484/kartor_geotiff/A 12984-2024 georefererad karta.tif", "A 12984-2024")</f>
        <v/>
      </c>
      <c r="AA74">
        <f>HYPERLINK("https://klasma.github.io/Logging_0484/klagomål/A 12984-2024 FSC-klagomål.docx", "A 12984-2024")</f>
        <v/>
      </c>
      <c r="AB74">
        <f>HYPERLINK("https://klasma.github.io/Logging_0484/klagomålsmail/A 12984-2024 FSC-klagomål mail.docx", "A 12984-2024")</f>
        <v/>
      </c>
      <c r="AC74">
        <f>HYPERLINK("https://klasma.github.io/Logging_0484/tillsyn/A 12984-2024 tillsynsbegäran.docx", "A 12984-2024")</f>
        <v/>
      </c>
      <c r="AD74">
        <f>HYPERLINK("https://klasma.github.io/Logging_0484/tillsynsmail/A 12984-2024 tillsynsbegäran mail.docx", "A 12984-2024")</f>
        <v/>
      </c>
    </row>
    <row r="75" ht="15" customHeight="1">
      <c r="A75" t="inlineStr">
        <is>
          <t>A 30975-2023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45103</v>
      </c>
      <c r="E75" s="1" t="n">
        <v>46318</v>
      </c>
      <c r="F75" t="inlineStr">
        <is>
          <t>SÖDERMANLANDS LÄN</t>
        </is>
      </c>
      <c r="G75" t="inlineStr">
        <is>
          <t>ESKILSTUNA</t>
        </is>
      </c>
      <c r="I75" t="n">
        <v>0.9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s="2" t="inlineStr">
        <is>
          <t>Bombmurkla</t>
        </is>
      </c>
      <c r="W75">
        <f>HYPERLINK("https://klasma.github.io/Logging_0484/artfynd/A 30975-2023 artfynd.xlsx", "A 30975-2023")</f>
        <v/>
      </c>
      <c r="X75">
        <f>HYPERLINK("https://klasma.github.io/Logging_0484/kartor/A 30975-2023 karta.png", "A 30975-2023")</f>
        <v/>
      </c>
      <c r="Y75">
        <f>HYPERLINK("https://klasma.github.io/Logging_0484/kartor_geotiff/A 30975-2023 georefererad karta.tif", "A 30975-2023")</f>
        <v/>
      </c>
      <c r="AA75">
        <f>HYPERLINK("https://klasma.github.io/Logging_0484/klagomål/A 30975-2023 FSC-klagomål.docx", "A 30975-2023")</f>
        <v/>
      </c>
      <c r="AB75">
        <f>HYPERLINK("https://klasma.github.io/Logging_0484/klagomålsmail/A 30975-2023 FSC-klagomål mail.docx", "A 30975-2023")</f>
        <v/>
      </c>
      <c r="AC75">
        <f>HYPERLINK("https://klasma.github.io/Logging_0484/tillsyn/A 30975-2023 tillsynsbegäran.docx", "A 30975-2023")</f>
        <v/>
      </c>
      <c r="AD75">
        <f>HYPERLINK("https://klasma.github.io/Logging_0484/tillsynsmail/A 30975-2023 tillsynsbegäran mail.docx", "A 30975-2023")</f>
        <v/>
      </c>
    </row>
    <row r="76" ht="15" customHeight="1">
      <c r="A76" t="inlineStr">
        <is>
          <t>A 26097-2026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46181</v>
      </c>
      <c r="E76" s="1" t="n">
        <v>46318</v>
      </c>
      <c r="F76" t="inlineStr">
        <is>
          <t>SÖDERMANLANDS LÄN</t>
        </is>
      </c>
      <c r="G76" t="inlineStr">
        <is>
          <t>ESKILSTUNA</t>
        </is>
      </c>
      <c r="H76" t="inlineStr">
        <is>
          <t>Sveaskog</t>
        </is>
      </c>
      <c r="I76" t="n">
        <v>2.5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s="2" t="inlineStr">
        <is>
          <t>Svinrot</t>
        </is>
      </c>
      <c r="W76">
        <f>HYPERLINK("https://klasma.github.io/Logging_0484/artfynd/A 26097-2026 artfynd.xlsx", "A 26097-2026")</f>
        <v/>
      </c>
      <c r="X76">
        <f>HYPERLINK("https://klasma.github.io/Logging_0484/kartor/A 26097-2026 karta.png", "A 26097-2026")</f>
        <v/>
      </c>
      <c r="Y76">
        <f>HYPERLINK("https://klasma.github.io/Logging_0484/kartor_geotiff/A 26097-2026 georefererad karta.tif", "A 26097-2026")</f>
        <v/>
      </c>
      <c r="AA76">
        <f>HYPERLINK("https://klasma.github.io/Logging_0484/klagomål/A 26097-2026 FSC-klagomål.docx", "A 26097-2026")</f>
        <v/>
      </c>
      <c r="AB76">
        <f>HYPERLINK("https://klasma.github.io/Logging_0484/klagomålsmail/A 26097-2026 FSC-klagomål mail.docx", "A 26097-2026")</f>
        <v/>
      </c>
      <c r="AC76">
        <f>HYPERLINK("https://klasma.github.io/Logging_0484/tillsyn/A 26097-2026 tillsynsbegäran.docx", "A 26097-2026")</f>
        <v/>
      </c>
      <c r="AD76">
        <f>HYPERLINK("https://klasma.github.io/Logging_0484/tillsynsmail/A 26097-2026 tillsynsbegäran mail.docx", "A 26097-2026")</f>
        <v/>
      </c>
    </row>
    <row r="77" ht="15" customHeight="1">
      <c r="A77" t="inlineStr">
        <is>
          <t>A 26008-2026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46181</v>
      </c>
      <c r="E77" s="1" t="n">
        <v>46318</v>
      </c>
      <c r="F77" t="inlineStr">
        <is>
          <t>SÖDERMANLANDS LÄN</t>
        </is>
      </c>
      <c r="G77" t="inlineStr">
        <is>
          <t>ESKILSTUNA</t>
        </is>
      </c>
      <c r="I77" t="n">
        <v>2.8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8</v>
      </c>
      <c r="U77" t="n">
        <v>0</v>
      </c>
      <c r="V77" s="2" t="inlineStr">
        <is>
          <t>Svart trolldruva</t>
        </is>
      </c>
      <c r="W77">
        <f>HYPERLINK("https://klasma.github.io/Logging_0484/artfynd/A 26008-2026 artfynd.xlsx", "A 26008-2026")</f>
        <v/>
      </c>
      <c r="X77">
        <f>HYPERLINK("https://klasma.github.io/Logging_0484/kartor/A 26008-2026 karta.png", "A 26008-2026")</f>
        <v/>
      </c>
      <c r="Y77">
        <f>HYPERLINK("https://klasma.github.io/Logging_0484/kartor_geotiff/A 26008-2026 georefererad karta.tif", "A 26008-2026")</f>
        <v/>
      </c>
      <c r="AA77">
        <f>HYPERLINK("https://klasma.github.io/Logging_0484/klagomål/A 26008-2026 FSC-klagomål.docx", "A 26008-2026")</f>
        <v/>
      </c>
      <c r="AB77">
        <f>HYPERLINK("https://klasma.github.io/Logging_0484/klagomålsmail/A 26008-2026 FSC-klagomål mail.docx", "A 26008-2026")</f>
        <v/>
      </c>
      <c r="AC77">
        <f>HYPERLINK("https://klasma.github.io/Logging_0484/tillsyn/A 26008-2026 tillsynsbegäran.docx", "A 26008-2026")</f>
        <v/>
      </c>
      <c r="AD77">
        <f>HYPERLINK("https://klasma.github.io/Logging_0484/tillsynsmail/A 26008-2026 tillsynsbegäran mail.docx", "A 26008-2026")</f>
        <v/>
      </c>
    </row>
    <row r="78" ht="15" customHeight="1">
      <c r="A78" t="inlineStr">
        <is>
          <t>A 26094-2026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46181</v>
      </c>
      <c r="E78" s="1" t="n">
        <v>46318</v>
      </c>
      <c r="F78" t="inlineStr">
        <is>
          <t>SÖDERMANLANDS LÄN</t>
        </is>
      </c>
      <c r="G78" t="inlineStr">
        <is>
          <t>ESKILSTUNA</t>
        </is>
      </c>
      <c r="H78" t="inlineStr">
        <is>
          <t>Sveaskog</t>
        </is>
      </c>
      <c r="I78" t="n">
        <v>3.4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s="2" t="inlineStr">
        <is>
          <t>Spillkråka</t>
        </is>
      </c>
      <c r="W78">
        <f>HYPERLINK("https://klasma.github.io/Logging_0484/artfynd/A 26094-2026 artfynd.xlsx", "A 26094-2026")</f>
        <v/>
      </c>
      <c r="X78">
        <f>HYPERLINK("https://klasma.github.io/Logging_0484/kartor/A 26094-2026 karta.png", "A 26094-2026")</f>
        <v/>
      </c>
      <c r="Y78">
        <f>HYPERLINK("https://klasma.github.io/Logging_0484/kartor_geotiff/A 26094-2026 georefererad karta.tif", "A 26094-2026")</f>
        <v/>
      </c>
      <c r="AA78">
        <f>HYPERLINK("https://klasma.github.io/Logging_0484/klagomål/A 26094-2026 FSC-klagomål.docx", "A 26094-2026")</f>
        <v/>
      </c>
      <c r="AB78">
        <f>HYPERLINK("https://klasma.github.io/Logging_0484/klagomålsmail/A 26094-2026 FSC-klagomål mail.docx", "A 26094-2026")</f>
        <v/>
      </c>
      <c r="AC78">
        <f>HYPERLINK("https://klasma.github.io/Logging_0484/tillsyn/A 26094-2026 tillsynsbegäran.docx", "A 26094-2026")</f>
        <v/>
      </c>
      <c r="AD78">
        <f>HYPERLINK("https://klasma.github.io/Logging_0484/tillsynsmail/A 26094-2026 tillsynsbegäran mail.docx", "A 26094-2026")</f>
        <v/>
      </c>
      <c r="AE78">
        <f>HYPERLINK("https://klasma.github.io/Logging_0484/fåglar/A 26094-2026 prioriterade fågelarter.docx", "A 26094-2026")</f>
        <v/>
      </c>
    </row>
    <row r="79" ht="15" customHeight="1">
      <c r="A79" t="inlineStr">
        <is>
          <t>A 8518-2026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46065</v>
      </c>
      <c r="E79" s="1" t="n">
        <v>46318</v>
      </c>
      <c r="F79" t="inlineStr">
        <is>
          <t>SÖDERMANLANDS LÄN</t>
        </is>
      </c>
      <c r="G79" t="inlineStr">
        <is>
          <t>ESKILSTUNA</t>
        </is>
      </c>
      <c r="I79" t="n">
        <v>8.9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s="2" t="inlineStr">
        <is>
          <t>Igelkott</t>
        </is>
      </c>
      <c r="W79">
        <f>HYPERLINK("https://klasma.github.io/Logging_0484/artfynd/A 8518-2026 artfynd.xlsx", "A 8518-2026")</f>
        <v/>
      </c>
      <c r="X79">
        <f>HYPERLINK("https://klasma.github.io/Logging_0484/kartor/A 8518-2026 karta.png", "A 8518-2026")</f>
        <v/>
      </c>
      <c r="Y79">
        <f>HYPERLINK("https://klasma.github.io/Logging_0484/kartor_geotiff/A 8518-2026 georefererad karta.tif", "A 8518-2026")</f>
        <v/>
      </c>
      <c r="AA79">
        <f>HYPERLINK("https://klasma.github.io/Logging_0484/klagomål/A 8518-2026 FSC-klagomål.docx", "A 8518-2026")</f>
        <v/>
      </c>
      <c r="AB79">
        <f>HYPERLINK("https://klasma.github.io/Logging_0484/klagomålsmail/A 8518-2026 FSC-klagomål mail.docx", "A 8518-2026")</f>
        <v/>
      </c>
      <c r="AC79">
        <f>HYPERLINK("https://klasma.github.io/Logging_0484/tillsyn/A 8518-2026 tillsynsbegäran.docx", "A 8518-2026")</f>
        <v/>
      </c>
      <c r="AD79">
        <f>HYPERLINK("https://klasma.github.io/Logging_0484/tillsynsmail/A 8518-2026 tillsynsbegäran mail.docx", "A 8518-2026")</f>
        <v/>
      </c>
    </row>
    <row r="80" ht="15" customHeight="1">
      <c r="A80" t="inlineStr">
        <is>
          <t>A 2512-2025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45674</v>
      </c>
      <c r="E80" s="1" t="n">
        <v>46318</v>
      </c>
      <c r="F80" t="inlineStr">
        <is>
          <t>SÖDERMANLANDS LÄN</t>
        </is>
      </c>
      <c r="G80" t="inlineStr">
        <is>
          <t>ESKILSTUNA</t>
        </is>
      </c>
      <c r="I80" t="n">
        <v>3.9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s="2" t="inlineStr">
        <is>
          <t>Svart trolldruva</t>
        </is>
      </c>
      <c r="W80">
        <f>HYPERLINK("https://klasma.github.io/Logging_0484/artfynd/A 2512-2025 artfynd.xlsx", "A 2512-2025")</f>
        <v/>
      </c>
      <c r="X80">
        <f>HYPERLINK("https://klasma.github.io/Logging_0484/kartor/A 2512-2025 karta.png", "A 2512-2025")</f>
        <v/>
      </c>
      <c r="Y80">
        <f>HYPERLINK("https://klasma.github.io/Logging_0484/kartor_geotiff/A 2512-2025 georefererad karta.tif", "A 2512-2025")</f>
        <v/>
      </c>
      <c r="AA80">
        <f>HYPERLINK("https://klasma.github.io/Logging_0484/klagomål/A 2512-2025 FSC-klagomål.docx", "A 2512-2025")</f>
        <v/>
      </c>
      <c r="AB80">
        <f>HYPERLINK("https://klasma.github.io/Logging_0484/klagomålsmail/A 2512-2025 FSC-klagomål mail.docx", "A 2512-2025")</f>
        <v/>
      </c>
      <c r="AC80">
        <f>HYPERLINK("https://klasma.github.io/Logging_0484/tillsyn/A 2512-2025 tillsynsbegäran.docx", "A 2512-2025")</f>
        <v/>
      </c>
      <c r="AD80">
        <f>HYPERLINK("https://klasma.github.io/Logging_0484/tillsynsmail/A 2512-2025 tillsynsbegäran mail.docx", "A 2512-2025")</f>
        <v/>
      </c>
    </row>
    <row r="81" ht="15" customHeight="1">
      <c r="A81" t="inlineStr">
        <is>
          <t>A 27892-2026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46191</v>
      </c>
      <c r="E81" s="1" t="n">
        <v>46318</v>
      </c>
      <c r="F81" t="inlineStr">
        <is>
          <t>SÖDERMANLANDS LÄN</t>
        </is>
      </c>
      <c r="G81" t="inlineStr">
        <is>
          <t>ESKILSTUNA</t>
        </is>
      </c>
      <c r="I81" t="n">
        <v>1.1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0</v>
      </c>
      <c r="V81" s="2" t="inlineStr">
        <is>
          <t>Nattviol</t>
        </is>
      </c>
      <c r="W81">
        <f>HYPERLINK("https://klasma.github.io/Logging_0484/artfynd/A 27892-2026 artfynd.xlsx", "A 27892-2026")</f>
        <v/>
      </c>
      <c r="X81">
        <f>HYPERLINK("https://klasma.github.io/Logging_0484/kartor/A 27892-2026 karta.png", "A 27892-2026")</f>
        <v/>
      </c>
      <c r="Y81">
        <f>HYPERLINK("https://klasma.github.io/Logging_0484/kartor_geotiff/A 27892-2026 georefererad karta.tif", "A 27892-2026")</f>
        <v/>
      </c>
      <c r="AA81">
        <f>HYPERLINK("https://klasma.github.io/Logging_0484/klagomål/A 27892-2026 FSC-klagomål.docx", "A 27892-2026")</f>
        <v/>
      </c>
      <c r="AB81">
        <f>HYPERLINK("https://klasma.github.io/Logging_0484/klagomålsmail/A 27892-2026 FSC-klagomål mail.docx", "A 27892-2026")</f>
        <v/>
      </c>
      <c r="AC81">
        <f>HYPERLINK("https://klasma.github.io/Logging_0484/tillsyn/A 27892-2026 tillsynsbegäran.docx", "A 27892-2026")</f>
        <v/>
      </c>
      <c r="AD81">
        <f>HYPERLINK("https://klasma.github.io/Logging_0484/tillsynsmail/A 27892-2026 tillsynsbegäran mail.docx", "A 27892-2026")</f>
        <v/>
      </c>
    </row>
    <row r="82" ht="15" customHeight="1">
      <c r="A82" t="inlineStr">
        <is>
          <t>A 50760-2023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45217</v>
      </c>
      <c r="E82" s="1" t="n">
        <v>46318</v>
      </c>
      <c r="F82" t="inlineStr">
        <is>
          <t>SÖDERMANLANDS LÄN</t>
        </is>
      </c>
      <c r="G82" t="inlineStr">
        <is>
          <t>ESKILSTUNA</t>
        </is>
      </c>
      <c r="I82" t="n">
        <v>4.1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s="2" t="inlineStr">
        <is>
          <t>Pärluggla</t>
        </is>
      </c>
      <c r="W82">
        <f>HYPERLINK("https://klasma.github.io/Logging_0484/artfynd/A 50760-2023 artfynd.xlsx", "A 50760-2023")</f>
        <v/>
      </c>
      <c r="X82">
        <f>HYPERLINK("https://klasma.github.io/Logging_0484/kartor/A 50760-2023 karta.png", "A 50760-2023")</f>
        <v/>
      </c>
      <c r="Y82">
        <f>HYPERLINK("https://klasma.github.io/Logging_0484/kartor_geotiff/A 50760-2023 georefererad karta.tif", "A 50760-2023")</f>
        <v/>
      </c>
      <c r="AA82">
        <f>HYPERLINK("https://klasma.github.io/Logging_0484/klagomål/A 50760-2023 FSC-klagomål.docx", "A 50760-2023")</f>
        <v/>
      </c>
      <c r="AB82">
        <f>HYPERLINK("https://klasma.github.io/Logging_0484/klagomålsmail/A 50760-2023 FSC-klagomål mail.docx", "A 50760-2023")</f>
        <v/>
      </c>
      <c r="AC82">
        <f>HYPERLINK("https://klasma.github.io/Logging_0484/tillsyn/A 50760-2023 tillsynsbegäran.docx", "A 50760-2023")</f>
        <v/>
      </c>
      <c r="AD82">
        <f>HYPERLINK("https://klasma.github.io/Logging_0484/tillsynsmail/A 50760-2023 tillsynsbegäran mail.docx", "A 50760-2023")</f>
        <v/>
      </c>
      <c r="AE82">
        <f>HYPERLINK("https://klasma.github.io/Logging_0484/fåglar/A 50760-2023 prioriterade fågelarter.docx", "A 50760-2023")</f>
        <v/>
      </c>
    </row>
    <row r="83" ht="15" customHeight="1">
      <c r="A83" t="inlineStr">
        <is>
          <t>A 15608-2026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46106</v>
      </c>
      <c r="E83" s="1" t="n">
        <v>46318</v>
      </c>
      <c r="F83" t="inlineStr">
        <is>
          <t>SÖDERMANLANDS LÄN</t>
        </is>
      </c>
      <c r="G83" t="inlineStr">
        <is>
          <t>ESKILSTUNA</t>
        </is>
      </c>
      <c r="I83" t="n">
        <v>9.6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s="2" t="inlineStr">
        <is>
          <t>Igelkott</t>
        </is>
      </c>
      <c r="W83">
        <f>HYPERLINK("https://klasma.github.io/Logging_0484/artfynd/A 15608-2026 artfynd.xlsx", "A 15608-2026")</f>
        <v/>
      </c>
      <c r="X83">
        <f>HYPERLINK("https://klasma.github.io/Logging_0484/kartor/A 15608-2026 karta.png", "A 15608-2026")</f>
        <v/>
      </c>
      <c r="Y83">
        <f>HYPERLINK("https://klasma.github.io/Logging_0484/kartor_geotiff/A 15608-2026 georefererad karta.tif", "A 15608-2026")</f>
        <v/>
      </c>
      <c r="AA83">
        <f>HYPERLINK("https://klasma.github.io/Logging_0484/klagomål/A 15608-2026 FSC-klagomål.docx", "A 15608-2026")</f>
        <v/>
      </c>
      <c r="AB83">
        <f>HYPERLINK("https://klasma.github.io/Logging_0484/klagomålsmail/A 15608-2026 FSC-klagomål mail.docx", "A 15608-2026")</f>
        <v/>
      </c>
      <c r="AC83">
        <f>HYPERLINK("https://klasma.github.io/Logging_0484/tillsyn/A 15608-2026 tillsynsbegäran.docx", "A 15608-2026")</f>
        <v/>
      </c>
      <c r="AD83">
        <f>HYPERLINK("https://klasma.github.io/Logging_0484/tillsynsmail/A 15608-2026 tillsynsbegäran mail.docx", "A 15608-2026")</f>
        <v/>
      </c>
    </row>
    <row r="84" ht="15" customHeight="1">
      <c r="A84" t="inlineStr">
        <is>
          <t>A 71976-2021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44544</v>
      </c>
      <c r="E84" s="1" t="n">
        <v>46318</v>
      </c>
      <c r="F84" t="inlineStr">
        <is>
          <t>SÖDERMANLANDS LÄN</t>
        </is>
      </c>
      <c r="G84" t="inlineStr">
        <is>
          <t>ESKILSTUNA</t>
        </is>
      </c>
      <c r="I84" t="n">
        <v>19.6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s="2" t="inlineStr">
        <is>
          <t>Jungfrulin</t>
        </is>
      </c>
      <c r="W84">
        <f>HYPERLINK("https://klasma.github.io/Logging_0484/artfynd/A 71976-2021 artfynd.xlsx", "A 71976-2021")</f>
        <v/>
      </c>
      <c r="X84">
        <f>HYPERLINK("https://klasma.github.io/Logging_0484/kartor/A 71976-2021 karta.png", "A 71976-2021")</f>
        <v/>
      </c>
      <c r="Y84">
        <f>HYPERLINK("https://klasma.github.io/Logging_0484/kartor_geotiff/A 71976-2021 georefererad karta.tif", "A 71976-2021")</f>
        <v/>
      </c>
      <c r="AA84">
        <f>HYPERLINK("https://klasma.github.io/Logging_0484/klagomål/A 71976-2021 FSC-klagomål.docx", "A 71976-2021")</f>
        <v/>
      </c>
      <c r="AB84">
        <f>HYPERLINK("https://klasma.github.io/Logging_0484/klagomålsmail/A 71976-2021 FSC-klagomål mail.docx", "A 71976-2021")</f>
        <v/>
      </c>
      <c r="AC84">
        <f>HYPERLINK("https://klasma.github.io/Logging_0484/tillsyn/A 71976-2021 tillsynsbegäran.docx", "A 71976-2021")</f>
        <v/>
      </c>
      <c r="AD84">
        <f>HYPERLINK("https://klasma.github.io/Logging_0484/tillsynsmail/A 71976-2021 tillsynsbegäran mail.docx", "A 71976-2021")</f>
        <v/>
      </c>
    </row>
    <row r="85" ht="15" customHeight="1">
      <c r="A85" t="inlineStr">
        <is>
          <t>A 29047-2026</t>
        </is>
      </c>
      <c r="B85" t="inlineStr">
        <is>
          <t>avverkningsanmälan</t>
        </is>
      </c>
      <c r="C85" t="inlineStr">
        <is>
          <t>Avverkning för att bevara och utveckla /försöksver</t>
        </is>
      </c>
      <c r="D85" s="1" t="n">
        <v>46199</v>
      </c>
      <c r="E85" s="1" t="n">
        <v>46318</v>
      </c>
      <c r="F85" t="inlineStr">
        <is>
          <t>SÖDERMANLANDS LÄN</t>
        </is>
      </c>
      <c r="G85" t="inlineStr">
        <is>
          <t>ESKILSTUNA</t>
        </is>
      </c>
      <c r="H85" t="inlineStr">
        <is>
          <t>Sveaskog</t>
        </is>
      </c>
      <c r="I85" t="n">
        <v>0.4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s="2" t="inlineStr">
        <is>
          <t>Kandelabersvamp</t>
        </is>
      </c>
      <c r="W85">
        <f>HYPERLINK("https://klasma.github.io/Logging_0484/artfynd/A 29047-2026 artfynd.xlsx", "A 29047-2026")</f>
        <v/>
      </c>
      <c r="X85">
        <f>HYPERLINK("https://klasma.github.io/Logging_0484/kartor/A 29047-2026 karta.png", "A 29047-2026")</f>
        <v/>
      </c>
      <c r="Y85">
        <f>HYPERLINK("https://klasma.github.io/Logging_0484/kartor_geotiff/A 29047-2026 georefererad karta.tif", "A 29047-2026")</f>
        <v/>
      </c>
      <c r="AA85">
        <f>HYPERLINK("https://klasma.github.io/Logging_0484/klagomål/A 29047-2026 FSC-klagomål.docx", "A 29047-2026")</f>
        <v/>
      </c>
      <c r="AB85">
        <f>HYPERLINK("https://klasma.github.io/Logging_0484/klagomålsmail/A 29047-2026 FSC-klagomål mail.docx", "A 29047-2026")</f>
        <v/>
      </c>
      <c r="AC85">
        <f>HYPERLINK("https://klasma.github.io/Logging_0484/tillsyn/A 29047-2026 tillsynsbegäran.docx", "A 29047-2026")</f>
        <v/>
      </c>
      <c r="AD85">
        <f>HYPERLINK("https://klasma.github.io/Logging_0484/tillsynsmail/A 29047-2026 tillsynsbegäran mail.docx", "A 29047-2026")</f>
        <v/>
      </c>
    </row>
    <row r="86" ht="15" customHeight="1">
      <c r="A86" t="inlineStr">
        <is>
          <t>A 26148-2022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44735</v>
      </c>
      <c r="E86" s="1" t="n">
        <v>46318</v>
      </c>
      <c r="F86" t="inlineStr">
        <is>
          <t>SÖDERMANLANDS LÄN</t>
        </is>
      </c>
      <c r="G86" t="inlineStr">
        <is>
          <t>ESKILSTUNA</t>
        </is>
      </c>
      <c r="I86" t="n">
        <v>3.3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s="2" t="inlineStr">
        <is>
          <t>Rödvingetrast</t>
        </is>
      </c>
      <c r="W86">
        <f>HYPERLINK("https://klasma.github.io/Logging_0484/artfynd/A 26148-2022 artfynd.xlsx", "A 26148-2022")</f>
        <v/>
      </c>
      <c r="X86">
        <f>HYPERLINK("https://klasma.github.io/Logging_0484/kartor/A 26148-2022 karta.png", "A 26148-2022")</f>
        <v/>
      </c>
      <c r="Y86">
        <f>HYPERLINK("https://klasma.github.io/Logging_0484/kartor_geotiff/A 26148-2022 georefererad karta.tif", "A 26148-2022")</f>
        <v/>
      </c>
      <c r="AA86">
        <f>HYPERLINK("https://klasma.github.io/Logging_0484/klagomål/A 26148-2022 FSC-klagomål.docx", "A 26148-2022")</f>
        <v/>
      </c>
      <c r="AB86">
        <f>HYPERLINK("https://klasma.github.io/Logging_0484/klagomålsmail/A 26148-2022 FSC-klagomål mail.docx", "A 26148-2022")</f>
        <v/>
      </c>
      <c r="AC86">
        <f>HYPERLINK("https://klasma.github.io/Logging_0484/tillsyn/A 26148-2022 tillsynsbegäran.docx", "A 26148-2022")</f>
        <v/>
      </c>
      <c r="AD86">
        <f>HYPERLINK("https://klasma.github.io/Logging_0484/tillsynsmail/A 26148-2022 tillsynsbegäran mail.docx", "A 26148-2022")</f>
        <v/>
      </c>
      <c r="AE86">
        <f>HYPERLINK("https://klasma.github.io/Logging_0484/fåglar/A 26148-2022 prioriterade fågelarter.docx", "A 26148-2022")</f>
        <v/>
      </c>
    </row>
    <row r="87" ht="15" customHeight="1">
      <c r="A87" t="inlineStr">
        <is>
          <t>A 39011-2026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46287</v>
      </c>
      <c r="E87" s="1" t="n">
        <v>46318</v>
      </c>
      <c r="F87" t="inlineStr">
        <is>
          <t>SÖDERMANLANDS LÄN</t>
        </is>
      </c>
      <c r="G87" t="inlineStr">
        <is>
          <t>ESKILSTUNA</t>
        </is>
      </c>
      <c r="I87" t="n">
        <v>10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0</v>
      </c>
      <c r="V87" s="2" t="inlineStr">
        <is>
          <t>Blåsippa</t>
        </is>
      </c>
      <c r="W87">
        <f>HYPERLINK("https://klasma.github.io/Logging_0484/artfynd/A 39011-2026 artfynd.xlsx", "A 39011-2026")</f>
        <v/>
      </c>
      <c r="X87">
        <f>HYPERLINK("https://klasma.github.io/Logging_0484/kartor/A 39011-2026 karta.png", "A 39011-2026")</f>
        <v/>
      </c>
      <c r="Y87">
        <f>HYPERLINK("https://klasma.github.io/Logging_0484/kartor_geotiff/A 39011-2026 georefererad karta.tif", "A 39011-2026")</f>
        <v/>
      </c>
      <c r="AA87">
        <f>HYPERLINK("https://klasma.github.io/Logging_0484/klagomål/A 39011-2026 FSC-klagomål.docx", "A 39011-2026")</f>
        <v/>
      </c>
      <c r="AB87">
        <f>HYPERLINK("https://klasma.github.io/Logging_0484/klagomålsmail/A 39011-2026 FSC-klagomål mail.docx", "A 39011-2026")</f>
        <v/>
      </c>
      <c r="AC87">
        <f>HYPERLINK("https://klasma.github.io/Logging_0484/tillsyn/A 39011-2026 tillsynsbegäran.docx", "A 39011-2026")</f>
        <v/>
      </c>
      <c r="AD87">
        <f>HYPERLINK("https://klasma.github.io/Logging_0484/tillsynsmail/A 39011-2026 tillsynsbegäran mail.docx", "A 39011-2026")</f>
        <v/>
      </c>
    </row>
    <row r="88" ht="15" customHeight="1">
      <c r="A88" t="inlineStr">
        <is>
          <t>A 14327-2023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45012</v>
      </c>
      <c r="E88" s="1" t="n">
        <v>46318</v>
      </c>
      <c r="F88" t="inlineStr">
        <is>
          <t>SÖDERMANLANDS LÄN</t>
        </is>
      </c>
      <c r="G88" t="inlineStr">
        <is>
          <t>ESKILSTUNA</t>
        </is>
      </c>
      <c r="H88" t="inlineStr">
        <is>
          <t>Kommuner</t>
        </is>
      </c>
      <c r="I88" t="n">
        <v>2.6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s="2" t="inlineStr">
        <is>
          <t>Mattlummer</t>
        </is>
      </c>
      <c r="W88">
        <f>HYPERLINK("https://klasma.github.io/Logging_0484/artfynd/A 14327-2023 artfynd.xlsx", "A 14327-2023")</f>
        <v/>
      </c>
      <c r="X88">
        <f>HYPERLINK("https://klasma.github.io/Logging_0484/kartor/A 14327-2023 karta.png", "A 14327-2023")</f>
        <v/>
      </c>
      <c r="Y88">
        <f>HYPERLINK("https://klasma.github.io/Logging_0484/kartor_geotiff/A 14327-2023 georefererad karta.tif", "A 14327-2023")</f>
        <v/>
      </c>
      <c r="AA88">
        <f>HYPERLINK("https://klasma.github.io/Logging_0484/klagomål/A 14327-2023 FSC-klagomål.docx", "A 14327-2023")</f>
        <v/>
      </c>
      <c r="AB88">
        <f>HYPERLINK("https://klasma.github.io/Logging_0484/klagomålsmail/A 14327-2023 FSC-klagomål mail.docx", "A 14327-2023")</f>
        <v/>
      </c>
      <c r="AC88">
        <f>HYPERLINK("https://klasma.github.io/Logging_0484/tillsyn/A 14327-2023 tillsynsbegäran.docx", "A 14327-2023")</f>
        <v/>
      </c>
      <c r="AD88">
        <f>HYPERLINK("https://klasma.github.io/Logging_0484/tillsynsmail/A 14327-2023 tillsynsbegäran mail.docx", "A 14327-2023")</f>
        <v/>
      </c>
    </row>
    <row r="89" ht="15" customHeight="1">
      <c r="A89" t="inlineStr">
        <is>
          <t>A 59070-2022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44904</v>
      </c>
      <c r="E89" s="1" t="n">
        <v>46318</v>
      </c>
      <c r="F89" t="inlineStr">
        <is>
          <t>SÖDERMANLANDS LÄN</t>
        </is>
      </c>
      <c r="G89" t="inlineStr">
        <is>
          <t>ESKILSTUNA</t>
        </is>
      </c>
      <c r="I89" t="n">
        <v>6.6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s="2" t="inlineStr">
        <is>
          <t>Igelkott</t>
        </is>
      </c>
      <c r="W89">
        <f>HYPERLINK("https://klasma.github.io/Logging_0484/artfynd/A 59070-2022 artfynd.xlsx", "A 59070-2022")</f>
        <v/>
      </c>
      <c r="X89">
        <f>HYPERLINK("https://klasma.github.io/Logging_0484/kartor/A 59070-2022 karta.png", "A 59070-2022")</f>
        <v/>
      </c>
      <c r="Y89">
        <f>HYPERLINK("https://klasma.github.io/Logging_0484/kartor_geotiff/A 59070-2022 georefererad karta.tif", "A 59070-2022")</f>
        <v/>
      </c>
      <c r="AA89">
        <f>HYPERLINK("https://klasma.github.io/Logging_0484/klagomål/A 59070-2022 FSC-klagomål.docx", "A 59070-2022")</f>
        <v/>
      </c>
      <c r="AB89">
        <f>HYPERLINK("https://klasma.github.io/Logging_0484/klagomålsmail/A 59070-2022 FSC-klagomål mail.docx", "A 59070-2022")</f>
        <v/>
      </c>
      <c r="AC89">
        <f>HYPERLINK("https://klasma.github.io/Logging_0484/tillsyn/A 59070-2022 tillsynsbegäran.docx", "A 59070-2022")</f>
        <v/>
      </c>
      <c r="AD89">
        <f>HYPERLINK("https://klasma.github.io/Logging_0484/tillsynsmail/A 59070-2022 tillsynsbegäran mail.docx", "A 59070-2022")</f>
        <v/>
      </c>
    </row>
    <row r="90" ht="15" customHeight="1">
      <c r="A90" t="inlineStr">
        <is>
          <t>A 9645-2023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44984</v>
      </c>
      <c r="E90" s="1" t="n">
        <v>46318</v>
      </c>
      <c r="F90" t="inlineStr">
        <is>
          <t>SÖDERMANLANDS LÄN</t>
        </is>
      </c>
      <c r="G90" t="inlineStr">
        <is>
          <t>ESKILSTUNA</t>
        </is>
      </c>
      <c r="I90" t="n">
        <v>2.3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s="2" t="inlineStr">
        <is>
          <t>Skogsduva</t>
        </is>
      </c>
      <c r="W90">
        <f>HYPERLINK("https://klasma.github.io/Logging_0484/artfynd/A 9645-2023 artfynd.xlsx", "A 9645-2023")</f>
        <v/>
      </c>
      <c r="X90">
        <f>HYPERLINK("https://klasma.github.io/Logging_0484/kartor/A 9645-2023 karta.png", "A 9645-2023")</f>
        <v/>
      </c>
      <c r="Y90">
        <f>HYPERLINK("https://klasma.github.io/Logging_0484/kartor_geotiff/A 9645-2023 georefererad karta.tif", "A 9645-2023")</f>
        <v/>
      </c>
      <c r="AA90">
        <f>HYPERLINK("https://klasma.github.io/Logging_0484/klagomål/A 9645-2023 FSC-klagomål.docx", "A 9645-2023")</f>
        <v/>
      </c>
      <c r="AB90">
        <f>HYPERLINK("https://klasma.github.io/Logging_0484/klagomålsmail/A 9645-2023 FSC-klagomål mail.docx", "A 9645-2023")</f>
        <v/>
      </c>
      <c r="AC90">
        <f>HYPERLINK("https://klasma.github.io/Logging_0484/tillsyn/A 9645-2023 tillsynsbegäran.docx", "A 9645-2023")</f>
        <v/>
      </c>
      <c r="AD90">
        <f>HYPERLINK("https://klasma.github.io/Logging_0484/tillsynsmail/A 9645-2023 tillsynsbegäran mail.docx", "A 9645-2023")</f>
        <v/>
      </c>
    </row>
    <row r="91" ht="15" customHeight="1">
      <c r="A91" t="inlineStr">
        <is>
          <t>A 55087-2022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44886</v>
      </c>
      <c r="E91" s="1" t="n">
        <v>46318</v>
      </c>
      <c r="F91" t="inlineStr">
        <is>
          <t>SÖDERMANLANDS LÄN</t>
        </is>
      </c>
      <c r="G91" t="inlineStr">
        <is>
          <t>ESKILSTUNA</t>
        </is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0</v>
      </c>
      <c r="V91" s="2" t="inlineStr">
        <is>
          <t>Gulsparv</t>
        </is>
      </c>
      <c r="W91">
        <f>HYPERLINK("https://klasma.github.io/Logging_0484/artfynd/A 55087-2022 artfynd.xlsx", "A 55087-2022")</f>
        <v/>
      </c>
      <c r="X91">
        <f>HYPERLINK("https://klasma.github.io/Logging_0484/kartor/A 55087-2022 karta.png", "A 55087-2022")</f>
        <v/>
      </c>
      <c r="Y91">
        <f>HYPERLINK("https://klasma.github.io/Logging_0484/kartor_geotiff/A 55087-2022 georefererad karta.tif", "A 55087-2022")</f>
        <v/>
      </c>
      <c r="AA91">
        <f>HYPERLINK("https://klasma.github.io/Logging_0484/klagomål/A 55087-2022 FSC-klagomål.docx", "A 55087-2022")</f>
        <v/>
      </c>
      <c r="AB91">
        <f>HYPERLINK("https://klasma.github.io/Logging_0484/klagomålsmail/A 55087-2022 FSC-klagomål mail.docx", "A 55087-2022")</f>
        <v/>
      </c>
      <c r="AC91">
        <f>HYPERLINK("https://klasma.github.io/Logging_0484/tillsyn/A 55087-2022 tillsynsbegäran.docx", "A 55087-2022")</f>
        <v/>
      </c>
      <c r="AD91">
        <f>HYPERLINK("https://klasma.github.io/Logging_0484/tillsynsmail/A 55087-2022 tillsynsbegäran mail.docx", "A 55087-2022")</f>
        <v/>
      </c>
      <c r="AE91">
        <f>HYPERLINK("https://klasma.github.io/Logging_0484/fåglar/A 55087-2022 prioriterade fågelarter.docx", "A 55087-2022")</f>
        <v/>
      </c>
    </row>
    <row r="92" ht="15" customHeight="1">
      <c r="A92" t="inlineStr">
        <is>
          <t>A 35096-2022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44797</v>
      </c>
      <c r="E92" s="1" t="n">
        <v>46318</v>
      </c>
      <c r="F92" t="inlineStr">
        <is>
          <t>SÖDERMANLANDS LÄN</t>
        </is>
      </c>
      <c r="G92" t="inlineStr">
        <is>
          <t>ESKILSTUNA</t>
        </is>
      </c>
      <c r="I92" t="n">
        <v>0.9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22191-2022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44712</v>
      </c>
      <c r="E93" s="1" t="n">
        <v>46318</v>
      </c>
      <c r="F93" t="inlineStr">
        <is>
          <t>SÖDERMANLANDS LÄN</t>
        </is>
      </c>
      <c r="G93" t="inlineStr">
        <is>
          <t>ESKILSTUNA</t>
        </is>
      </c>
      <c r="I93" t="n">
        <v>2.7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7818-2022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44608</v>
      </c>
      <c r="E94" s="1" t="n">
        <v>46318</v>
      </c>
      <c r="F94" t="inlineStr">
        <is>
          <t>SÖDERMANLANDS LÄN</t>
        </is>
      </c>
      <c r="G94" t="inlineStr">
        <is>
          <t>ESKILSTUNA</t>
        </is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66131-2021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44517</v>
      </c>
      <c r="E95" s="1" t="n">
        <v>46318</v>
      </c>
      <c r="F95" t="inlineStr">
        <is>
          <t>SÖDERMANLANDS LÄN</t>
        </is>
      </c>
      <c r="G95" t="inlineStr">
        <is>
          <t>ESKILSTUNA</t>
        </is>
      </c>
      <c r="I95" t="n">
        <v>0.8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66132-2021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44517</v>
      </c>
      <c r="E96" s="1" t="n">
        <v>46318</v>
      </c>
      <c r="F96" t="inlineStr">
        <is>
          <t>SÖDERMANLANDS LÄN</t>
        </is>
      </c>
      <c r="G96" t="inlineStr">
        <is>
          <t>ESKILSTUNA</t>
        </is>
      </c>
      <c r="I96" t="n">
        <v>0.6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64986-2021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44513</v>
      </c>
      <c r="E97" s="1" t="n">
        <v>46318</v>
      </c>
      <c r="F97" t="inlineStr">
        <is>
          <t>SÖDERMANLANDS LÄN</t>
        </is>
      </c>
      <c r="G97" t="inlineStr">
        <is>
          <t>ESKILSTUNA</t>
        </is>
      </c>
      <c r="I97" t="n">
        <v>1.1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32401-2022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44781</v>
      </c>
      <c r="E98" s="1" t="n">
        <v>46318</v>
      </c>
      <c r="F98" t="inlineStr">
        <is>
          <t>SÖDERMANLANDS LÄN</t>
        </is>
      </c>
      <c r="G98" t="inlineStr">
        <is>
          <t>ESKILSTUNA</t>
        </is>
      </c>
      <c r="I98" t="n">
        <v>2.7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4331-2022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44588</v>
      </c>
      <c r="E99" s="1" t="n">
        <v>46318</v>
      </c>
      <c r="F99" t="inlineStr">
        <is>
          <t>SÖDERMANLANDS LÄN</t>
        </is>
      </c>
      <c r="G99" t="inlineStr">
        <is>
          <t>ESKILSTUNA</t>
        </is>
      </c>
      <c r="H99" t="inlineStr">
        <is>
          <t>Allmännings- och besparingsskogar</t>
        </is>
      </c>
      <c r="I99" t="n">
        <v>0.8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16395-2022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44671</v>
      </c>
      <c r="E100" s="1" t="n">
        <v>46318</v>
      </c>
      <c r="F100" t="inlineStr">
        <is>
          <t>SÖDERMANLANDS LÄN</t>
        </is>
      </c>
      <c r="G100" t="inlineStr">
        <is>
          <t>ESKILSTUNA</t>
        </is>
      </c>
      <c r="I100" t="n">
        <v>0.7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30698-2022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44763</v>
      </c>
      <c r="E101" s="1" t="n">
        <v>46318</v>
      </c>
      <c r="F101" t="inlineStr">
        <is>
          <t>SÖDERMANLANDS LÄN</t>
        </is>
      </c>
      <c r="G101" t="inlineStr">
        <is>
          <t>ESKILSTUNA</t>
        </is>
      </c>
      <c r="I101" t="n">
        <v>1.7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70051-2021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44533</v>
      </c>
      <c r="E102" s="1" t="n">
        <v>46318</v>
      </c>
      <c r="F102" t="inlineStr">
        <is>
          <t>SÖDERMANLANDS LÄN</t>
        </is>
      </c>
      <c r="G102" t="inlineStr">
        <is>
          <t>ESKILSTUNA</t>
        </is>
      </c>
      <c r="I102" t="n">
        <v>4.9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65694-2021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44516</v>
      </c>
      <c r="E103" s="1" t="n">
        <v>46318</v>
      </c>
      <c r="F103" t="inlineStr">
        <is>
          <t>SÖDERMANLANDS LÄN</t>
        </is>
      </c>
      <c r="G103" t="inlineStr">
        <is>
          <t>ESKILSTUNA</t>
        </is>
      </c>
      <c r="I103" t="n">
        <v>1.8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29626-2022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44754</v>
      </c>
      <c r="E104" s="1" t="n">
        <v>46318</v>
      </c>
      <c r="F104" t="inlineStr">
        <is>
          <t>SÖDERMANLANDS LÄN</t>
        </is>
      </c>
      <c r="G104" t="inlineStr">
        <is>
          <t>ESKILSTUNA</t>
        </is>
      </c>
      <c r="H104" t="inlineStr">
        <is>
          <t>Kommuner</t>
        </is>
      </c>
      <c r="I104" t="n">
        <v>1.7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17841-2022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44683</v>
      </c>
      <c r="E105" s="1" t="n">
        <v>46318</v>
      </c>
      <c r="F105" t="inlineStr">
        <is>
          <t>SÖDERMANLANDS LÄN</t>
        </is>
      </c>
      <c r="G105" t="inlineStr">
        <is>
          <t>ESKILSTUNA</t>
        </is>
      </c>
      <c r="H105" t="inlineStr">
        <is>
          <t>Allmännings- och besparingsskogar</t>
        </is>
      </c>
      <c r="I105" t="n">
        <v>2.2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28071-2022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44746</v>
      </c>
      <c r="E106" s="1" t="n">
        <v>46318</v>
      </c>
      <c r="F106" t="inlineStr">
        <is>
          <t>SÖDERMANLANDS LÄN</t>
        </is>
      </c>
      <c r="G106" t="inlineStr">
        <is>
          <t>ESKILSTUNA</t>
        </is>
      </c>
      <c r="I106" t="n">
        <v>2.2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22185-2022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44712</v>
      </c>
      <c r="E107" s="1" t="n">
        <v>46318</v>
      </c>
      <c r="F107" t="inlineStr">
        <is>
          <t>SÖDERMANLANDS LÄN</t>
        </is>
      </c>
      <c r="G107" t="inlineStr">
        <is>
          <t>ESKILSTUNA</t>
        </is>
      </c>
      <c r="I107" t="n">
        <v>2.1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35693-2022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44799</v>
      </c>
      <c r="E108" s="1" t="n">
        <v>46318</v>
      </c>
      <c r="F108" t="inlineStr">
        <is>
          <t>SÖDERMANLANDS LÄN</t>
        </is>
      </c>
      <c r="G108" t="inlineStr">
        <is>
          <t>ESKILSTUNA</t>
        </is>
      </c>
      <c r="I108" t="n">
        <v>0.6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11137-2022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44628</v>
      </c>
      <c r="E109" s="1" t="n">
        <v>46318</v>
      </c>
      <c r="F109" t="inlineStr">
        <is>
          <t>SÖDERMANLANDS LÄN</t>
        </is>
      </c>
      <c r="G109" t="inlineStr">
        <is>
          <t>ESKILSTUNA</t>
        </is>
      </c>
      <c r="I109" t="n">
        <v>5.2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17816-2022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44683</v>
      </c>
      <c r="E110" s="1" t="n">
        <v>46318</v>
      </c>
      <c r="F110" t="inlineStr">
        <is>
          <t>SÖDERMANLANDS LÄN</t>
        </is>
      </c>
      <c r="G110" t="inlineStr">
        <is>
          <t>ESKILSTUNA</t>
        </is>
      </c>
      <c r="I110" t="n">
        <v>2.8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28060-2022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44746</v>
      </c>
      <c r="E111" s="1" t="n">
        <v>46318</v>
      </c>
      <c r="F111" t="inlineStr">
        <is>
          <t>SÖDERMANLANDS LÄN</t>
        </is>
      </c>
      <c r="G111" t="inlineStr">
        <is>
          <t>ESKILSTUNA</t>
        </is>
      </c>
      <c r="I111" t="n">
        <v>1.1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28066-2022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44746</v>
      </c>
      <c r="E112" s="1" t="n">
        <v>46318</v>
      </c>
      <c r="F112" t="inlineStr">
        <is>
          <t>SÖDERMANLANDS LÄN</t>
        </is>
      </c>
      <c r="G112" t="inlineStr">
        <is>
          <t>ESKILSTUNA</t>
        </is>
      </c>
      <c r="I112" t="n">
        <v>1.5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70038-2021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44533</v>
      </c>
      <c r="E113" s="1" t="n">
        <v>46318</v>
      </c>
      <c r="F113" t="inlineStr">
        <is>
          <t>SÖDERMANLANDS LÄN</t>
        </is>
      </c>
      <c r="G113" t="inlineStr">
        <is>
          <t>ESKILSTUNA</t>
        </is>
      </c>
      <c r="I113" t="n">
        <v>2.6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67516-2021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44524</v>
      </c>
      <c r="E114" s="1" t="n">
        <v>46318</v>
      </c>
      <c r="F114" t="inlineStr">
        <is>
          <t>SÖDERMANLANDS LÄN</t>
        </is>
      </c>
      <c r="G114" t="inlineStr">
        <is>
          <t>ESKILSTUNA</t>
        </is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32925-2022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44784</v>
      </c>
      <c r="E115" s="1" t="n">
        <v>46318</v>
      </c>
      <c r="F115" t="inlineStr">
        <is>
          <t>SÖDERMANLANDS LÄN</t>
        </is>
      </c>
      <c r="G115" t="inlineStr">
        <is>
          <t>ESKILSTUNA</t>
        </is>
      </c>
      <c r="I115" t="n">
        <v>0.6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70082-2021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44533</v>
      </c>
      <c r="E116" s="1" t="n">
        <v>46318</v>
      </c>
      <c r="F116" t="inlineStr">
        <is>
          <t>SÖDERMANLANDS LÄN</t>
        </is>
      </c>
      <c r="G116" t="inlineStr">
        <is>
          <t>ESKILSTUNA</t>
        </is>
      </c>
      <c r="I116" t="n">
        <v>0.7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13621-2022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44648</v>
      </c>
      <c r="E117" s="1" t="n">
        <v>46318</v>
      </c>
      <c r="F117" t="inlineStr">
        <is>
          <t>SÖDERMANLANDS LÄN</t>
        </is>
      </c>
      <c r="G117" t="inlineStr">
        <is>
          <t>ESKILSTUNA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4192-2022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44588</v>
      </c>
      <c r="E118" s="1" t="n">
        <v>46318</v>
      </c>
      <c r="F118" t="inlineStr">
        <is>
          <t>SÖDERMANLANDS LÄN</t>
        </is>
      </c>
      <c r="G118" t="inlineStr">
        <is>
          <t>ESKILSTUNA</t>
        </is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71980-2021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44544</v>
      </c>
      <c r="E119" s="1" t="n">
        <v>46318</v>
      </c>
      <c r="F119" t="inlineStr">
        <is>
          <t>SÖDERMANLANDS LÄN</t>
        </is>
      </c>
      <c r="G119" t="inlineStr">
        <is>
          <t>ESKILSTUNA</t>
        </is>
      </c>
      <c r="I119" t="n">
        <v>2.7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11108-2022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44628</v>
      </c>
      <c r="E120" s="1" t="n">
        <v>46318</v>
      </c>
      <c r="F120" t="inlineStr">
        <is>
          <t>SÖDERMANLANDS LÄN</t>
        </is>
      </c>
      <c r="G120" t="inlineStr">
        <is>
          <t>ESKILSTUNA</t>
        </is>
      </c>
      <c r="I120" t="n">
        <v>0.6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70620-2021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44536</v>
      </c>
      <c r="E121" s="1" t="n">
        <v>46318</v>
      </c>
      <c r="F121" t="inlineStr">
        <is>
          <t>SÖDERMANLANDS LÄN</t>
        </is>
      </c>
      <c r="G121" t="inlineStr">
        <is>
          <t>ESKILSTUNA</t>
        </is>
      </c>
      <c r="I121" t="n">
        <v>1.2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70490-2021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44536</v>
      </c>
      <c r="E122" s="1" t="n">
        <v>46318</v>
      </c>
      <c r="F122" t="inlineStr">
        <is>
          <t>SÖDERMANLANDS LÄN</t>
        </is>
      </c>
      <c r="G122" t="inlineStr">
        <is>
          <t>ESKILSTUNA</t>
        </is>
      </c>
      <c r="I122" t="n">
        <v>5.7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32406-2022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44781</v>
      </c>
      <c r="E123" s="1" t="n">
        <v>46318</v>
      </c>
      <c r="F123" t="inlineStr">
        <is>
          <t>SÖDERMANLANDS LÄN</t>
        </is>
      </c>
      <c r="G123" t="inlineStr">
        <is>
          <t>ESKILSTUNA</t>
        </is>
      </c>
      <c r="I123" t="n">
        <v>0.7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36553-2022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44804</v>
      </c>
      <c r="E124" s="1" t="n">
        <v>46318</v>
      </c>
      <c r="F124" t="inlineStr">
        <is>
          <t>SÖDERMANLANDS LÄN</t>
        </is>
      </c>
      <c r="G124" t="inlineStr">
        <is>
          <t>ESKILSTUNA</t>
        </is>
      </c>
      <c r="I124" t="n">
        <v>9.9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25961-2022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44734</v>
      </c>
      <c r="E125" s="1" t="n">
        <v>46318</v>
      </c>
      <c r="F125" t="inlineStr">
        <is>
          <t>SÖDERMANLANDS LÄN</t>
        </is>
      </c>
      <c r="G125" t="inlineStr">
        <is>
          <t>ESKILSTUNA</t>
        </is>
      </c>
      <c r="I125" t="n">
        <v>0.6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4220-2022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44588</v>
      </c>
      <c r="E126" s="1" t="n">
        <v>46318</v>
      </c>
      <c r="F126" t="inlineStr">
        <is>
          <t>SÖDERMANLANDS LÄN</t>
        </is>
      </c>
      <c r="G126" t="inlineStr">
        <is>
          <t>ESKILSTUNA</t>
        </is>
      </c>
      <c r="I126" t="n">
        <v>1.4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2218-2022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44578</v>
      </c>
      <c r="E127" s="1" t="n">
        <v>46318</v>
      </c>
      <c r="F127" t="inlineStr">
        <is>
          <t>SÖDERMANLANDS LÄN</t>
        </is>
      </c>
      <c r="G127" t="inlineStr">
        <is>
          <t>ESKILSTUNA</t>
        </is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13613-2022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44643</v>
      </c>
      <c r="E128" s="1" t="n">
        <v>46318</v>
      </c>
      <c r="F128" t="inlineStr">
        <is>
          <t>SÖDERMANLANDS LÄN</t>
        </is>
      </c>
      <c r="G128" t="inlineStr">
        <is>
          <t>ESKILSTUNA</t>
        </is>
      </c>
      <c r="I128" t="n">
        <v>0.8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32588-2022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44783</v>
      </c>
      <c r="E129" s="1" t="n">
        <v>46318</v>
      </c>
      <c r="F129" t="inlineStr">
        <is>
          <t>SÖDERMANLANDS LÄN</t>
        </is>
      </c>
      <c r="G129" t="inlineStr">
        <is>
          <t>ESKILSTUNA</t>
        </is>
      </c>
      <c r="I129" t="n">
        <v>2.6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14470-2022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44654</v>
      </c>
      <c r="E130" s="1" t="n">
        <v>46318</v>
      </c>
      <c r="F130" t="inlineStr">
        <is>
          <t>SÖDERMANLANDS LÄN</t>
        </is>
      </c>
      <c r="G130" t="inlineStr">
        <is>
          <t>ESKILSTUNA</t>
        </is>
      </c>
      <c r="I130" t="n">
        <v>2.8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32390-2022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44781</v>
      </c>
      <c r="E131" s="1" t="n">
        <v>46318</v>
      </c>
      <c r="F131" t="inlineStr">
        <is>
          <t>SÖDERMANLANDS LÄN</t>
        </is>
      </c>
      <c r="G131" t="inlineStr">
        <is>
          <t>ESKILSTUNA</t>
        </is>
      </c>
      <c r="I131" t="n">
        <v>2.1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15963-2022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44664</v>
      </c>
      <c r="E132" s="1" t="n">
        <v>46318</v>
      </c>
      <c r="F132" t="inlineStr">
        <is>
          <t>SÖDERMANLANDS LÄN</t>
        </is>
      </c>
      <c r="G132" t="inlineStr">
        <is>
          <t>ESKILSTUNA</t>
        </is>
      </c>
      <c r="H132" t="inlineStr">
        <is>
          <t>Allmännings- och besparingsskogar</t>
        </is>
      </c>
      <c r="I132" t="n">
        <v>6.7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12072-2022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44636</v>
      </c>
      <c r="E133" s="1" t="n">
        <v>46318</v>
      </c>
      <c r="F133" t="inlineStr">
        <is>
          <t>SÖDERMANLANDS LÄN</t>
        </is>
      </c>
      <c r="G133" t="inlineStr">
        <is>
          <t>ESKILSTUNA</t>
        </is>
      </c>
      <c r="I133" t="n">
        <v>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32484-2022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44782</v>
      </c>
      <c r="E134" s="1" t="n">
        <v>46318</v>
      </c>
      <c r="F134" t="inlineStr">
        <is>
          <t>SÖDERMANLANDS LÄN</t>
        </is>
      </c>
      <c r="G134" t="inlineStr">
        <is>
          <t>ESKILSTUNA</t>
        </is>
      </c>
      <c r="I134" t="n">
        <v>0.6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9521-2022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44616</v>
      </c>
      <c r="E135" s="1" t="n">
        <v>46318</v>
      </c>
      <c r="F135" t="inlineStr">
        <is>
          <t>SÖDERMANLANDS LÄN</t>
        </is>
      </c>
      <c r="G135" t="inlineStr">
        <is>
          <t>ESKILSTUNA</t>
        </is>
      </c>
      <c r="I135" t="n">
        <v>5.7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20376-2022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44699</v>
      </c>
      <c r="E136" s="1" t="n">
        <v>46318</v>
      </c>
      <c r="F136" t="inlineStr">
        <is>
          <t>SÖDERMANLANDS LÄN</t>
        </is>
      </c>
      <c r="G136" t="inlineStr">
        <is>
          <t>ESKILSTUNA</t>
        </is>
      </c>
      <c r="H136" t="inlineStr">
        <is>
          <t>Naturvårdsverket</t>
        </is>
      </c>
      <c r="I136" t="n">
        <v>1.9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50269-2022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44865</v>
      </c>
      <c r="E137" s="1" t="n">
        <v>46318</v>
      </c>
      <c r="F137" t="inlineStr">
        <is>
          <t>SÖDERMANLANDS LÄN</t>
        </is>
      </c>
      <c r="G137" t="inlineStr">
        <is>
          <t>ESKILSTUNA</t>
        </is>
      </c>
      <c r="H137" t="inlineStr">
        <is>
          <t>Allmännings- och besparingsskogar</t>
        </is>
      </c>
      <c r="I137" t="n">
        <v>0.6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70191-2021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44533</v>
      </c>
      <c r="E138" s="1" t="n">
        <v>46318</v>
      </c>
      <c r="F138" t="inlineStr">
        <is>
          <t>SÖDERMANLANDS LÄN</t>
        </is>
      </c>
      <c r="G138" t="inlineStr">
        <is>
          <t>ESKILSTUNA</t>
        </is>
      </c>
      <c r="I138" t="n">
        <v>1.1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28577-2022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44748</v>
      </c>
      <c r="E139" s="1" t="n">
        <v>46318</v>
      </c>
      <c r="F139" t="inlineStr">
        <is>
          <t>SÖDERMANLANDS LÄN</t>
        </is>
      </c>
      <c r="G139" t="inlineStr">
        <is>
          <t>ESKILSTUNA</t>
        </is>
      </c>
      <c r="I139" t="n">
        <v>2.6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29750-2022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44755</v>
      </c>
      <c r="E140" s="1" t="n">
        <v>46318</v>
      </c>
      <c r="F140" t="inlineStr">
        <is>
          <t>SÖDERMANLANDS LÄN</t>
        </is>
      </c>
      <c r="G140" t="inlineStr">
        <is>
          <t>ESKILSTUNA</t>
        </is>
      </c>
      <c r="I140" t="n">
        <v>20.1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65406-2021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44515</v>
      </c>
      <c r="E141" s="1" t="n">
        <v>46318</v>
      </c>
      <c r="F141" t="inlineStr">
        <is>
          <t>SÖDERMANLANDS LÄN</t>
        </is>
      </c>
      <c r="G141" t="inlineStr">
        <is>
          <t>ESKILSTUNA</t>
        </is>
      </c>
      <c r="H141" t="inlineStr">
        <is>
          <t>Kyrkan</t>
        </is>
      </c>
      <c r="I141" t="n">
        <v>3.4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73480-2021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44550</v>
      </c>
      <c r="E142" s="1" t="n">
        <v>46318</v>
      </c>
      <c r="F142" t="inlineStr">
        <is>
          <t>SÖDERMANLANDS LÄN</t>
        </is>
      </c>
      <c r="G142" t="inlineStr">
        <is>
          <t>ESKILSTUNA</t>
        </is>
      </c>
      <c r="I142" t="n">
        <v>1.8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23870-2022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44722</v>
      </c>
      <c r="E143" s="1" t="n">
        <v>46318</v>
      </c>
      <c r="F143" t="inlineStr">
        <is>
          <t>SÖDERMANLANDS LÄN</t>
        </is>
      </c>
      <c r="G143" t="inlineStr">
        <is>
          <t>ESKILSTUNA</t>
        </is>
      </c>
      <c r="H143" t="inlineStr">
        <is>
          <t>Sveaskog</t>
        </is>
      </c>
      <c r="I143" t="n">
        <v>0.6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55785-2022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44886</v>
      </c>
      <c r="E144" s="1" t="n">
        <v>46318</v>
      </c>
      <c r="F144" t="inlineStr">
        <is>
          <t>SÖDERMANLANDS LÄN</t>
        </is>
      </c>
      <c r="G144" t="inlineStr">
        <is>
          <t>ESKILSTUNA</t>
        </is>
      </c>
      <c r="I144" t="n">
        <v>5.6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33703-2022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44789</v>
      </c>
      <c r="E145" s="1" t="n">
        <v>46318</v>
      </c>
      <c r="F145" t="inlineStr">
        <is>
          <t>SÖDERMANLANDS LÄN</t>
        </is>
      </c>
      <c r="G145" t="inlineStr">
        <is>
          <t>ESKILSTUNA</t>
        </is>
      </c>
      <c r="I145" t="n">
        <v>4.3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1565-2022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44573</v>
      </c>
      <c r="E146" s="1" t="n">
        <v>46318</v>
      </c>
      <c r="F146" t="inlineStr">
        <is>
          <t>SÖDERMANLANDS LÄN</t>
        </is>
      </c>
      <c r="G146" t="inlineStr">
        <is>
          <t>ESKILSTUNA</t>
        </is>
      </c>
      <c r="I146" t="n">
        <v>5.8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15247-2022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44658</v>
      </c>
      <c r="E147" s="1" t="n">
        <v>46318</v>
      </c>
      <c r="F147" t="inlineStr">
        <is>
          <t>SÖDERMANLANDS LÄN</t>
        </is>
      </c>
      <c r="G147" t="inlineStr">
        <is>
          <t>ESKILSTUNA</t>
        </is>
      </c>
      <c r="H147" t="inlineStr">
        <is>
          <t>Allmännings- och besparingsskogar</t>
        </is>
      </c>
      <c r="I147" t="n">
        <v>4.2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2215-2022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44578</v>
      </c>
      <c r="E148" s="1" t="n">
        <v>46318</v>
      </c>
      <c r="F148" t="inlineStr">
        <is>
          <t>SÖDERMANLANDS LÄN</t>
        </is>
      </c>
      <c r="G148" t="inlineStr">
        <is>
          <t>ESKILSTUNA</t>
        </is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64147-2021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44510</v>
      </c>
      <c r="E149" s="1" t="n">
        <v>46318</v>
      </c>
      <c r="F149" t="inlineStr">
        <is>
          <t>SÖDERMANLANDS LÄN</t>
        </is>
      </c>
      <c r="G149" t="inlineStr">
        <is>
          <t>ESKILSTUNA</t>
        </is>
      </c>
      <c r="I149" t="n">
        <v>1.4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45879-2022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44844</v>
      </c>
      <c r="E150" s="1" t="n">
        <v>46318</v>
      </c>
      <c r="F150" t="inlineStr">
        <is>
          <t>SÖDERMANLANDS LÄN</t>
        </is>
      </c>
      <c r="G150" t="inlineStr">
        <is>
          <t>ESKILSTUNA</t>
        </is>
      </c>
      <c r="I150" t="n">
        <v>0.5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36643-2022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44804</v>
      </c>
      <c r="E151" s="1" t="n">
        <v>46318</v>
      </c>
      <c r="F151" t="inlineStr">
        <is>
          <t>SÖDERMANLANDS LÄN</t>
        </is>
      </c>
      <c r="G151" t="inlineStr">
        <is>
          <t>ESKILSTUNA</t>
        </is>
      </c>
      <c r="I151" t="n">
        <v>3.7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43488-2024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45568</v>
      </c>
      <c r="E152" s="1" t="n">
        <v>46318</v>
      </c>
      <c r="F152" t="inlineStr">
        <is>
          <t>SÖDERMANLANDS LÄN</t>
        </is>
      </c>
      <c r="G152" t="inlineStr">
        <is>
          <t>ESKILSTUNA</t>
        </is>
      </c>
      <c r="H152" t="inlineStr">
        <is>
          <t>Allmännings- och besparingsskogar</t>
        </is>
      </c>
      <c r="I152" t="n">
        <v>1.3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43489-2024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45568</v>
      </c>
      <c r="E153" s="1" t="n">
        <v>46318</v>
      </c>
      <c r="F153" t="inlineStr">
        <is>
          <t>SÖDERMANLANDS LÄN</t>
        </is>
      </c>
      <c r="G153" t="inlineStr">
        <is>
          <t>ESKILSTUNA</t>
        </is>
      </c>
      <c r="H153" t="inlineStr">
        <is>
          <t>Allmännings- och besparingsskogar</t>
        </is>
      </c>
      <c r="I153" t="n">
        <v>1.3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24537-2025</t>
        </is>
      </c>
      <c r="B154" t="inlineStr">
        <is>
          <t>avverkningsanmälan</t>
        </is>
      </c>
      <c r="C154" t="inlineStr">
        <is>
          <t>Avverkning för att bevara och utveckla /försöksver</t>
        </is>
      </c>
      <c r="D154" s="1" t="n">
        <v>45798</v>
      </c>
      <c r="E154" s="1" t="n">
        <v>46318</v>
      </c>
      <c r="F154" t="inlineStr">
        <is>
          <t>SÖDERMANLANDS LÄN</t>
        </is>
      </c>
      <c r="G154" t="inlineStr">
        <is>
          <t>ESKILSTUNA</t>
        </is>
      </c>
      <c r="H154" t="inlineStr">
        <is>
          <t>Sveaskog</t>
        </is>
      </c>
      <c r="I154" t="n">
        <v>1.2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30373-2023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45099</v>
      </c>
      <c r="E155" s="1" t="n">
        <v>46318</v>
      </c>
      <c r="F155" t="inlineStr">
        <is>
          <t>SÖDERMANLANDS LÄN</t>
        </is>
      </c>
      <c r="G155" t="inlineStr">
        <is>
          <t>ESKILSTUNA</t>
        </is>
      </c>
      <c r="I155" t="n">
        <v>3.9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10272-2024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45365</v>
      </c>
      <c r="E156" s="1" t="n">
        <v>46318</v>
      </c>
      <c r="F156" t="inlineStr">
        <is>
          <t>SÖDERMANLANDS LÄN</t>
        </is>
      </c>
      <c r="G156" t="inlineStr">
        <is>
          <t>ESKILSTUNA</t>
        </is>
      </c>
      <c r="I156" t="n">
        <v>0.5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2343-2023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44942</v>
      </c>
      <c r="E157" s="1" t="n">
        <v>46318</v>
      </c>
      <c r="F157" t="inlineStr">
        <is>
          <t>SÖDERMANLANDS LÄN</t>
        </is>
      </c>
      <c r="G157" t="inlineStr">
        <is>
          <t>ESKILSTUNA</t>
        </is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13295-2023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45005</v>
      </c>
      <c r="E158" s="1" t="n">
        <v>46318</v>
      </c>
      <c r="F158" t="inlineStr">
        <is>
          <t>SÖDERMANLANDS LÄN</t>
        </is>
      </c>
      <c r="G158" t="inlineStr">
        <is>
          <t>ESKILSTUNA</t>
        </is>
      </c>
      <c r="I158" t="n">
        <v>1.3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1174-2022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44572</v>
      </c>
      <c r="E159" s="1" t="n">
        <v>46318</v>
      </c>
      <c r="F159" t="inlineStr">
        <is>
          <t>SÖDERMANLANDS LÄN</t>
        </is>
      </c>
      <c r="G159" t="inlineStr">
        <is>
          <t>ESKILSTUNA</t>
        </is>
      </c>
      <c r="I159" t="n">
        <v>1.6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3138-2023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44946</v>
      </c>
      <c r="E160" s="1" t="n">
        <v>46318</v>
      </c>
      <c r="F160" t="inlineStr">
        <is>
          <t>SÖDERMANLANDS LÄN</t>
        </is>
      </c>
      <c r="G160" t="inlineStr">
        <is>
          <t>ESKILSTUNA</t>
        </is>
      </c>
      <c r="I160" t="n">
        <v>1.6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13385-2023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45005</v>
      </c>
      <c r="E161" s="1" t="n">
        <v>46318</v>
      </c>
      <c r="F161" t="inlineStr">
        <is>
          <t>SÖDERMANLANDS LÄN</t>
        </is>
      </c>
      <c r="G161" t="inlineStr">
        <is>
          <t>ESKILSTUNA</t>
        </is>
      </c>
      <c r="I161" t="n">
        <v>7.1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35076-2022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44797</v>
      </c>
      <c r="E162" s="1" t="n">
        <v>46318</v>
      </c>
      <c r="F162" t="inlineStr">
        <is>
          <t>SÖDERMANLANDS LÄN</t>
        </is>
      </c>
      <c r="G162" t="inlineStr">
        <is>
          <t>ESKILSTUNA</t>
        </is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61989-2023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45266</v>
      </c>
      <c r="E163" s="1" t="n">
        <v>46318</v>
      </c>
      <c r="F163" t="inlineStr">
        <is>
          <t>SÖDERMANLANDS LÄN</t>
        </is>
      </c>
      <c r="G163" t="inlineStr">
        <is>
          <t>ESKILSTUNA</t>
        </is>
      </c>
      <c r="I163" t="n">
        <v>2.1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19502-2024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45429</v>
      </c>
      <c r="E164" s="1" t="n">
        <v>46318</v>
      </c>
      <c r="F164" t="inlineStr">
        <is>
          <t>SÖDERMANLANDS LÄN</t>
        </is>
      </c>
      <c r="G164" t="inlineStr">
        <is>
          <t>ESKILSTUNA</t>
        </is>
      </c>
      <c r="I164" t="n">
        <v>1.7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61416-2022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44916</v>
      </c>
      <c r="E165" s="1" t="n">
        <v>46318</v>
      </c>
      <c r="F165" t="inlineStr">
        <is>
          <t>SÖDERMANLANDS LÄN</t>
        </is>
      </c>
      <c r="G165" t="inlineStr">
        <is>
          <t>ESKILSTUNA</t>
        </is>
      </c>
      <c r="I165" t="n">
        <v>0.6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42801-2022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44832</v>
      </c>
      <c r="E166" s="1" t="n">
        <v>46318</v>
      </c>
      <c r="F166" t="inlineStr">
        <is>
          <t>SÖDERMANLANDS LÄN</t>
        </is>
      </c>
      <c r="G166" t="inlineStr">
        <is>
          <t>ESKILSTUNA</t>
        </is>
      </c>
      <c r="I166" t="n">
        <v>19.9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4211-2022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44588</v>
      </c>
      <c r="E167" s="1" t="n">
        <v>46318</v>
      </c>
      <c r="F167" t="inlineStr">
        <is>
          <t>SÖDERMANLANDS LÄN</t>
        </is>
      </c>
      <c r="G167" t="inlineStr">
        <is>
          <t>ESKILSTUNA</t>
        </is>
      </c>
      <c r="I167" t="n">
        <v>0.8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61367-2021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44499</v>
      </c>
      <c r="E168" s="1" t="n">
        <v>46318</v>
      </c>
      <c r="F168" t="inlineStr">
        <is>
          <t>SÖDERMANLANDS LÄN</t>
        </is>
      </c>
      <c r="G168" t="inlineStr">
        <is>
          <t>ESKILSTUNA</t>
        </is>
      </c>
      <c r="I168" t="n">
        <v>3.8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13426-2024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45387</v>
      </c>
      <c r="E169" s="1" t="n">
        <v>46318</v>
      </c>
      <c r="F169" t="inlineStr">
        <is>
          <t>SÖDERMANLANDS LÄN</t>
        </is>
      </c>
      <c r="G169" t="inlineStr">
        <is>
          <t>ESKILSTUNA</t>
        </is>
      </c>
      <c r="I169" t="n">
        <v>1.7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55800-2022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44888</v>
      </c>
      <c r="E170" s="1" t="n">
        <v>46318</v>
      </c>
      <c r="F170" t="inlineStr">
        <is>
          <t>SÖDERMANLANDS LÄN</t>
        </is>
      </c>
      <c r="G170" t="inlineStr">
        <is>
          <t>ESKILSTUNA</t>
        </is>
      </c>
      <c r="I170" t="n">
        <v>0.9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14326-2023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45012</v>
      </c>
      <c r="E171" s="1" t="n">
        <v>46318</v>
      </c>
      <c r="F171" t="inlineStr">
        <is>
          <t>SÖDERMANLANDS LÄN</t>
        </is>
      </c>
      <c r="G171" t="inlineStr">
        <is>
          <t>ESKILSTUNA</t>
        </is>
      </c>
      <c r="H171" t="inlineStr">
        <is>
          <t>Kommuner</t>
        </is>
      </c>
      <c r="I171" t="n">
        <v>3.7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38075-2024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45544</v>
      </c>
      <c r="E172" s="1" t="n">
        <v>46318</v>
      </c>
      <c r="F172" t="inlineStr">
        <is>
          <t>SÖDERMANLANDS LÄN</t>
        </is>
      </c>
      <c r="G172" t="inlineStr">
        <is>
          <t>ESKILSTUNA</t>
        </is>
      </c>
      <c r="I172" t="n">
        <v>2.4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15592-2023</t>
        </is>
      </c>
      <c r="B173" t="inlineStr">
        <is>
          <t>avverkningsanmälan</t>
        </is>
      </c>
      <c r="C173" t="inlineStr">
        <is>
          <t>Avverkning för annat ändamål</t>
        </is>
      </c>
      <c r="D173" s="1" t="n">
        <v>45020</v>
      </c>
      <c r="E173" s="1" t="n">
        <v>46318</v>
      </c>
      <c r="F173" t="inlineStr">
        <is>
          <t>SÖDERMANLANDS LÄN</t>
        </is>
      </c>
      <c r="G173" t="inlineStr">
        <is>
          <t>ESKILSTUNA</t>
        </is>
      </c>
      <c r="I173" t="n">
        <v>7.9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6659-2024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45341</v>
      </c>
      <c r="E174" s="1" t="n">
        <v>46318</v>
      </c>
      <c r="F174" t="inlineStr">
        <is>
          <t>SÖDERMANLANDS LÄN</t>
        </is>
      </c>
      <c r="G174" t="inlineStr">
        <is>
          <t>ESKILSTUNA</t>
        </is>
      </c>
      <c r="I174" t="n">
        <v>2.7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36648-2022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44804</v>
      </c>
      <c r="E175" s="1" t="n">
        <v>46318</v>
      </c>
      <c r="F175" t="inlineStr">
        <is>
          <t>SÖDERMANLANDS LÄN</t>
        </is>
      </c>
      <c r="G175" t="inlineStr">
        <is>
          <t>ESKILSTUNA</t>
        </is>
      </c>
      <c r="I175" t="n">
        <v>3.3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61988-2022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44918</v>
      </c>
      <c r="E176" s="1" t="n">
        <v>46318</v>
      </c>
      <c r="F176" t="inlineStr">
        <is>
          <t>SÖDERMANLANDS LÄN</t>
        </is>
      </c>
      <c r="G176" t="inlineStr">
        <is>
          <t>ESKILSTUNA</t>
        </is>
      </c>
      <c r="I176" t="n">
        <v>7.1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29646-2023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45107</v>
      </c>
      <c r="E177" s="1" t="n">
        <v>46318</v>
      </c>
      <c r="F177" t="inlineStr">
        <is>
          <t>SÖDERMANLANDS LÄN</t>
        </is>
      </c>
      <c r="G177" t="inlineStr">
        <is>
          <t>ESKILSTUNA</t>
        </is>
      </c>
      <c r="H177" t="inlineStr">
        <is>
          <t>Allmännings- och besparingsskogar</t>
        </is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25229-2022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44729</v>
      </c>
      <c r="E178" s="1" t="n">
        <v>46318</v>
      </c>
      <c r="F178" t="inlineStr">
        <is>
          <t>SÖDERMANLANDS LÄN</t>
        </is>
      </c>
      <c r="G178" t="inlineStr">
        <is>
          <t>ESKILSTUNA</t>
        </is>
      </c>
      <c r="H178" t="inlineStr">
        <is>
          <t>Allmännings- och besparingsskogar</t>
        </is>
      </c>
      <c r="I178" t="n">
        <v>1.4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10010-2024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45363</v>
      </c>
      <c r="E179" s="1" t="n">
        <v>46318</v>
      </c>
      <c r="F179" t="inlineStr">
        <is>
          <t>SÖDERMANLANDS LÄN</t>
        </is>
      </c>
      <c r="G179" t="inlineStr">
        <is>
          <t>ESKILSTUNA</t>
        </is>
      </c>
      <c r="H179" t="inlineStr">
        <is>
          <t>Allmännings- och besparingsskogar</t>
        </is>
      </c>
      <c r="I179" t="n">
        <v>1.4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545-2025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45664</v>
      </c>
      <c r="E180" s="1" t="n">
        <v>46318</v>
      </c>
      <c r="F180" t="inlineStr">
        <is>
          <t>SÖDERMANLANDS LÄN</t>
        </is>
      </c>
      <c r="G180" t="inlineStr">
        <is>
          <t>ESKILSTUNA</t>
        </is>
      </c>
      <c r="H180" t="inlineStr">
        <is>
          <t>Allmännings- och besparingsskogar</t>
        </is>
      </c>
      <c r="I180" t="n">
        <v>1.2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30096-2025</t>
        </is>
      </c>
      <c r="B181" t="inlineStr">
        <is>
          <t>avverkningsanmälan</t>
        </is>
      </c>
      <c r="C181" t="inlineStr">
        <is>
          <t>Avverkning för att bevara och utveckla /försöksver</t>
        </is>
      </c>
      <c r="D181" s="1" t="n">
        <v>45826</v>
      </c>
      <c r="E181" s="1" t="n">
        <v>46318</v>
      </c>
      <c r="F181" t="inlineStr">
        <is>
          <t>SÖDERMANLANDS LÄN</t>
        </is>
      </c>
      <c r="G181" t="inlineStr">
        <is>
          <t>ESKILSTUNA</t>
        </is>
      </c>
      <c r="I181" t="n">
        <v>0.8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26871-2023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45093</v>
      </c>
      <c r="E182" s="1" t="n">
        <v>46318</v>
      </c>
      <c r="F182" t="inlineStr">
        <is>
          <t>SÖDERMANLANDS LÄN</t>
        </is>
      </c>
      <c r="G182" t="inlineStr">
        <is>
          <t>ESKILSTUNA</t>
        </is>
      </c>
      <c r="I182" t="n">
        <v>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30004-2025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45826</v>
      </c>
      <c r="E183" s="1" t="n">
        <v>46318</v>
      </c>
      <c r="F183" t="inlineStr">
        <is>
          <t>SÖDERMANLANDS LÄN</t>
        </is>
      </c>
      <c r="G183" t="inlineStr">
        <is>
          <t>ESKILSTUNA</t>
        </is>
      </c>
      <c r="I183" t="n">
        <v>5.5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65595-2021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44516</v>
      </c>
      <c r="E184" s="1" t="n">
        <v>46318</v>
      </c>
      <c r="F184" t="inlineStr">
        <is>
          <t>SÖDERMANLANDS LÄN</t>
        </is>
      </c>
      <c r="G184" t="inlineStr">
        <is>
          <t>ESKILSTUNA</t>
        </is>
      </c>
      <c r="I184" t="n">
        <v>9.5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30117-2025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45826</v>
      </c>
      <c r="E185" s="1" t="n">
        <v>46318</v>
      </c>
      <c r="F185" t="inlineStr">
        <is>
          <t>SÖDERMANLANDS LÄN</t>
        </is>
      </c>
      <c r="G185" t="inlineStr">
        <is>
          <t>ESKILSTUNA</t>
        </is>
      </c>
      <c r="I185" t="n">
        <v>0.5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55673-2024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45622</v>
      </c>
      <c r="E186" s="1" t="n">
        <v>46318</v>
      </c>
      <c r="F186" t="inlineStr">
        <is>
          <t>SÖDERMANLANDS LÄN</t>
        </is>
      </c>
      <c r="G186" t="inlineStr">
        <is>
          <t>ESKILSTUNA</t>
        </is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6739-2023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44966</v>
      </c>
      <c r="E187" s="1" t="n">
        <v>46318</v>
      </c>
      <c r="F187" t="inlineStr">
        <is>
          <t>SÖDERMANLANDS LÄN</t>
        </is>
      </c>
      <c r="G187" t="inlineStr">
        <is>
          <t>ESKILSTUNA</t>
        </is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47581-2024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45587</v>
      </c>
      <c r="E188" s="1" t="n">
        <v>46318</v>
      </c>
      <c r="F188" t="inlineStr">
        <is>
          <t>SÖDERMANLANDS LÄN</t>
        </is>
      </c>
      <c r="G188" t="inlineStr">
        <is>
          <t>ESKILSTUNA</t>
        </is>
      </c>
      <c r="I188" t="n">
        <v>3.2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30113-2025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45826</v>
      </c>
      <c r="E189" s="1" t="n">
        <v>46318</v>
      </c>
      <c r="F189" t="inlineStr">
        <is>
          <t>SÖDERMANLANDS LÄN</t>
        </is>
      </c>
      <c r="G189" t="inlineStr">
        <is>
          <t>ESKILSTUNA</t>
        </is>
      </c>
      <c r="I189" t="n">
        <v>0.9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10715-2022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44626</v>
      </c>
      <c r="E190" s="1" t="n">
        <v>46318</v>
      </c>
      <c r="F190" t="inlineStr">
        <is>
          <t>SÖDERMANLANDS LÄN</t>
        </is>
      </c>
      <c r="G190" t="inlineStr">
        <is>
          <t>ESKILSTUNA</t>
        </is>
      </c>
      <c r="I190" t="n">
        <v>3.7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30960-2023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45103</v>
      </c>
      <c r="E191" s="1" t="n">
        <v>46318</v>
      </c>
      <c r="F191" t="inlineStr">
        <is>
          <t>SÖDERMANLANDS LÄN</t>
        </is>
      </c>
      <c r="G191" t="inlineStr">
        <is>
          <t>ESKILSTUNA</t>
        </is>
      </c>
      <c r="I191" t="n">
        <v>2.1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30971-2023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45103</v>
      </c>
      <c r="E192" s="1" t="n">
        <v>46318</v>
      </c>
      <c r="F192" t="inlineStr">
        <is>
          <t>SÖDERMANLANDS LÄN</t>
        </is>
      </c>
      <c r="G192" t="inlineStr">
        <is>
          <t>ESKILSTUNA</t>
        </is>
      </c>
      <c r="I192" t="n">
        <v>1.2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40386-2022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44819</v>
      </c>
      <c r="E193" s="1" t="n">
        <v>46318</v>
      </c>
      <c r="F193" t="inlineStr">
        <is>
          <t>SÖDERMANLANDS LÄN</t>
        </is>
      </c>
      <c r="G193" t="inlineStr">
        <is>
          <t>ESKILSTUNA</t>
        </is>
      </c>
      <c r="I193" t="n">
        <v>11.6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32708-2024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45514</v>
      </c>
      <c r="E194" s="1" t="n">
        <v>46318</v>
      </c>
      <c r="F194" t="inlineStr">
        <is>
          <t>SÖDERMANLANDS LÄN</t>
        </is>
      </c>
      <c r="G194" t="inlineStr">
        <is>
          <t>ESKILSTUNA</t>
        </is>
      </c>
      <c r="I194" t="n">
        <v>1.4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4549-2023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44956</v>
      </c>
      <c r="E195" s="1" t="n">
        <v>46318</v>
      </c>
      <c r="F195" t="inlineStr">
        <is>
          <t>SÖDERMANLANDS LÄN</t>
        </is>
      </c>
      <c r="G195" t="inlineStr">
        <is>
          <t>ESKILSTUNA</t>
        </is>
      </c>
      <c r="I195" t="n">
        <v>0.8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53374-2022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44874</v>
      </c>
      <c r="E196" s="1" t="n">
        <v>46318</v>
      </c>
      <c r="F196" t="inlineStr">
        <is>
          <t>SÖDERMANLANDS LÄN</t>
        </is>
      </c>
      <c r="G196" t="inlineStr">
        <is>
          <t>ESKILSTUNA</t>
        </is>
      </c>
      <c r="I196" t="n">
        <v>3.8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39460-2025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45889</v>
      </c>
      <c r="E197" s="1" t="n">
        <v>46318</v>
      </c>
      <c r="F197" t="inlineStr">
        <is>
          <t>SÖDERMANLANDS LÄN</t>
        </is>
      </c>
      <c r="G197" t="inlineStr">
        <is>
          <t>ESKILSTUNA</t>
        </is>
      </c>
      <c r="H197" t="inlineStr">
        <is>
          <t>Kyrkan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39461-2025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45889</v>
      </c>
      <c r="E198" s="1" t="n">
        <v>46318</v>
      </c>
      <c r="F198" t="inlineStr">
        <is>
          <t>SÖDERMANLANDS LÄN</t>
        </is>
      </c>
      <c r="G198" t="inlineStr">
        <is>
          <t>ESKILSTUNA</t>
        </is>
      </c>
      <c r="H198" t="inlineStr">
        <is>
          <t>Kyrkan</t>
        </is>
      </c>
      <c r="I198" t="n">
        <v>0.9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19523-2024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45429</v>
      </c>
      <c r="E199" s="1" t="n">
        <v>46318</v>
      </c>
      <c r="F199" t="inlineStr">
        <is>
          <t>SÖDERMANLANDS LÄN</t>
        </is>
      </c>
      <c r="G199" t="inlineStr">
        <is>
          <t>ESKILSTUNA</t>
        </is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1715-2023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44938</v>
      </c>
      <c r="E200" s="1" t="n">
        <v>46318</v>
      </c>
      <c r="F200" t="inlineStr">
        <is>
          <t>SÖDERMANLANDS LÄN</t>
        </is>
      </c>
      <c r="G200" t="inlineStr">
        <is>
          <t>ESKILSTUNA</t>
        </is>
      </c>
      <c r="I200" t="n">
        <v>1.4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5713-2025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45694</v>
      </c>
      <c r="E201" s="1" t="n">
        <v>46318</v>
      </c>
      <c r="F201" t="inlineStr">
        <is>
          <t>SÖDERMANLANDS LÄN</t>
        </is>
      </c>
      <c r="G201" t="inlineStr">
        <is>
          <t>ESKILSTUNA</t>
        </is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49470-2023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45211</v>
      </c>
      <c r="E202" s="1" t="n">
        <v>46318</v>
      </c>
      <c r="F202" t="inlineStr">
        <is>
          <t>SÖDERMANLANDS LÄN</t>
        </is>
      </c>
      <c r="G202" t="inlineStr">
        <is>
          <t>ESKILSTUNA</t>
        </is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46872-2022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44851</v>
      </c>
      <c r="E203" s="1" t="n">
        <v>46318</v>
      </c>
      <c r="F203" t="inlineStr">
        <is>
          <t>SÖDERMANLANDS LÄN</t>
        </is>
      </c>
      <c r="G203" t="inlineStr">
        <is>
          <t>ESKILSTUNA</t>
        </is>
      </c>
      <c r="I203" t="n">
        <v>3.1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22058-2023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45069</v>
      </c>
      <c r="E204" s="1" t="n">
        <v>46318</v>
      </c>
      <c r="F204" t="inlineStr">
        <is>
          <t>SÖDERMANLANDS LÄN</t>
        </is>
      </c>
      <c r="G204" t="inlineStr">
        <is>
          <t>ESKILSTUNA</t>
        </is>
      </c>
      <c r="I204" t="n">
        <v>0.8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52290-2024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45608</v>
      </c>
      <c r="E205" s="1" t="n">
        <v>46318</v>
      </c>
      <c r="F205" t="inlineStr">
        <is>
          <t>SÖDERMANLANDS LÄN</t>
        </is>
      </c>
      <c r="G205" t="inlineStr">
        <is>
          <t>ESKILSTUNA</t>
        </is>
      </c>
      <c r="H205" t="inlineStr">
        <is>
          <t>Övriga Aktiebolag</t>
        </is>
      </c>
      <c r="I205" t="n">
        <v>0.4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41597-2025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45901</v>
      </c>
      <c r="E206" s="1" t="n">
        <v>46318</v>
      </c>
      <c r="F206" t="inlineStr">
        <is>
          <t>SÖDERMANLANDS LÄN</t>
        </is>
      </c>
      <c r="G206" t="inlineStr">
        <is>
          <t>ESKILSTUNA</t>
        </is>
      </c>
      <c r="I206" t="n">
        <v>0.5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41183-2025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45898</v>
      </c>
      <c r="E207" s="1" t="n">
        <v>46318</v>
      </c>
      <c r="F207" t="inlineStr">
        <is>
          <t>SÖDERMANLANDS LÄN</t>
        </is>
      </c>
      <c r="G207" t="inlineStr">
        <is>
          <t>ESKILSTUNA</t>
        </is>
      </c>
      <c r="I207" t="n">
        <v>4.7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7406-2022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44606</v>
      </c>
      <c r="E208" s="1" t="n">
        <v>46318</v>
      </c>
      <c r="F208" t="inlineStr">
        <is>
          <t>SÖDERMANLANDS LÄN</t>
        </is>
      </c>
      <c r="G208" t="inlineStr">
        <is>
          <t>ESKILSTUNA</t>
        </is>
      </c>
      <c r="H208" t="inlineStr">
        <is>
          <t>Kyrkan</t>
        </is>
      </c>
      <c r="I208" t="n">
        <v>3.3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30968-2022</t>
        </is>
      </c>
      <c r="B209" t="inlineStr">
        <is>
          <t>avverkningsanmälan</t>
        </is>
      </c>
      <c r="C209" t="inlineStr">
        <is>
          <t>Avverkning för att bevara och utveckla /försöksver</t>
        </is>
      </c>
      <c r="D209" s="1" t="n">
        <v>44768</v>
      </c>
      <c r="E209" s="1" t="n">
        <v>46318</v>
      </c>
      <c r="F209" t="inlineStr">
        <is>
          <t>SÖDERMANLANDS LÄN</t>
        </is>
      </c>
      <c r="G209" t="inlineStr">
        <is>
          <t>ESKILSTUNA</t>
        </is>
      </c>
      <c r="H209" t="inlineStr">
        <is>
          <t>Sveaskog</t>
        </is>
      </c>
      <c r="I209" t="n">
        <v>3.8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53181-2024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45611</v>
      </c>
      <c r="E210" s="1" t="n">
        <v>46318</v>
      </c>
      <c r="F210" t="inlineStr">
        <is>
          <t>SÖDERMANLANDS LÄN</t>
        </is>
      </c>
      <c r="G210" t="inlineStr">
        <is>
          <t>ESKILSTUNA</t>
        </is>
      </c>
      <c r="I210" t="n">
        <v>2.4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55963-2023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45240</v>
      </c>
      <c r="E211" s="1" t="n">
        <v>46318</v>
      </c>
      <c r="F211" t="inlineStr">
        <is>
          <t>SÖDERMANLANDS LÄN</t>
        </is>
      </c>
      <c r="G211" t="inlineStr">
        <is>
          <t>ESKILSTUNA</t>
        </is>
      </c>
      <c r="I211" t="n">
        <v>6.2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51547-2024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45604</v>
      </c>
      <c r="E212" s="1" t="n">
        <v>46318</v>
      </c>
      <c r="F212" t="inlineStr">
        <is>
          <t>SÖDERMANLANDS LÄN</t>
        </is>
      </c>
      <c r="G212" t="inlineStr">
        <is>
          <t>ESKILSTUNA</t>
        </is>
      </c>
      <c r="I212" t="n">
        <v>4.6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43204-2025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45910</v>
      </c>
      <c r="E213" s="1" t="n">
        <v>46318</v>
      </c>
      <c r="F213" t="inlineStr">
        <is>
          <t>SÖDERMANLANDS LÄN</t>
        </is>
      </c>
      <c r="G213" t="inlineStr">
        <is>
          <t>ESKILSTUNA</t>
        </is>
      </c>
      <c r="I213" t="n">
        <v>0.8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12300-2023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44998</v>
      </c>
      <c r="E214" s="1" t="n">
        <v>46318</v>
      </c>
      <c r="F214" t="inlineStr">
        <is>
          <t>SÖDERMANLANDS LÄN</t>
        </is>
      </c>
      <c r="G214" t="inlineStr">
        <is>
          <t>ESKILSTUNA</t>
        </is>
      </c>
      <c r="I214" t="n">
        <v>2.5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61298-2022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44915</v>
      </c>
      <c r="E215" s="1" t="n">
        <v>46318</v>
      </c>
      <c r="F215" t="inlineStr">
        <is>
          <t>SÖDERMANLANDS LÄN</t>
        </is>
      </c>
      <c r="G215" t="inlineStr">
        <is>
          <t>ESKILSTUNA</t>
        </is>
      </c>
      <c r="I215" t="n">
        <v>6.3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6725-2023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44966</v>
      </c>
      <c r="E216" s="1" t="n">
        <v>46318</v>
      </c>
      <c r="F216" t="inlineStr">
        <is>
          <t>SÖDERMANLANDS LÄN</t>
        </is>
      </c>
      <c r="G216" t="inlineStr">
        <is>
          <t>ESKILSTUNA</t>
        </is>
      </c>
      <c r="I216" t="n">
        <v>2.4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50310-2022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44865</v>
      </c>
      <c r="E217" s="1" t="n">
        <v>46318</v>
      </c>
      <c r="F217" t="inlineStr">
        <is>
          <t>SÖDERMANLANDS LÄN</t>
        </is>
      </c>
      <c r="G217" t="inlineStr">
        <is>
          <t>ESKILSTUNA</t>
        </is>
      </c>
      <c r="H217" t="inlineStr">
        <is>
          <t>Kyrkan</t>
        </is>
      </c>
      <c r="I217" t="n">
        <v>2.3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4621-2022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44592</v>
      </c>
      <c r="E218" s="1" t="n">
        <v>46318</v>
      </c>
      <c r="F218" t="inlineStr">
        <is>
          <t>SÖDERMANLANDS LÄN</t>
        </is>
      </c>
      <c r="G218" t="inlineStr">
        <is>
          <t>ESKILSTUNA</t>
        </is>
      </c>
      <c r="I218" t="n">
        <v>5.1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24519-2024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45460</v>
      </c>
      <c r="E219" s="1" t="n">
        <v>46318</v>
      </c>
      <c r="F219" t="inlineStr">
        <is>
          <t>SÖDERMANLANDS LÄN</t>
        </is>
      </c>
      <c r="G219" t="inlineStr">
        <is>
          <t>ESKILSTUNA</t>
        </is>
      </c>
      <c r="I219" t="n">
        <v>3.6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25730-2024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45464</v>
      </c>
      <c r="E220" s="1" t="n">
        <v>46318</v>
      </c>
      <c r="F220" t="inlineStr">
        <is>
          <t>SÖDERMANLANDS LÄN</t>
        </is>
      </c>
      <c r="G220" t="inlineStr">
        <is>
          <t>ESKILSTUNA</t>
        </is>
      </c>
      <c r="I220" t="n">
        <v>0.9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37147-2025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45875</v>
      </c>
      <c r="E221" s="1" t="n">
        <v>46318</v>
      </c>
      <c r="F221" t="inlineStr">
        <is>
          <t>SÖDERMANLANDS LÄN</t>
        </is>
      </c>
      <c r="G221" t="inlineStr">
        <is>
          <t>ESKILSTUNA</t>
        </is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35367-2024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45531</v>
      </c>
      <c r="E222" s="1" t="n">
        <v>46318</v>
      </c>
      <c r="F222" t="inlineStr">
        <is>
          <t>SÖDERMANLANDS LÄN</t>
        </is>
      </c>
      <c r="G222" t="inlineStr">
        <is>
          <t>ESKILSTUNA</t>
        </is>
      </c>
      <c r="I222" t="n">
        <v>3.3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61829-2023</t>
        </is>
      </c>
      <c r="B223" t="inlineStr">
        <is>
          <t>avverkningsanmälan</t>
        </is>
      </c>
      <c r="C223" t="inlineStr">
        <is>
          <t>Avverkning för annat ändamål</t>
        </is>
      </c>
      <c r="D223" s="1" t="n">
        <v>45266</v>
      </c>
      <c r="E223" s="1" t="n">
        <v>46318</v>
      </c>
      <c r="F223" t="inlineStr">
        <is>
          <t>SÖDERMANLANDS LÄN</t>
        </is>
      </c>
      <c r="G223" t="inlineStr">
        <is>
          <t>ESKILSTUNA</t>
        </is>
      </c>
      <c r="I223" t="n">
        <v>0.6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61831-2023</t>
        </is>
      </c>
      <c r="B224" t="inlineStr">
        <is>
          <t>avverkningsanmälan</t>
        </is>
      </c>
      <c r="C224" t="inlineStr">
        <is>
          <t>Avverkning för annat ändamål</t>
        </is>
      </c>
      <c r="D224" s="1" t="n">
        <v>45266</v>
      </c>
      <c r="E224" s="1" t="n">
        <v>46318</v>
      </c>
      <c r="F224" t="inlineStr">
        <is>
          <t>SÖDERMANLANDS LÄN</t>
        </is>
      </c>
      <c r="G224" t="inlineStr">
        <is>
          <t>ESKILSTUNA</t>
        </is>
      </c>
      <c r="I224" t="n">
        <v>1.4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61367-2021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44499</v>
      </c>
      <c r="E225" s="1" t="n">
        <v>46318</v>
      </c>
      <c r="F225" t="inlineStr">
        <is>
          <t>SÖDERMANLANDS LÄN</t>
        </is>
      </c>
      <c r="G225" t="inlineStr">
        <is>
          <t>ESKILSTUNA</t>
        </is>
      </c>
      <c r="I225" t="n">
        <v>3.8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70560-2021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44536</v>
      </c>
      <c r="E226" s="1" t="n">
        <v>46318</v>
      </c>
      <c r="F226" t="inlineStr">
        <is>
          <t>SÖDERMANLANDS LÄN</t>
        </is>
      </c>
      <c r="G226" t="inlineStr">
        <is>
          <t>ESKILSTUNA</t>
        </is>
      </c>
      <c r="I226" t="n">
        <v>0.9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970-2024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45301</v>
      </c>
      <c r="E227" s="1" t="n">
        <v>46318</v>
      </c>
      <c r="F227" t="inlineStr">
        <is>
          <t>SÖDERMANLANDS LÄN</t>
        </is>
      </c>
      <c r="G227" t="inlineStr">
        <is>
          <t>ESKILSTUNA</t>
        </is>
      </c>
      <c r="I227" t="n">
        <v>4.5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2341-2023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44942</v>
      </c>
      <c r="E228" s="1" t="n">
        <v>46318</v>
      </c>
      <c r="F228" t="inlineStr">
        <is>
          <t>SÖDERMANLANDS LÄN</t>
        </is>
      </c>
      <c r="G228" t="inlineStr">
        <is>
          <t>ESKILSTUNA</t>
        </is>
      </c>
      <c r="I228" t="n">
        <v>5.5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47845-2025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45931</v>
      </c>
      <c r="E229" s="1" t="n">
        <v>46318</v>
      </c>
      <c r="F229" t="inlineStr">
        <is>
          <t>SÖDERMANLANDS LÄN</t>
        </is>
      </c>
      <c r="G229" t="inlineStr">
        <is>
          <t>ESKILSTUNA</t>
        </is>
      </c>
      <c r="I229" t="n">
        <v>4.2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8920-2025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45713</v>
      </c>
      <c r="E230" s="1" t="n">
        <v>46318</v>
      </c>
      <c r="F230" t="inlineStr">
        <is>
          <t>SÖDERMANLANDS LÄN</t>
        </is>
      </c>
      <c r="G230" t="inlineStr">
        <is>
          <t>ESKILSTUNA</t>
        </is>
      </c>
      <c r="H230" t="inlineStr">
        <is>
          <t>Allmännings- och besparingsskogar</t>
        </is>
      </c>
      <c r="I230" t="n">
        <v>1.6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44862-2025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45918</v>
      </c>
      <c r="E231" s="1" t="n">
        <v>46318</v>
      </c>
      <c r="F231" t="inlineStr">
        <is>
          <t>SÖDERMANLANDS LÄN</t>
        </is>
      </c>
      <c r="G231" t="inlineStr">
        <is>
          <t>ESKILSTUNA</t>
        </is>
      </c>
      <c r="I231" t="n">
        <v>1.5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59773-2025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45992</v>
      </c>
      <c r="E232" s="1" t="n">
        <v>46318</v>
      </c>
      <c r="F232" t="inlineStr">
        <is>
          <t>SÖDERMANLANDS LÄN</t>
        </is>
      </c>
      <c r="G232" t="inlineStr">
        <is>
          <t>ESKILSTUNA</t>
        </is>
      </c>
      <c r="I232" t="n">
        <v>10.8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9646-2022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44617</v>
      </c>
      <c r="E233" s="1" t="n">
        <v>46318</v>
      </c>
      <c r="F233" t="inlineStr">
        <is>
          <t>SÖDERMANLANDS LÄN</t>
        </is>
      </c>
      <c r="G233" t="inlineStr">
        <is>
          <t>ESKILSTUNA</t>
        </is>
      </c>
      <c r="I233" t="n">
        <v>0.9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56384-2025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45974</v>
      </c>
      <c r="E234" s="1" t="n">
        <v>46318</v>
      </c>
      <c r="F234" t="inlineStr">
        <is>
          <t>SÖDERMANLANDS LÄN</t>
        </is>
      </c>
      <c r="G234" t="inlineStr">
        <is>
          <t>ESKILSTUNA</t>
        </is>
      </c>
      <c r="I234" t="n">
        <v>2.2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68020-2021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44525</v>
      </c>
      <c r="E235" s="1" t="n">
        <v>46318</v>
      </c>
      <c r="F235" t="inlineStr">
        <is>
          <t>SÖDERMANLANDS LÄN</t>
        </is>
      </c>
      <c r="G235" t="inlineStr">
        <is>
          <t>ESKILSTUNA</t>
        </is>
      </c>
      <c r="I235" t="n">
        <v>0.4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26532-2022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44739</v>
      </c>
      <c r="E236" s="1" t="n">
        <v>46318</v>
      </c>
      <c r="F236" t="inlineStr">
        <is>
          <t>SÖDERMANLANDS LÄN</t>
        </is>
      </c>
      <c r="G236" t="inlineStr">
        <is>
          <t>ESKILSTUNA</t>
        </is>
      </c>
      <c r="I236" t="n">
        <v>2.6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11796-2022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44634</v>
      </c>
      <c r="E237" s="1" t="n">
        <v>46318</v>
      </c>
      <c r="F237" t="inlineStr">
        <is>
          <t>SÖDERMANLANDS LÄN</t>
        </is>
      </c>
      <c r="G237" t="inlineStr">
        <is>
          <t>ESKILSTUNA</t>
        </is>
      </c>
      <c r="I237" t="n">
        <v>1.6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13849-2023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45007</v>
      </c>
      <c r="E238" s="1" t="n">
        <v>46318</v>
      </c>
      <c r="F238" t="inlineStr">
        <is>
          <t>SÖDERMANLANDS LÄN</t>
        </is>
      </c>
      <c r="G238" t="inlineStr">
        <is>
          <t>ESKILSTUNA</t>
        </is>
      </c>
      <c r="I238" t="n">
        <v>1.3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6956-2023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44964</v>
      </c>
      <c r="E239" s="1" t="n">
        <v>46318</v>
      </c>
      <c r="F239" t="inlineStr">
        <is>
          <t>SÖDERMANLANDS LÄN</t>
        </is>
      </c>
      <c r="G239" t="inlineStr">
        <is>
          <t>ESKILSTUNA</t>
        </is>
      </c>
      <c r="I239" t="n">
        <v>3.4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1129-2023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44930</v>
      </c>
      <c r="E240" s="1" t="n">
        <v>46318</v>
      </c>
      <c r="F240" t="inlineStr">
        <is>
          <t>SÖDERMANLANDS LÄN</t>
        </is>
      </c>
      <c r="G240" t="inlineStr">
        <is>
          <t>ESKILSTUNA</t>
        </is>
      </c>
      <c r="I240" t="n">
        <v>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57524-2022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44889</v>
      </c>
      <c r="E241" s="1" t="n">
        <v>46318</v>
      </c>
      <c r="F241" t="inlineStr">
        <is>
          <t>SÖDERMANLANDS LÄN</t>
        </is>
      </c>
      <c r="G241" t="inlineStr">
        <is>
          <t>ESKILSTUNA</t>
        </is>
      </c>
      <c r="I241" t="n">
        <v>1.4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3341-2022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44582</v>
      </c>
      <c r="E242" s="1" t="n">
        <v>46318</v>
      </c>
      <c r="F242" t="inlineStr">
        <is>
          <t>SÖDERMANLANDS LÄN</t>
        </is>
      </c>
      <c r="G242" t="inlineStr">
        <is>
          <t>ESKILSTUNA</t>
        </is>
      </c>
      <c r="I242" t="n">
        <v>2.8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52274-2024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45608</v>
      </c>
      <c r="E243" s="1" t="n">
        <v>46318</v>
      </c>
      <c r="F243" t="inlineStr">
        <is>
          <t>SÖDERMANLANDS LÄN</t>
        </is>
      </c>
      <c r="G243" t="inlineStr">
        <is>
          <t>ESKILSTUNA</t>
        </is>
      </c>
      <c r="H243" t="inlineStr">
        <is>
          <t>Övriga Aktiebolag</t>
        </is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20180-2022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44698</v>
      </c>
      <c r="E244" s="1" t="n">
        <v>46318</v>
      </c>
      <c r="F244" t="inlineStr">
        <is>
          <t>SÖDERMANLANDS LÄN</t>
        </is>
      </c>
      <c r="G244" t="inlineStr">
        <is>
          <t>ESKILSTUNA</t>
        </is>
      </c>
      <c r="H244" t="inlineStr">
        <is>
          <t>Kyrkan</t>
        </is>
      </c>
      <c r="I244" t="n">
        <v>1.5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31314-2025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45833</v>
      </c>
      <c r="E245" s="1" t="n">
        <v>46318</v>
      </c>
      <c r="F245" t="inlineStr">
        <is>
          <t>SÖDERMANLANDS LÄN</t>
        </is>
      </c>
      <c r="G245" t="inlineStr">
        <is>
          <t>ESKILSTUNA</t>
        </is>
      </c>
      <c r="I245" t="n">
        <v>1.4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51332-2025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45950</v>
      </c>
      <c r="E246" s="1" t="n">
        <v>46318</v>
      </c>
      <c r="F246" t="inlineStr">
        <is>
          <t>SÖDERMANLANDS LÄN</t>
        </is>
      </c>
      <c r="G246" t="inlineStr">
        <is>
          <t>ESKILSTUNA</t>
        </is>
      </c>
      <c r="I246" t="n">
        <v>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52222-2025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45953</v>
      </c>
      <c r="E247" s="1" t="n">
        <v>46318</v>
      </c>
      <c r="F247" t="inlineStr">
        <is>
          <t>SÖDERMANLANDS LÄN</t>
        </is>
      </c>
      <c r="G247" t="inlineStr">
        <is>
          <t>ESKILSTUNA</t>
        </is>
      </c>
      <c r="I247" t="n">
        <v>2.1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52248-2025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45953</v>
      </c>
      <c r="E248" s="1" t="n">
        <v>46318</v>
      </c>
      <c r="F248" t="inlineStr">
        <is>
          <t>SÖDERMANLANDS LÄN</t>
        </is>
      </c>
      <c r="G248" t="inlineStr">
        <is>
          <t>ESKILSTUNA</t>
        </is>
      </c>
      <c r="I248" t="n">
        <v>0.5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13495-2024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45387</v>
      </c>
      <c r="E249" s="1" t="n">
        <v>46318</v>
      </c>
      <c r="F249" t="inlineStr">
        <is>
          <t>SÖDERMANLANDS LÄN</t>
        </is>
      </c>
      <c r="G249" t="inlineStr">
        <is>
          <t>ESKILSTUNA</t>
        </is>
      </c>
      <c r="H249" t="inlineStr">
        <is>
          <t>Kyrkan</t>
        </is>
      </c>
      <c r="I249" t="n">
        <v>6.9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47000-2022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44852</v>
      </c>
      <c r="E250" s="1" t="n">
        <v>46318</v>
      </c>
      <c r="F250" t="inlineStr">
        <is>
          <t>SÖDERMANLANDS LÄN</t>
        </is>
      </c>
      <c r="G250" t="inlineStr">
        <is>
          <t>ESKILSTUNA</t>
        </is>
      </c>
      <c r="I250" t="n">
        <v>1.8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50484-2025</t>
        </is>
      </c>
      <c r="B251" t="inlineStr">
        <is>
          <t>avverkningsanmälan</t>
        </is>
      </c>
      <c r="C251" t="inlineStr">
        <is>
          <t>Avverkning för annat ändamål</t>
        </is>
      </c>
      <c r="D251" s="1" t="n">
        <v>45945</v>
      </c>
      <c r="E251" s="1" t="n">
        <v>46318</v>
      </c>
      <c r="F251" t="inlineStr">
        <is>
          <t>SÖDERMANLANDS LÄN</t>
        </is>
      </c>
      <c r="G251" t="inlineStr">
        <is>
          <t>ESKILSTUNA</t>
        </is>
      </c>
      <c r="I251" t="n">
        <v>1.7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25071-2022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44729</v>
      </c>
      <c r="E252" s="1" t="n">
        <v>46318</v>
      </c>
      <c r="F252" t="inlineStr">
        <is>
          <t>SÖDERMANLANDS LÄN</t>
        </is>
      </c>
      <c r="G252" t="inlineStr">
        <is>
          <t>ESKILSTUNA</t>
        </is>
      </c>
      <c r="I252" t="n">
        <v>1.1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57538-2022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44889</v>
      </c>
      <c r="E253" s="1" t="n">
        <v>46318</v>
      </c>
      <c r="F253" t="inlineStr">
        <is>
          <t>SÖDERMANLANDS LÄN</t>
        </is>
      </c>
      <c r="G253" t="inlineStr">
        <is>
          <t>ESKILSTUNA</t>
        </is>
      </c>
      <c r="I253" t="n">
        <v>3.3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20529-2026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46140</v>
      </c>
      <c r="E254" s="1" t="n">
        <v>46318</v>
      </c>
      <c r="F254" t="inlineStr">
        <is>
          <t>SÖDERMANLANDS LÄN</t>
        </is>
      </c>
      <c r="G254" t="inlineStr">
        <is>
          <t>ESKILSTUNA</t>
        </is>
      </c>
      <c r="I254" t="n">
        <v>2.2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55779-2022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44886</v>
      </c>
      <c r="E255" s="1" t="n">
        <v>46318</v>
      </c>
      <c r="F255" t="inlineStr">
        <is>
          <t>SÖDERMANLANDS LÄN</t>
        </is>
      </c>
      <c r="G255" t="inlineStr">
        <is>
          <t>ESKILSTUNA</t>
        </is>
      </c>
      <c r="I255" t="n">
        <v>0.8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36565-2022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44804</v>
      </c>
      <c r="E256" s="1" t="n">
        <v>46318</v>
      </c>
      <c r="F256" t="inlineStr">
        <is>
          <t>SÖDERMANLANDS LÄN</t>
        </is>
      </c>
      <c r="G256" t="inlineStr">
        <is>
          <t>ESKILSTUNA</t>
        </is>
      </c>
      <c r="I256" t="n">
        <v>4.1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25227-2022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44729</v>
      </c>
      <c r="E257" s="1" t="n">
        <v>46318</v>
      </c>
      <c r="F257" t="inlineStr">
        <is>
          <t>SÖDERMANLANDS LÄN</t>
        </is>
      </c>
      <c r="G257" t="inlineStr">
        <is>
          <t>ESKILSTUNA</t>
        </is>
      </c>
      <c r="H257" t="inlineStr">
        <is>
          <t>Kyrkan</t>
        </is>
      </c>
      <c r="I257" t="n">
        <v>0.9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20823-2022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44701</v>
      </c>
      <c r="E258" s="1" t="n">
        <v>46318</v>
      </c>
      <c r="F258" t="inlineStr">
        <is>
          <t>SÖDERMANLANDS LÄN</t>
        </is>
      </c>
      <c r="G258" t="inlineStr">
        <is>
          <t>ESKILSTUNA</t>
        </is>
      </c>
      <c r="I258" t="n">
        <v>5.3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27255-2022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44741</v>
      </c>
      <c r="E259" s="1" t="n">
        <v>46318</v>
      </c>
      <c r="F259" t="inlineStr">
        <is>
          <t>SÖDERMANLANDS LÄN</t>
        </is>
      </c>
      <c r="G259" t="inlineStr">
        <is>
          <t>ESKILSTUNA</t>
        </is>
      </c>
      <c r="I259" t="n">
        <v>3.4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62268-2023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45267</v>
      </c>
      <c r="E260" s="1" t="n">
        <v>46318</v>
      </c>
      <c r="F260" t="inlineStr">
        <is>
          <t>SÖDERMANLANDS LÄN</t>
        </is>
      </c>
      <c r="G260" t="inlineStr">
        <is>
          <t>ESKILSTUNA</t>
        </is>
      </c>
      <c r="I260" t="n">
        <v>0.7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62278-2023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45267</v>
      </c>
      <c r="E261" s="1" t="n">
        <v>46318</v>
      </c>
      <c r="F261" t="inlineStr">
        <is>
          <t>SÖDERMANLANDS LÄN</t>
        </is>
      </c>
      <c r="G261" t="inlineStr">
        <is>
          <t>ESKILSTUNA</t>
        </is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4977-2024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45329</v>
      </c>
      <c r="E262" s="1" t="n">
        <v>46318</v>
      </c>
      <c r="F262" t="inlineStr">
        <is>
          <t>SÖDERMANLANDS LÄN</t>
        </is>
      </c>
      <c r="G262" t="inlineStr">
        <is>
          <t>ESKILSTUNA</t>
        </is>
      </c>
      <c r="H262" t="inlineStr">
        <is>
          <t>Kyrkan</t>
        </is>
      </c>
      <c r="I262" t="n">
        <v>12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44927-2023</t>
        </is>
      </c>
      <c r="B263" t="inlineStr">
        <is>
          <t>avverkningsanmälan</t>
        </is>
      </c>
      <c r="C263" t="inlineStr">
        <is>
          <t>Avverkning för annat ändamål</t>
        </is>
      </c>
      <c r="D263" s="1" t="n">
        <v>45190</v>
      </c>
      <c r="E263" s="1" t="n">
        <v>46318</v>
      </c>
      <c r="F263" t="inlineStr">
        <is>
          <t>SÖDERMANLANDS LÄN</t>
        </is>
      </c>
      <c r="G263" t="inlineStr">
        <is>
          <t>ESKILSTUNA</t>
        </is>
      </c>
      <c r="I263" t="n">
        <v>0.6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43221-2023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45183</v>
      </c>
      <c r="E264" s="1" t="n">
        <v>46318</v>
      </c>
      <c r="F264" t="inlineStr">
        <is>
          <t>SÖDERMANLANDS LÄN</t>
        </is>
      </c>
      <c r="G264" t="inlineStr">
        <is>
          <t>ESKILSTUNA</t>
        </is>
      </c>
      <c r="H264" t="inlineStr">
        <is>
          <t>Allmännings- och besparingsskogar</t>
        </is>
      </c>
      <c r="I264" t="n">
        <v>15.8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56389-2025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45974</v>
      </c>
      <c r="E265" s="1" t="n">
        <v>46318</v>
      </c>
      <c r="F265" t="inlineStr">
        <is>
          <t>SÖDERMANLANDS LÄN</t>
        </is>
      </c>
      <c r="G265" t="inlineStr">
        <is>
          <t>ESKILSTUNA</t>
        </is>
      </c>
      <c r="I265" t="n">
        <v>0.7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46881-2022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44851</v>
      </c>
      <c r="E266" s="1" t="n">
        <v>46318</v>
      </c>
      <c r="F266" t="inlineStr">
        <is>
          <t>SÖDERMANLANDS LÄN</t>
        </is>
      </c>
      <c r="G266" t="inlineStr">
        <is>
          <t>ESKILSTUNA</t>
        </is>
      </c>
      <c r="I266" t="n">
        <v>1.3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11117-2025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45723</v>
      </c>
      <c r="E267" s="1" t="n">
        <v>46318</v>
      </c>
      <c r="F267" t="inlineStr">
        <is>
          <t>SÖDERMANLANDS LÄN</t>
        </is>
      </c>
      <c r="G267" t="inlineStr">
        <is>
          <t>ESKILSTUNA</t>
        </is>
      </c>
      <c r="I267" t="n">
        <v>0.9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10019-2024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45363</v>
      </c>
      <c r="E268" s="1" t="n">
        <v>46318</v>
      </c>
      <c r="F268" t="inlineStr">
        <is>
          <t>SÖDERMANLANDS LÄN</t>
        </is>
      </c>
      <c r="G268" t="inlineStr">
        <is>
          <t>ESKILSTUNA</t>
        </is>
      </c>
      <c r="H268" t="inlineStr">
        <is>
          <t>Allmännings- och besparingsskogar</t>
        </is>
      </c>
      <c r="I268" t="n">
        <v>0.7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57128-2025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45979</v>
      </c>
      <c r="E269" s="1" t="n">
        <v>46318</v>
      </c>
      <c r="F269" t="inlineStr">
        <is>
          <t>SÖDERMANLANDS LÄN</t>
        </is>
      </c>
      <c r="G269" t="inlineStr">
        <is>
          <t>ESKILSTUNA</t>
        </is>
      </c>
      <c r="I269" t="n">
        <v>1.4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57134-2025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45979</v>
      </c>
      <c r="E270" s="1" t="n">
        <v>46318</v>
      </c>
      <c r="F270" t="inlineStr">
        <is>
          <t>SÖDERMANLANDS LÄN</t>
        </is>
      </c>
      <c r="G270" t="inlineStr">
        <is>
          <t>ESKILSTUNA</t>
        </is>
      </c>
      <c r="I270" t="n">
        <v>0.8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57138-2025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45979</v>
      </c>
      <c r="E271" s="1" t="n">
        <v>46318</v>
      </c>
      <c r="F271" t="inlineStr">
        <is>
          <t>SÖDERMANLANDS LÄN</t>
        </is>
      </c>
      <c r="G271" t="inlineStr">
        <is>
          <t>ESKILSTUNA</t>
        </is>
      </c>
      <c r="I271" t="n">
        <v>1.5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55699-2024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45622</v>
      </c>
      <c r="E272" s="1" t="n">
        <v>46318</v>
      </c>
      <c r="F272" t="inlineStr">
        <is>
          <t>SÖDERMANLANDS LÄN</t>
        </is>
      </c>
      <c r="G272" t="inlineStr">
        <is>
          <t>ESKILSTUNA</t>
        </is>
      </c>
      <c r="I272" t="n">
        <v>1.4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65349-2021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44515</v>
      </c>
      <c r="E273" s="1" t="n">
        <v>46318</v>
      </c>
      <c r="F273" t="inlineStr">
        <is>
          <t>SÖDERMANLANDS LÄN</t>
        </is>
      </c>
      <c r="G273" t="inlineStr">
        <is>
          <t>ESKILSTUNA</t>
        </is>
      </c>
      <c r="I273" t="n">
        <v>1.1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15917-2022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44664</v>
      </c>
      <c r="E274" s="1" t="n">
        <v>46318</v>
      </c>
      <c r="F274" t="inlineStr">
        <is>
          <t>SÖDERMANLANDS LÄN</t>
        </is>
      </c>
      <c r="G274" t="inlineStr">
        <is>
          <t>ESKILSTUNA</t>
        </is>
      </c>
      <c r="I274" t="n">
        <v>1.6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38895-2023</t>
        </is>
      </c>
      <c r="B275" t="inlineStr">
        <is>
          <t>avverkningsanmälan</t>
        </is>
      </c>
      <c r="C275" t="inlineStr">
        <is>
          <t>Avverkning för annat ändamål</t>
        </is>
      </c>
      <c r="D275" s="1" t="n">
        <v>45163</v>
      </c>
      <c r="E275" s="1" t="n">
        <v>46318</v>
      </c>
      <c r="F275" t="inlineStr">
        <is>
          <t>SÖDERMANLANDS LÄN</t>
        </is>
      </c>
      <c r="G275" t="inlineStr">
        <is>
          <t>ESKILSTUNA</t>
        </is>
      </c>
      <c r="I275" t="n">
        <v>2.9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33585-2022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44789</v>
      </c>
      <c r="E276" s="1" t="n">
        <v>46318</v>
      </c>
      <c r="F276" t="inlineStr">
        <is>
          <t>SÖDERMANLANDS LÄN</t>
        </is>
      </c>
      <c r="G276" t="inlineStr">
        <is>
          <t>ESKILSTUNA</t>
        </is>
      </c>
      <c r="I276" t="n">
        <v>5.5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53406-2023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45229</v>
      </c>
      <c r="E277" s="1" t="n">
        <v>46318</v>
      </c>
      <c r="F277" t="inlineStr">
        <is>
          <t>SÖDERMANLANDS LÄN</t>
        </is>
      </c>
      <c r="G277" t="inlineStr">
        <is>
          <t>ESKILSTUNA</t>
        </is>
      </c>
      <c r="H277" t="inlineStr">
        <is>
          <t>Allmännings- och besparingsskogar</t>
        </is>
      </c>
      <c r="I277" t="n">
        <v>1.7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21923-2026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46150</v>
      </c>
      <c r="E278" s="1" t="n">
        <v>46318</v>
      </c>
      <c r="F278" t="inlineStr">
        <is>
          <t>SÖDERMANLANDS LÄN</t>
        </is>
      </c>
      <c r="G278" t="inlineStr">
        <is>
          <t>ESKILSTUNA</t>
        </is>
      </c>
      <c r="I278" t="n">
        <v>2.2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1322-2024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45303</v>
      </c>
      <c r="E279" s="1" t="n">
        <v>46318</v>
      </c>
      <c r="F279" t="inlineStr">
        <is>
          <t>SÖDERMANLANDS LÄN</t>
        </is>
      </c>
      <c r="G279" t="inlineStr">
        <is>
          <t>ESKILSTUNA</t>
        </is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61866-2022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44917</v>
      </c>
      <c r="E280" s="1" t="n">
        <v>46318</v>
      </c>
      <c r="F280" t="inlineStr">
        <is>
          <t>SÖDERMANLANDS LÄN</t>
        </is>
      </c>
      <c r="G280" t="inlineStr">
        <is>
          <t>ESKILSTUNA</t>
        </is>
      </c>
      <c r="I280" t="n">
        <v>3.6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58991-2022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44903</v>
      </c>
      <c r="E281" s="1" t="n">
        <v>46318</v>
      </c>
      <c r="F281" t="inlineStr">
        <is>
          <t>SÖDERMANLANDS LÄN</t>
        </is>
      </c>
      <c r="G281" t="inlineStr">
        <is>
          <t>ESKILSTUNA</t>
        </is>
      </c>
      <c r="I281" t="n">
        <v>1.6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55812-2022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44886</v>
      </c>
      <c r="E282" s="1" t="n">
        <v>46318</v>
      </c>
      <c r="F282" t="inlineStr">
        <is>
          <t>SÖDERMANLANDS LÄN</t>
        </is>
      </c>
      <c r="G282" t="inlineStr">
        <is>
          <t>ESKILSTUNA</t>
        </is>
      </c>
      <c r="I282" t="n">
        <v>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60326-2025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45994</v>
      </c>
      <c r="E283" s="1" t="n">
        <v>46318</v>
      </c>
      <c r="F283" t="inlineStr">
        <is>
          <t>SÖDERMANLANDS LÄN</t>
        </is>
      </c>
      <c r="G283" t="inlineStr">
        <is>
          <t>ESKILSTUNA</t>
        </is>
      </c>
      <c r="I283" t="n">
        <v>2.2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60754-2025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45999</v>
      </c>
      <c r="E284" s="1" t="n">
        <v>46318</v>
      </c>
      <c r="F284" t="inlineStr">
        <is>
          <t>SÖDERMANLANDS LÄN</t>
        </is>
      </c>
      <c r="G284" t="inlineStr">
        <is>
          <t>ESKILSTUNA</t>
        </is>
      </c>
      <c r="I284" t="n">
        <v>0.5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979-2022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44571</v>
      </c>
      <c r="E285" s="1" t="n">
        <v>46318</v>
      </c>
      <c r="F285" t="inlineStr">
        <is>
          <t>SÖDERMANLANDS LÄN</t>
        </is>
      </c>
      <c r="G285" t="inlineStr">
        <is>
          <t>ESKILSTUNA</t>
        </is>
      </c>
      <c r="I285" t="n">
        <v>1.6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1330-2024</t>
        </is>
      </c>
      <c r="B286" t="inlineStr">
        <is>
          <t>avverkningsanmälan</t>
        </is>
      </c>
      <c r="C286" t="inlineStr">
        <is>
          <t>Avverkning för att bevara och utveckla /försöksver</t>
        </is>
      </c>
      <c r="D286" s="1" t="n">
        <v>45303</v>
      </c>
      <c r="E286" s="1" t="n">
        <v>46318</v>
      </c>
      <c r="F286" t="inlineStr">
        <is>
          <t>SÖDERMANLANDS LÄN</t>
        </is>
      </c>
      <c r="G286" t="inlineStr">
        <is>
          <t>ESKILSTUNA</t>
        </is>
      </c>
      <c r="I286" t="n">
        <v>0.8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1334-2024</t>
        </is>
      </c>
      <c r="B287" t="inlineStr">
        <is>
          <t>avverkningsanmälan</t>
        </is>
      </c>
      <c r="C287" t="inlineStr">
        <is>
          <t>Avverkning för att bevara och utveckla /försöksver</t>
        </is>
      </c>
      <c r="D287" s="1" t="n">
        <v>45303</v>
      </c>
      <c r="E287" s="1" t="n">
        <v>46318</v>
      </c>
      <c r="F287" t="inlineStr">
        <is>
          <t>SÖDERMANLANDS LÄN</t>
        </is>
      </c>
      <c r="G287" t="inlineStr">
        <is>
          <t>ESKILSTUNA</t>
        </is>
      </c>
      <c r="I287" t="n">
        <v>0.7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1344-2024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45303</v>
      </c>
      <c r="E288" s="1" t="n">
        <v>46318</v>
      </c>
      <c r="F288" t="inlineStr">
        <is>
          <t>SÖDERMANLANDS LÄN</t>
        </is>
      </c>
      <c r="G288" t="inlineStr">
        <is>
          <t>ESKILSTUNA</t>
        </is>
      </c>
      <c r="I288" t="n">
        <v>0.8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18487-2025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45763</v>
      </c>
      <c r="E289" s="1" t="n">
        <v>46318</v>
      </c>
      <c r="F289" t="inlineStr">
        <is>
          <t>SÖDERMANLANDS LÄN</t>
        </is>
      </c>
      <c r="G289" t="inlineStr">
        <is>
          <t>ESKILSTUNA</t>
        </is>
      </c>
      <c r="I289" t="n">
        <v>15.6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22759-2026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46157</v>
      </c>
      <c r="E290" s="1" t="n">
        <v>46318</v>
      </c>
      <c r="F290" t="inlineStr">
        <is>
          <t>SÖDERMANLANDS LÄN</t>
        </is>
      </c>
      <c r="G290" t="inlineStr">
        <is>
          <t>ESKILSTUNA</t>
        </is>
      </c>
      <c r="I290" t="n">
        <v>4.7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26535-2022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44739</v>
      </c>
      <c r="E291" s="1" t="n">
        <v>46318</v>
      </c>
      <c r="F291" t="inlineStr">
        <is>
          <t>SÖDERMANLANDS LÄN</t>
        </is>
      </c>
      <c r="G291" t="inlineStr">
        <is>
          <t>ESKILSTUNA</t>
        </is>
      </c>
      <c r="I291" t="n">
        <v>2.8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9711-2025</t>
        </is>
      </c>
      <c r="B292" t="inlineStr">
        <is>
          <t>avverkningsanmälan</t>
        </is>
      </c>
      <c r="C292" t="inlineStr">
        <is>
          <t>Avverkning för annat ändamål</t>
        </is>
      </c>
      <c r="D292" s="1" t="n">
        <v>45715</v>
      </c>
      <c r="E292" s="1" t="n">
        <v>46318</v>
      </c>
      <c r="F292" t="inlineStr">
        <is>
          <t>SÖDERMANLANDS LÄN</t>
        </is>
      </c>
      <c r="G292" t="inlineStr">
        <is>
          <t>ESKILSTUNA</t>
        </is>
      </c>
      <c r="I292" t="n">
        <v>3.7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40930-2025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45897</v>
      </c>
      <c r="E293" s="1" t="n">
        <v>46318</v>
      </c>
      <c r="F293" t="inlineStr">
        <is>
          <t>SÖDERMANLANDS LÄN</t>
        </is>
      </c>
      <c r="G293" t="inlineStr">
        <is>
          <t>ESKILSTUNA</t>
        </is>
      </c>
      <c r="I293" t="n">
        <v>3.5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39543-2023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45167</v>
      </c>
      <c r="E294" s="1" t="n">
        <v>46318</v>
      </c>
      <c r="F294" t="inlineStr">
        <is>
          <t>SÖDERMANLANDS LÄN</t>
        </is>
      </c>
      <c r="G294" t="inlineStr">
        <is>
          <t>ESKILSTUNA</t>
        </is>
      </c>
      <c r="I294" t="n">
        <v>1.6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23402-2026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46162</v>
      </c>
      <c r="E295" s="1" t="n">
        <v>46318</v>
      </c>
      <c r="F295" t="inlineStr">
        <is>
          <t>SÖDERMANLANDS LÄN</t>
        </is>
      </c>
      <c r="G295" t="inlineStr">
        <is>
          <t>ESKILSTUNA</t>
        </is>
      </c>
      <c r="I295" t="n">
        <v>1.1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12547-2022</t>
        </is>
      </c>
      <c r="B296" t="inlineStr">
        <is>
          <t>avverkningsanmälan</t>
        </is>
      </c>
      <c r="C296" t="inlineStr">
        <is>
          <t>Avverkning för annat ändamål</t>
        </is>
      </c>
      <c r="D296" s="1" t="n">
        <v>44638</v>
      </c>
      <c r="E296" s="1" t="n">
        <v>46318</v>
      </c>
      <c r="F296" t="inlineStr">
        <is>
          <t>SÖDERMANLANDS LÄN</t>
        </is>
      </c>
      <c r="G296" t="inlineStr">
        <is>
          <t>ESKILSTUNA</t>
        </is>
      </c>
      <c r="I296" t="n">
        <v>0.8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49061-2023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45210</v>
      </c>
      <c r="E297" s="1" t="n">
        <v>46318</v>
      </c>
      <c r="F297" t="inlineStr">
        <is>
          <t>SÖDERMANLANDS LÄN</t>
        </is>
      </c>
      <c r="G297" t="inlineStr">
        <is>
          <t>ESKILSTUNA</t>
        </is>
      </c>
      <c r="I297" t="n">
        <v>4.2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52203-2025</t>
        </is>
      </c>
      <c r="B298" t="inlineStr">
        <is>
          <t>avverkningsanmälan</t>
        </is>
      </c>
      <c r="C298" t="inlineStr">
        <is>
          <t>Avverkning för annat ändamål</t>
        </is>
      </c>
      <c r="D298" s="1" t="n">
        <v>45953</v>
      </c>
      <c r="E298" s="1" t="n">
        <v>46318</v>
      </c>
      <c r="F298" t="inlineStr">
        <is>
          <t>SÖDERMANLANDS LÄN</t>
        </is>
      </c>
      <c r="G298" t="inlineStr">
        <is>
          <t>ESKILSTUNA</t>
        </is>
      </c>
      <c r="I298" t="n">
        <v>0.9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54586-2025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45965</v>
      </c>
      <c r="E299" s="1" t="n">
        <v>46318</v>
      </c>
      <c r="F299" t="inlineStr">
        <is>
          <t>SÖDERMANLANDS LÄN</t>
        </is>
      </c>
      <c r="G299" t="inlineStr">
        <is>
          <t>ESKILSTUNA</t>
        </is>
      </c>
      <c r="I299" t="n">
        <v>5.5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36636-2022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44804</v>
      </c>
      <c r="E300" s="1" t="n">
        <v>46318</v>
      </c>
      <c r="F300" t="inlineStr">
        <is>
          <t>SÖDERMANLANDS LÄN</t>
        </is>
      </c>
      <c r="G300" t="inlineStr">
        <is>
          <t>ESKILSTUNA</t>
        </is>
      </c>
      <c r="I300" t="n">
        <v>1.5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23665-2026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46164</v>
      </c>
      <c r="E301" s="1" t="n">
        <v>46318</v>
      </c>
      <c r="F301" t="inlineStr">
        <is>
          <t>SÖDERMANLANDS LÄN</t>
        </is>
      </c>
      <c r="G301" t="inlineStr">
        <is>
          <t>ESKILSTUNA</t>
        </is>
      </c>
      <c r="I301" t="n">
        <v>0.8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45882-2022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44844</v>
      </c>
      <c r="E302" s="1" t="n">
        <v>46318</v>
      </c>
      <c r="F302" t="inlineStr">
        <is>
          <t>SÖDERMANLANDS LÄN</t>
        </is>
      </c>
      <c r="G302" t="inlineStr">
        <is>
          <t>ESKILSTUNA</t>
        </is>
      </c>
      <c r="I302" t="n">
        <v>4.8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45884-2022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44844</v>
      </c>
      <c r="E303" s="1" t="n">
        <v>46318</v>
      </c>
      <c r="F303" t="inlineStr">
        <is>
          <t>SÖDERMANLANDS LÄN</t>
        </is>
      </c>
      <c r="G303" t="inlineStr">
        <is>
          <t>ESKILSTUNA</t>
        </is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55741-2022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44883</v>
      </c>
      <c r="E304" s="1" t="n">
        <v>46318</v>
      </c>
      <c r="F304" t="inlineStr">
        <is>
          <t>SÖDERMANLANDS LÄN</t>
        </is>
      </c>
      <c r="G304" t="inlineStr">
        <is>
          <t>ESKILSTUNA</t>
        </is>
      </c>
      <c r="I304" t="n">
        <v>1.2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52221-2025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45953</v>
      </c>
      <c r="E305" s="1" t="n">
        <v>46318</v>
      </c>
      <c r="F305" t="inlineStr">
        <is>
          <t>SÖDERMANLANDS LÄN</t>
        </is>
      </c>
      <c r="G305" t="inlineStr">
        <is>
          <t>ESKILSTUNA</t>
        </is>
      </c>
      <c r="I305" t="n">
        <v>1.7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68022-2021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44525</v>
      </c>
      <c r="E306" s="1" t="n">
        <v>46318</v>
      </c>
      <c r="F306" t="inlineStr">
        <is>
          <t>SÖDERMANLANDS LÄN</t>
        </is>
      </c>
      <c r="G306" t="inlineStr">
        <is>
          <t>ESKILSTUNA</t>
        </is>
      </c>
      <c r="I306" t="n">
        <v>0.6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61170-2021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44497</v>
      </c>
      <c r="E307" s="1" t="n">
        <v>46318</v>
      </c>
      <c r="F307" t="inlineStr">
        <is>
          <t>SÖDERMANLANDS LÄN</t>
        </is>
      </c>
      <c r="G307" t="inlineStr">
        <is>
          <t>ESKILSTUNA</t>
        </is>
      </c>
      <c r="I307" t="n">
        <v>7.3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22388-2026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46154</v>
      </c>
      <c r="E308" s="1" t="n">
        <v>46318</v>
      </c>
      <c r="F308" t="inlineStr">
        <is>
          <t>SÖDERMANLANDS LÄN</t>
        </is>
      </c>
      <c r="G308" t="inlineStr">
        <is>
          <t>ESKILSTUNA</t>
        </is>
      </c>
      <c r="I308" t="n">
        <v>2.5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43064-2023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45182</v>
      </c>
      <c r="E309" s="1" t="n">
        <v>46318</v>
      </c>
      <c r="F309" t="inlineStr">
        <is>
          <t>SÖDERMANLANDS LÄN</t>
        </is>
      </c>
      <c r="G309" t="inlineStr">
        <is>
          <t>ESKILSTUNA</t>
        </is>
      </c>
      <c r="H309" t="inlineStr">
        <is>
          <t>Allmännings- och besparingsskogar</t>
        </is>
      </c>
      <c r="I309" t="n">
        <v>1.9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29068-2022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44749</v>
      </c>
      <c r="E310" s="1" t="n">
        <v>46318</v>
      </c>
      <c r="F310" t="inlineStr">
        <is>
          <t>SÖDERMANLANDS LÄN</t>
        </is>
      </c>
      <c r="G310" t="inlineStr">
        <is>
          <t>ESKILSTUNA</t>
        </is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56383-2025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45974</v>
      </c>
      <c r="E311" s="1" t="n">
        <v>46318</v>
      </c>
      <c r="F311" t="inlineStr">
        <is>
          <t>SÖDERMANLANDS LÄN</t>
        </is>
      </c>
      <c r="G311" t="inlineStr">
        <is>
          <t>ESKILSTUNA</t>
        </is>
      </c>
      <c r="I311" t="n">
        <v>2.2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3101-2023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44946</v>
      </c>
      <c r="E312" s="1" t="n">
        <v>46318</v>
      </c>
      <c r="F312" t="inlineStr">
        <is>
          <t>SÖDERMANLANDS LÄN</t>
        </is>
      </c>
      <c r="G312" t="inlineStr">
        <is>
          <t>ESKILSTUNA</t>
        </is>
      </c>
      <c r="I312" t="n">
        <v>0.9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37769-2023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45159</v>
      </c>
      <c r="E313" s="1" t="n">
        <v>46318</v>
      </c>
      <c r="F313" t="inlineStr">
        <is>
          <t>SÖDERMANLANDS LÄN</t>
        </is>
      </c>
      <c r="G313" t="inlineStr">
        <is>
          <t>ESKILSTUNA</t>
        </is>
      </c>
      <c r="H313" t="inlineStr">
        <is>
          <t>Kommuner</t>
        </is>
      </c>
      <c r="I313" t="n">
        <v>0.6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28011-2022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44746</v>
      </c>
      <c r="E314" s="1" t="n">
        <v>46318</v>
      </c>
      <c r="F314" t="inlineStr">
        <is>
          <t>SÖDERMANLANDS LÄN</t>
        </is>
      </c>
      <c r="G314" t="inlineStr">
        <is>
          <t>ESKILSTUNA</t>
        </is>
      </c>
      <c r="I314" t="n">
        <v>4.3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20348-2023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45056</v>
      </c>
      <c r="E315" s="1" t="n">
        <v>46318</v>
      </c>
      <c r="F315" t="inlineStr">
        <is>
          <t>SÖDERMANLANDS LÄN</t>
        </is>
      </c>
      <c r="G315" t="inlineStr">
        <is>
          <t>ESKILSTUNA</t>
        </is>
      </c>
      <c r="H315" t="inlineStr">
        <is>
          <t>Allmännings- och besparingsskogar</t>
        </is>
      </c>
      <c r="I315" t="n">
        <v>5.6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5476-2026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46048</v>
      </c>
      <c r="E316" s="1" t="n">
        <v>46318</v>
      </c>
      <c r="F316" t="inlineStr">
        <is>
          <t>SÖDERMANLANDS LÄN</t>
        </is>
      </c>
      <c r="G316" t="inlineStr">
        <is>
          <t>ESKILSTUNA</t>
        </is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22605-2023</t>
        </is>
      </c>
      <c r="B317" t="inlineStr">
        <is>
          <t>avverkningsanmälan</t>
        </is>
      </c>
      <c r="C317" t="inlineStr">
        <is>
          <t>Avverkning för annat ändamål</t>
        </is>
      </c>
      <c r="D317" s="1" t="n">
        <v>45071</v>
      </c>
      <c r="E317" s="1" t="n">
        <v>46318</v>
      </c>
      <c r="F317" t="inlineStr">
        <is>
          <t>SÖDERMANLANDS LÄN</t>
        </is>
      </c>
      <c r="G317" t="inlineStr">
        <is>
          <t>ESKILSTUNA</t>
        </is>
      </c>
      <c r="H317" t="inlineStr">
        <is>
          <t>Kyrkan</t>
        </is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25483-2026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46177</v>
      </c>
      <c r="E318" s="1" t="n">
        <v>46318</v>
      </c>
      <c r="F318" t="inlineStr">
        <is>
          <t>SÖDERMANLANDS LÄN</t>
        </is>
      </c>
      <c r="G318" t="inlineStr">
        <is>
          <t>ESKILSTUNA</t>
        </is>
      </c>
      <c r="I318" t="n">
        <v>1.3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8273-2025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45708</v>
      </c>
      <c r="E319" s="1" t="n">
        <v>46318</v>
      </c>
      <c r="F319" t="inlineStr">
        <is>
          <t>SÖDERMANLANDS LÄN</t>
        </is>
      </c>
      <c r="G319" t="inlineStr">
        <is>
          <t>ESKILSTUNA</t>
        </is>
      </c>
      <c r="I319" t="n">
        <v>2.4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43261-2023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45183</v>
      </c>
      <c r="E320" s="1" t="n">
        <v>46318</v>
      </c>
      <c r="F320" t="inlineStr">
        <is>
          <t>SÖDERMANLANDS LÄN</t>
        </is>
      </c>
      <c r="G320" t="inlineStr">
        <is>
          <t>ESKILSTUNA</t>
        </is>
      </c>
      <c r="H320" t="inlineStr">
        <is>
          <t>Allmännings- och besparingsskogar</t>
        </is>
      </c>
      <c r="I320" t="n">
        <v>2.7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53933-2024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45615</v>
      </c>
      <c r="E321" s="1" t="n">
        <v>46318</v>
      </c>
      <c r="F321" t="inlineStr">
        <is>
          <t>SÖDERMANLANDS LÄN</t>
        </is>
      </c>
      <c r="G321" t="inlineStr">
        <is>
          <t>ESKILSTUNA</t>
        </is>
      </c>
      <c r="I321" t="n">
        <v>1.5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51801-2025</t>
        </is>
      </c>
      <c r="B322" t="inlineStr">
        <is>
          <t>avverkningsanmälan</t>
        </is>
      </c>
      <c r="C322" t="inlineStr">
        <is>
          <t>Avverkning för annat ändamål</t>
        </is>
      </c>
      <c r="D322" s="1" t="n">
        <v>45950</v>
      </c>
      <c r="E322" s="1" t="n">
        <v>46318</v>
      </c>
      <c r="F322" t="inlineStr">
        <is>
          <t>SÖDERMANLANDS LÄN</t>
        </is>
      </c>
      <c r="G322" t="inlineStr">
        <is>
          <t>ESKILSTUNA</t>
        </is>
      </c>
      <c r="I322" t="n">
        <v>4.4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61830-2023</t>
        </is>
      </c>
      <c r="B323" t="inlineStr">
        <is>
          <t>avverkningsanmälan</t>
        </is>
      </c>
      <c r="C323" t="inlineStr">
        <is>
          <t>Avverkning för annat ändamål</t>
        </is>
      </c>
      <c r="D323" s="1" t="n">
        <v>45266</v>
      </c>
      <c r="E323" s="1" t="n">
        <v>46318</v>
      </c>
      <c r="F323" t="inlineStr">
        <is>
          <t>SÖDERMANLANDS LÄN</t>
        </is>
      </c>
      <c r="G323" t="inlineStr">
        <is>
          <t>ESKILSTUNA</t>
        </is>
      </c>
      <c r="I323" t="n">
        <v>1.2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38058-2024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45544</v>
      </c>
      <c r="E324" s="1" t="n">
        <v>46318</v>
      </c>
      <c r="F324" t="inlineStr">
        <is>
          <t>SÖDERMANLANDS LÄN</t>
        </is>
      </c>
      <c r="G324" t="inlineStr">
        <is>
          <t>ESKILSTUNA</t>
        </is>
      </c>
      <c r="I324" t="n">
        <v>2.6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10271-2024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45365</v>
      </c>
      <c r="E325" s="1" t="n">
        <v>46318</v>
      </c>
      <c r="F325" t="inlineStr">
        <is>
          <t>SÖDERMANLANDS LÄN</t>
        </is>
      </c>
      <c r="G325" t="inlineStr">
        <is>
          <t>ESKILSTUNA</t>
        </is>
      </c>
      <c r="I325" t="n">
        <v>2.2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25998-2026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46181</v>
      </c>
      <c r="E326" s="1" t="n">
        <v>46318</v>
      </c>
      <c r="F326" t="inlineStr">
        <is>
          <t>SÖDERMANLANDS LÄN</t>
        </is>
      </c>
      <c r="G326" t="inlineStr">
        <is>
          <t>ESKILSTUNA</t>
        </is>
      </c>
      <c r="I326" t="n">
        <v>0.7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26022-2026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46181</v>
      </c>
      <c r="E327" s="1" t="n">
        <v>46318</v>
      </c>
      <c r="F327" t="inlineStr">
        <is>
          <t>SÖDERMANLANDS LÄN</t>
        </is>
      </c>
      <c r="G327" t="inlineStr">
        <is>
          <t>ESKILSTUNA</t>
        </is>
      </c>
      <c r="I327" t="n">
        <v>0.9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60276-2024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45642</v>
      </c>
      <c r="E328" s="1" t="n">
        <v>46318</v>
      </c>
      <c r="F328" t="inlineStr">
        <is>
          <t>SÖDERMANLANDS LÄN</t>
        </is>
      </c>
      <c r="G328" t="inlineStr">
        <is>
          <t>ESKILSTUNA</t>
        </is>
      </c>
      <c r="H328" t="inlineStr">
        <is>
          <t>Allmännings- och besparingsskogar</t>
        </is>
      </c>
      <c r="I328" t="n">
        <v>0.8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18192-2023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45041</v>
      </c>
      <c r="E329" s="1" t="n">
        <v>46318</v>
      </c>
      <c r="F329" t="inlineStr">
        <is>
          <t>SÖDERMANLANDS LÄN</t>
        </is>
      </c>
      <c r="G329" t="inlineStr">
        <is>
          <t>ESKILSTUNA</t>
        </is>
      </c>
      <c r="I329" t="n">
        <v>0.7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57546-2022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44889</v>
      </c>
      <c r="E330" s="1" t="n">
        <v>46318</v>
      </c>
      <c r="F330" t="inlineStr">
        <is>
          <t>SÖDERMANLANDS LÄN</t>
        </is>
      </c>
      <c r="G330" t="inlineStr">
        <is>
          <t>ESKILSTUNA</t>
        </is>
      </c>
      <c r="I330" t="n">
        <v>1.4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13826-2025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45737</v>
      </c>
      <c r="E331" s="1" t="n">
        <v>46318</v>
      </c>
      <c r="F331" t="inlineStr">
        <is>
          <t>SÖDERMANLANDS LÄN</t>
        </is>
      </c>
      <c r="G331" t="inlineStr">
        <is>
          <t>ESKILSTUNA</t>
        </is>
      </c>
      <c r="I331" t="n">
        <v>2.3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13632-2023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45006</v>
      </c>
      <c r="E332" s="1" t="n">
        <v>46318</v>
      </c>
      <c r="F332" t="inlineStr">
        <is>
          <t>SÖDERMANLANDS LÄN</t>
        </is>
      </c>
      <c r="G332" t="inlineStr">
        <is>
          <t>ESKILSTUNA</t>
        </is>
      </c>
      <c r="I332" t="n">
        <v>16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10352-2024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45365</v>
      </c>
      <c r="E333" s="1" t="n">
        <v>46318</v>
      </c>
      <c r="F333" t="inlineStr">
        <is>
          <t>SÖDERMANLANDS LÄN</t>
        </is>
      </c>
      <c r="G333" t="inlineStr">
        <is>
          <t>ESKILSTUNA</t>
        </is>
      </c>
      <c r="I333" t="n">
        <v>5.3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4334-2023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44953</v>
      </c>
      <c r="E334" s="1" t="n">
        <v>46318</v>
      </c>
      <c r="F334" t="inlineStr">
        <is>
          <t>SÖDERMANLANDS LÄN</t>
        </is>
      </c>
      <c r="G334" t="inlineStr">
        <is>
          <t>ESKILSTUNA</t>
        </is>
      </c>
      <c r="H334" t="inlineStr">
        <is>
          <t>Allmännings- och besparingsskogar</t>
        </is>
      </c>
      <c r="I334" t="n">
        <v>9.6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60246-2024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45642</v>
      </c>
      <c r="E335" s="1" t="n">
        <v>46318</v>
      </c>
      <c r="F335" t="inlineStr">
        <is>
          <t>SÖDERMANLANDS LÄN</t>
        </is>
      </c>
      <c r="G335" t="inlineStr">
        <is>
          <t>ESKILSTUNA</t>
        </is>
      </c>
      <c r="H335" t="inlineStr">
        <is>
          <t>Allmännings- och besparingsskogar</t>
        </is>
      </c>
      <c r="I335" t="n">
        <v>0.8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4954-2022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44593</v>
      </c>
      <c r="E336" s="1" t="n">
        <v>46318</v>
      </c>
      <c r="F336" t="inlineStr">
        <is>
          <t>SÖDERMANLANDS LÄN</t>
        </is>
      </c>
      <c r="G336" t="inlineStr">
        <is>
          <t>ESKILSTUNA</t>
        </is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19285-2023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45049</v>
      </c>
      <c r="E337" s="1" t="n">
        <v>46318</v>
      </c>
      <c r="F337" t="inlineStr">
        <is>
          <t>SÖDERMANLANDS LÄN</t>
        </is>
      </c>
      <c r="G337" t="inlineStr">
        <is>
          <t>ESKILSTUNA</t>
        </is>
      </c>
      <c r="I337" t="n">
        <v>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9133-2026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46069</v>
      </c>
      <c r="E338" s="1" t="n">
        <v>46318</v>
      </c>
      <c r="F338" t="inlineStr">
        <is>
          <t>SÖDERMANLANDS LÄN</t>
        </is>
      </c>
      <c r="G338" t="inlineStr">
        <is>
          <t>ESKILSTUNA</t>
        </is>
      </c>
      <c r="I338" t="n">
        <v>3.7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26018-2026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46181</v>
      </c>
      <c r="E339" s="1" t="n">
        <v>46318</v>
      </c>
      <c r="F339" t="inlineStr">
        <is>
          <t>SÖDERMANLANDS LÄN</t>
        </is>
      </c>
      <c r="G339" t="inlineStr">
        <is>
          <t>ESKILSTUNA</t>
        </is>
      </c>
      <c r="I339" t="n">
        <v>1.1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27550-2026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46190</v>
      </c>
      <c r="E340" s="1" t="n">
        <v>46318</v>
      </c>
      <c r="F340" t="inlineStr">
        <is>
          <t>SÖDERMANLANDS LÄN</t>
        </is>
      </c>
      <c r="G340" t="inlineStr">
        <is>
          <t>ESKILSTUNA</t>
        </is>
      </c>
      <c r="I340" t="n">
        <v>1.7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27779-2026</t>
        </is>
      </c>
      <c r="B341" t="inlineStr">
        <is>
          <t>avverkningsanmälan</t>
        </is>
      </c>
      <c r="C341" t="inlineStr">
        <is>
          <t>Avverkning för annat ändamål</t>
        </is>
      </c>
      <c r="D341" s="1" t="n">
        <v>46191</v>
      </c>
      <c r="E341" s="1" t="n">
        <v>46318</v>
      </c>
      <c r="F341" t="inlineStr">
        <is>
          <t>SÖDERMANLANDS LÄN</t>
        </is>
      </c>
      <c r="G341" t="inlineStr">
        <is>
          <t>ESKILSTUNA</t>
        </is>
      </c>
      <c r="I341" t="n">
        <v>2.8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55763-2022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44886</v>
      </c>
      <c r="E342" s="1" t="n">
        <v>46318</v>
      </c>
      <c r="F342" t="inlineStr">
        <is>
          <t>SÖDERMANLANDS LÄN</t>
        </is>
      </c>
      <c r="G342" t="inlineStr">
        <is>
          <t>ESKILSTUNA</t>
        </is>
      </c>
      <c r="I342" t="n">
        <v>15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27884-2026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46191</v>
      </c>
      <c r="E343" s="1" t="n">
        <v>46318</v>
      </c>
      <c r="F343" t="inlineStr">
        <is>
          <t>SÖDERMANLANDS LÄN</t>
        </is>
      </c>
      <c r="G343" t="inlineStr">
        <is>
          <t>ESKILSTUNA</t>
        </is>
      </c>
      <c r="I343" t="n">
        <v>0.7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70265-2021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44536</v>
      </c>
      <c r="E344" s="1" t="n">
        <v>46318</v>
      </c>
      <c r="F344" t="inlineStr">
        <is>
          <t>SÖDERMANLANDS LÄN</t>
        </is>
      </c>
      <c r="G344" t="inlineStr">
        <is>
          <t>ESKILSTUNA</t>
        </is>
      </c>
      <c r="H344" t="inlineStr">
        <is>
          <t>Sveaskog</t>
        </is>
      </c>
      <c r="I344" t="n">
        <v>1.8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3672-2026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46043</v>
      </c>
      <c r="E345" s="1" t="n">
        <v>46318</v>
      </c>
      <c r="F345" t="inlineStr">
        <is>
          <t>SÖDERMANLANDS LÄN</t>
        </is>
      </c>
      <c r="G345" t="inlineStr">
        <is>
          <t>ESKILSTUNA</t>
        </is>
      </c>
      <c r="I345" t="n">
        <v>1.1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57541-2022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44889</v>
      </c>
      <c r="E346" s="1" t="n">
        <v>46318</v>
      </c>
      <c r="F346" t="inlineStr">
        <is>
          <t>SÖDERMANLANDS LÄN</t>
        </is>
      </c>
      <c r="G346" t="inlineStr">
        <is>
          <t>ESKILSTUNA</t>
        </is>
      </c>
      <c r="I346" t="n">
        <v>2.3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11987-2026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46085</v>
      </c>
      <c r="E347" s="1" t="n">
        <v>46318</v>
      </c>
      <c r="F347" t="inlineStr">
        <is>
          <t>SÖDERMANLANDS LÄN</t>
        </is>
      </c>
      <c r="G347" t="inlineStr">
        <is>
          <t>ESKILSTUNA</t>
        </is>
      </c>
      <c r="I347" t="n">
        <v>0.8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24652-2025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45798</v>
      </c>
      <c r="E348" s="1" t="n">
        <v>46318</v>
      </c>
      <c r="F348" t="inlineStr">
        <is>
          <t>SÖDERMANLANDS LÄN</t>
        </is>
      </c>
      <c r="G348" t="inlineStr">
        <is>
          <t>ESKILSTUNA</t>
        </is>
      </c>
      <c r="I348" t="n">
        <v>0.4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24662-2025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45798</v>
      </c>
      <c r="E349" s="1" t="n">
        <v>46318</v>
      </c>
      <c r="F349" t="inlineStr">
        <is>
          <t>SÖDERMANLANDS LÄN</t>
        </is>
      </c>
      <c r="G349" t="inlineStr">
        <is>
          <t>ESKILSTUNA</t>
        </is>
      </c>
      <c r="I349" t="n">
        <v>0.5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24667-2025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45798</v>
      </c>
      <c r="E350" s="1" t="n">
        <v>46318</v>
      </c>
      <c r="F350" t="inlineStr">
        <is>
          <t>SÖDERMANLANDS LÄN</t>
        </is>
      </c>
      <c r="G350" t="inlineStr">
        <is>
          <t>ESKILSTUNA</t>
        </is>
      </c>
      <c r="I350" t="n">
        <v>0.3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24534-2025</t>
        </is>
      </c>
      <c r="B351" t="inlineStr">
        <is>
          <t>avverkningsanmälan</t>
        </is>
      </c>
      <c r="C351" t="inlineStr">
        <is>
          <t>Avverkning för annat ändamål</t>
        </is>
      </c>
      <c r="D351" s="1" t="n">
        <v>45798</v>
      </c>
      <c r="E351" s="1" t="n">
        <v>46318</v>
      </c>
      <c r="F351" t="inlineStr">
        <is>
          <t>SÖDERMANLANDS LÄN</t>
        </is>
      </c>
      <c r="G351" t="inlineStr">
        <is>
          <t>ESKILSTUNA</t>
        </is>
      </c>
      <c r="H351" t="inlineStr">
        <is>
          <t>Sveaskog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24535-2025</t>
        </is>
      </c>
      <c r="B352" t="inlineStr">
        <is>
          <t>avverkningsanmälan</t>
        </is>
      </c>
      <c r="C352" t="inlineStr">
        <is>
          <t>Avverkning för annat ändamål</t>
        </is>
      </c>
      <c r="D352" s="1" t="n">
        <v>45798</v>
      </c>
      <c r="E352" s="1" t="n">
        <v>46318</v>
      </c>
      <c r="F352" t="inlineStr">
        <is>
          <t>SÖDERMANLANDS LÄN</t>
        </is>
      </c>
      <c r="G352" t="inlineStr">
        <is>
          <t>ESKILSTUNA</t>
        </is>
      </c>
      <c r="H352" t="inlineStr">
        <is>
          <t>Sveaskog</t>
        </is>
      </c>
      <c r="I352" t="n">
        <v>0.3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24536-2025</t>
        </is>
      </c>
      <c r="B353" t="inlineStr">
        <is>
          <t>avverkningsanmälan</t>
        </is>
      </c>
      <c r="C353" t="inlineStr">
        <is>
          <t>Avverkning för att bevara och utveckla /försöksver</t>
        </is>
      </c>
      <c r="D353" s="1" t="n">
        <v>45798</v>
      </c>
      <c r="E353" s="1" t="n">
        <v>46318</v>
      </c>
      <c r="F353" t="inlineStr">
        <is>
          <t>SÖDERMANLANDS LÄN</t>
        </is>
      </c>
      <c r="G353" t="inlineStr">
        <is>
          <t>ESKILSTUNA</t>
        </is>
      </c>
      <c r="H353" t="inlineStr">
        <is>
          <t>Sveaskog</t>
        </is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11727-2026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46084</v>
      </c>
      <c r="E354" s="1" t="n">
        <v>46318</v>
      </c>
      <c r="F354" t="inlineStr">
        <is>
          <t>SÖDERMANLANDS LÄN</t>
        </is>
      </c>
      <c r="G354" t="inlineStr">
        <is>
          <t>ESKILSTUNA</t>
        </is>
      </c>
      <c r="I354" t="n">
        <v>1.3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4422-2026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46044</v>
      </c>
      <c r="E355" s="1" t="n">
        <v>46318</v>
      </c>
      <c r="F355" t="inlineStr">
        <is>
          <t>SÖDERMANLANDS LÄN</t>
        </is>
      </c>
      <c r="G355" t="inlineStr">
        <is>
          <t>ESKILSTUNA</t>
        </is>
      </c>
      <c r="I355" t="n">
        <v>2.4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4434-2026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46044</v>
      </c>
      <c r="E356" s="1" t="n">
        <v>46318</v>
      </c>
      <c r="F356" t="inlineStr">
        <is>
          <t>SÖDERMANLANDS LÄN</t>
        </is>
      </c>
      <c r="G356" t="inlineStr">
        <is>
          <t>ESKILSTUNA</t>
        </is>
      </c>
      <c r="I356" t="n">
        <v>3.5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29053-2026</t>
        </is>
      </c>
      <c r="B357" t="inlineStr">
        <is>
          <t>avverkningsanmälan</t>
        </is>
      </c>
      <c r="C357" t="inlineStr">
        <is>
          <t>Avverkning för att bevara och utveckla /försöksver</t>
        </is>
      </c>
      <c r="D357" s="1" t="n">
        <v>46199</v>
      </c>
      <c r="E357" s="1" t="n">
        <v>46318</v>
      </c>
      <c r="F357" t="inlineStr">
        <is>
          <t>SÖDERMANLANDS LÄN</t>
        </is>
      </c>
      <c r="G357" t="inlineStr">
        <is>
          <t>ESKILSTUNA</t>
        </is>
      </c>
      <c r="H357" t="inlineStr">
        <is>
          <t>Sveaskog</t>
        </is>
      </c>
      <c r="I357" t="n">
        <v>1.1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11522-2026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46083</v>
      </c>
      <c r="E358" s="1" t="n">
        <v>46318</v>
      </c>
      <c r="F358" t="inlineStr">
        <is>
          <t>SÖDERMANLANDS LÄN</t>
        </is>
      </c>
      <c r="G358" t="inlineStr">
        <is>
          <t>ESKILSTUNA</t>
        </is>
      </c>
      <c r="I358" t="n">
        <v>4.5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29051-2026</t>
        </is>
      </c>
      <c r="B359" t="inlineStr">
        <is>
          <t>avverkningsanmälan</t>
        </is>
      </c>
      <c r="C359" t="inlineStr">
        <is>
          <t>Avverkning för att bevara och utveckla /försöksver</t>
        </is>
      </c>
      <c r="D359" s="1" t="n">
        <v>46199</v>
      </c>
      <c r="E359" s="1" t="n">
        <v>46318</v>
      </c>
      <c r="F359" t="inlineStr">
        <is>
          <t>SÖDERMANLANDS LÄN</t>
        </is>
      </c>
      <c r="G359" t="inlineStr">
        <is>
          <t>ESKILSTUNA</t>
        </is>
      </c>
      <c r="H359" t="inlineStr">
        <is>
          <t>Sveaskog</t>
        </is>
      </c>
      <c r="I359" t="n">
        <v>0.8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4200-2025</t>
        </is>
      </c>
      <c r="B360" t="inlineStr">
        <is>
          <t>avverkningsanmälan</t>
        </is>
      </c>
      <c r="C360" t="inlineStr">
        <is>
          <t>Avverkning för att bevara och utveckla /försöksver</t>
        </is>
      </c>
      <c r="D360" s="1" t="n">
        <v>45685</v>
      </c>
      <c r="E360" s="1" t="n">
        <v>46318</v>
      </c>
      <c r="F360" t="inlineStr">
        <is>
          <t>SÖDERMANLANDS LÄN</t>
        </is>
      </c>
      <c r="G360" t="inlineStr">
        <is>
          <t>ESKILSTUNA</t>
        </is>
      </c>
      <c r="I360" t="n">
        <v>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16125-2026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46108</v>
      </c>
      <c r="E361" s="1" t="n">
        <v>46318</v>
      </c>
      <c r="F361" t="inlineStr">
        <is>
          <t>SÖDERMANLANDS LÄN</t>
        </is>
      </c>
      <c r="G361" t="inlineStr">
        <is>
          <t>ESKILSTUNA</t>
        </is>
      </c>
      <c r="I361" t="n">
        <v>2.1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16104-2026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46108</v>
      </c>
      <c r="E362" s="1" t="n">
        <v>46318</v>
      </c>
      <c r="F362" t="inlineStr">
        <is>
          <t>SÖDERMANLANDS LÄN</t>
        </is>
      </c>
      <c r="G362" t="inlineStr">
        <is>
          <t>ESKILSTUNA</t>
        </is>
      </c>
      <c r="I362" t="n">
        <v>4.2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16131-2026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46108</v>
      </c>
      <c r="E363" s="1" t="n">
        <v>46318</v>
      </c>
      <c r="F363" t="inlineStr">
        <is>
          <t>SÖDERMANLANDS LÄN</t>
        </is>
      </c>
      <c r="G363" t="inlineStr">
        <is>
          <t>ESKILSTUNA</t>
        </is>
      </c>
      <c r="I363" t="n">
        <v>3.2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23662-2026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46164</v>
      </c>
      <c r="E364" s="1" t="n">
        <v>46318</v>
      </c>
      <c r="F364" t="inlineStr">
        <is>
          <t>SÖDERMANLANDS LÄN</t>
        </is>
      </c>
      <c r="G364" t="inlineStr">
        <is>
          <t>ESKILSTUNA</t>
        </is>
      </c>
      <c r="I364" t="n">
        <v>1.8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22767-2026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46157</v>
      </c>
      <c r="E365" s="1" t="n">
        <v>46318</v>
      </c>
      <c r="F365" t="inlineStr">
        <is>
          <t>SÖDERMANLANDS LÄN</t>
        </is>
      </c>
      <c r="G365" t="inlineStr">
        <is>
          <t>ESKILSTUNA</t>
        </is>
      </c>
      <c r="I365" t="n">
        <v>2.2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16135-2026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46108</v>
      </c>
      <c r="E366" s="1" t="n">
        <v>46318</v>
      </c>
      <c r="F366" t="inlineStr">
        <is>
          <t>SÖDERMANLANDS LÄN</t>
        </is>
      </c>
      <c r="G366" t="inlineStr">
        <is>
          <t>ESKILSTUNA</t>
        </is>
      </c>
      <c r="I366" t="n">
        <v>1.3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70613-2021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44537</v>
      </c>
      <c r="E367" s="1" t="n">
        <v>46318</v>
      </c>
      <c r="F367" t="inlineStr">
        <is>
          <t>SÖDERMANLANDS LÄN</t>
        </is>
      </c>
      <c r="G367" t="inlineStr">
        <is>
          <t>ESKILSTUNA</t>
        </is>
      </c>
      <c r="I367" t="n">
        <v>1.9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18105-2026</t>
        </is>
      </c>
      <c r="B368" t="inlineStr">
        <is>
          <t>avverkningsanmälan</t>
        </is>
      </c>
      <c r="C368" t="inlineStr">
        <is>
          <t>Avverkning för att bevara och utveckla /försöksver</t>
        </is>
      </c>
      <c r="D368" s="1" t="n">
        <v>46125</v>
      </c>
      <c r="E368" s="1" t="n">
        <v>46318</v>
      </c>
      <c r="F368" t="inlineStr">
        <is>
          <t>SÖDERMANLANDS LÄN</t>
        </is>
      </c>
      <c r="G368" t="inlineStr">
        <is>
          <t>ESKILSTUNA</t>
        </is>
      </c>
      <c r="H368" t="inlineStr">
        <is>
          <t>Sveaskog</t>
        </is>
      </c>
      <c r="I368" t="n">
        <v>0.5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65614-2021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44516</v>
      </c>
      <c r="E369" s="1" t="n">
        <v>46318</v>
      </c>
      <c r="F369" t="inlineStr">
        <is>
          <t>SÖDERMANLANDS LÄN</t>
        </is>
      </c>
      <c r="G369" t="inlineStr">
        <is>
          <t>ESKILSTUNA</t>
        </is>
      </c>
      <c r="I369" t="n">
        <v>6.2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5841-2025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45695</v>
      </c>
      <c r="E370" s="1" t="n">
        <v>46318</v>
      </c>
      <c r="F370" t="inlineStr">
        <is>
          <t>SÖDERMANLANDS LÄN</t>
        </is>
      </c>
      <c r="G370" t="inlineStr">
        <is>
          <t>ESKILSTUNA</t>
        </is>
      </c>
      <c r="I370" t="n">
        <v>2.2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5842-2025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45695</v>
      </c>
      <c r="E371" s="1" t="n">
        <v>46318</v>
      </c>
      <c r="F371" t="inlineStr">
        <is>
          <t>SÖDERMANLANDS LÄN</t>
        </is>
      </c>
      <c r="G371" t="inlineStr">
        <is>
          <t>ESKILSTUNA</t>
        </is>
      </c>
      <c r="I371" t="n">
        <v>2.5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57213-2023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45245</v>
      </c>
      <c r="E372" s="1" t="n">
        <v>46318</v>
      </c>
      <c r="F372" t="inlineStr">
        <is>
          <t>SÖDERMANLANDS LÄN</t>
        </is>
      </c>
      <c r="G372" t="inlineStr">
        <is>
          <t>ESKILSTUNA</t>
        </is>
      </c>
      <c r="H372" t="inlineStr">
        <is>
          <t>Allmännings- och besparingsskogar</t>
        </is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31131-2026</t>
        </is>
      </c>
      <c r="B373" t="inlineStr">
        <is>
          <t>avverkningsanmälan</t>
        </is>
      </c>
      <c r="C373" t="inlineStr">
        <is>
          <t>Avverkning för att bevara och utveckla /försöksver</t>
        </is>
      </c>
      <c r="D373" s="1" t="n">
        <v>46216</v>
      </c>
      <c r="E373" s="1" t="n">
        <v>46318</v>
      </c>
      <c r="F373" t="inlineStr">
        <is>
          <t>SÖDERMANLANDS LÄN</t>
        </is>
      </c>
      <c r="G373" t="inlineStr">
        <is>
          <t>ESKILSTUNA</t>
        </is>
      </c>
      <c r="I373" t="n">
        <v>1.4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31108-2026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46216</v>
      </c>
      <c r="E374" s="1" t="n">
        <v>46318</v>
      </c>
      <c r="F374" t="inlineStr">
        <is>
          <t>SÖDERMANLANDS LÄN</t>
        </is>
      </c>
      <c r="G374" t="inlineStr">
        <is>
          <t>ESKILSTUNA</t>
        </is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30963-2026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46213</v>
      </c>
      <c r="E375" s="1" t="n">
        <v>46318</v>
      </c>
      <c r="F375" t="inlineStr">
        <is>
          <t>SÖDERMANLANDS LÄN</t>
        </is>
      </c>
      <c r="G375" t="inlineStr">
        <is>
          <t>ESKILSTUNA</t>
        </is>
      </c>
      <c r="I375" t="n">
        <v>2.4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31200-2026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46217</v>
      </c>
      <c r="E376" s="1" t="n">
        <v>46318</v>
      </c>
      <c r="F376" t="inlineStr">
        <is>
          <t>SÖDERMANLANDS LÄN</t>
        </is>
      </c>
      <c r="G376" t="inlineStr">
        <is>
          <t>ESKILSTUNA</t>
        </is>
      </c>
      <c r="H376" t="inlineStr">
        <is>
          <t>Kommuner</t>
        </is>
      </c>
      <c r="I376" t="n">
        <v>1.7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31203-2026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46217</v>
      </c>
      <c r="E377" s="1" t="n">
        <v>46318</v>
      </c>
      <c r="F377" t="inlineStr">
        <is>
          <t>SÖDERMANLANDS LÄN</t>
        </is>
      </c>
      <c r="G377" t="inlineStr">
        <is>
          <t>ESKILSTUNA</t>
        </is>
      </c>
      <c r="H377" t="inlineStr">
        <is>
          <t>Kommuner</t>
        </is>
      </c>
      <c r="I377" t="n">
        <v>1.7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61314-2022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44915</v>
      </c>
      <c r="E378" s="1" t="n">
        <v>46318</v>
      </c>
      <c r="F378" t="inlineStr">
        <is>
          <t>SÖDERMANLANDS LÄN</t>
        </is>
      </c>
      <c r="G378" t="inlineStr">
        <is>
          <t>ESKILSTUNA</t>
        </is>
      </c>
      <c r="I378" t="n">
        <v>8.300000000000001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31320-2026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46219</v>
      </c>
      <c r="E379" s="1" t="n">
        <v>46318</v>
      </c>
      <c r="F379" t="inlineStr">
        <is>
          <t>SÖDERMANLANDS LÄN</t>
        </is>
      </c>
      <c r="G379" t="inlineStr">
        <is>
          <t>ESKILSTUNA</t>
        </is>
      </c>
      <c r="H379" t="inlineStr">
        <is>
          <t>Sveaskog</t>
        </is>
      </c>
      <c r="I379" t="n">
        <v>1.8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9598-2023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44983</v>
      </c>
      <c r="E380" s="1" t="n">
        <v>46318</v>
      </c>
      <c r="F380" t="inlineStr">
        <is>
          <t>SÖDERMANLANDS LÄN</t>
        </is>
      </c>
      <c r="G380" t="inlineStr">
        <is>
          <t>ESKILSTUNA</t>
        </is>
      </c>
      <c r="I380" t="n">
        <v>0.7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5844-2025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45695</v>
      </c>
      <c r="E381" s="1" t="n">
        <v>46318</v>
      </c>
      <c r="F381" t="inlineStr">
        <is>
          <t>SÖDERMANLANDS LÄN</t>
        </is>
      </c>
      <c r="G381" t="inlineStr">
        <is>
          <t>ESKILSTUNA</t>
        </is>
      </c>
      <c r="I381" t="n">
        <v>1.3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13153-2026</t>
        </is>
      </c>
      <c r="B382" t="inlineStr">
        <is>
          <t>avverkningsanmälan</t>
        </is>
      </c>
      <c r="C382" t="inlineStr">
        <is>
          <t>Avverkning för att bevara och utveckla /försöksver</t>
        </is>
      </c>
      <c r="D382" s="1" t="n">
        <v>46092</v>
      </c>
      <c r="E382" s="1" t="n">
        <v>46318</v>
      </c>
      <c r="F382" t="inlineStr">
        <is>
          <t>SÖDERMANLANDS LÄN</t>
        </is>
      </c>
      <c r="G382" t="inlineStr">
        <is>
          <t>ESKILSTUNA</t>
        </is>
      </c>
      <c r="I382" t="n">
        <v>7.8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59138-2024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45637</v>
      </c>
      <c r="E383" s="1" t="n">
        <v>46318</v>
      </c>
      <c r="F383" t="inlineStr">
        <is>
          <t>SÖDERMANLANDS LÄN</t>
        </is>
      </c>
      <c r="G383" t="inlineStr">
        <is>
          <t>ESKILSTUNA</t>
        </is>
      </c>
      <c r="I383" t="n">
        <v>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57304-2023</t>
        </is>
      </c>
      <c r="B384" t="inlineStr">
        <is>
          <t>avverkningsanmälan</t>
        </is>
      </c>
      <c r="C384" t="inlineStr">
        <is>
          <t>Avverkning för att bevara och utveckla /försöksver</t>
        </is>
      </c>
      <c r="D384" s="1" t="n">
        <v>45245</v>
      </c>
      <c r="E384" s="1" t="n">
        <v>46318</v>
      </c>
      <c r="F384" t="inlineStr">
        <is>
          <t>SÖDERMANLANDS LÄN</t>
        </is>
      </c>
      <c r="G384" t="inlineStr">
        <is>
          <t>ESKILSTUNA</t>
        </is>
      </c>
      <c r="H384" t="inlineStr">
        <is>
          <t>Sveaskog</t>
        </is>
      </c>
      <c r="I384" t="n">
        <v>3.3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13626-2023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45006</v>
      </c>
      <c r="E385" s="1" t="n">
        <v>46318</v>
      </c>
      <c r="F385" t="inlineStr">
        <is>
          <t>SÖDERMANLANDS LÄN</t>
        </is>
      </c>
      <c r="G385" t="inlineStr">
        <is>
          <t>ESKILSTUNA</t>
        </is>
      </c>
      <c r="I385" t="n">
        <v>1.4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21133-2023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45062</v>
      </c>
      <c r="E386" s="1" t="n">
        <v>46318</v>
      </c>
      <c r="F386" t="inlineStr">
        <is>
          <t>SÖDERMANLANDS LÄN</t>
        </is>
      </c>
      <c r="G386" t="inlineStr">
        <is>
          <t>ESKILSTUNA</t>
        </is>
      </c>
      <c r="I386" t="n">
        <v>5.3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37882-2026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46279</v>
      </c>
      <c r="E387" s="1" t="n">
        <v>46318</v>
      </c>
      <c r="F387" t="inlineStr">
        <is>
          <t>SÖDERMANLANDS LÄN</t>
        </is>
      </c>
      <c r="G387" t="inlineStr">
        <is>
          <t>ESKILSTUNA</t>
        </is>
      </c>
      <c r="H387" t="inlineStr">
        <is>
          <t>Sveaskog</t>
        </is>
      </c>
      <c r="I387" t="n">
        <v>7.3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5695-2024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45334</v>
      </c>
      <c r="E388" s="1" t="n">
        <v>46318</v>
      </c>
      <c r="F388" t="inlineStr">
        <is>
          <t>SÖDERMANLANDS LÄN</t>
        </is>
      </c>
      <c r="G388" t="inlineStr">
        <is>
          <t>ESKILSTUNA</t>
        </is>
      </c>
      <c r="I388" t="n">
        <v>1.5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62693-2023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45271</v>
      </c>
      <c r="E389" s="1" t="n">
        <v>46318</v>
      </c>
      <c r="F389" t="inlineStr">
        <is>
          <t>SÖDERMANLANDS LÄN</t>
        </is>
      </c>
      <c r="G389" t="inlineStr">
        <is>
          <t>ESKILSTUNA</t>
        </is>
      </c>
      <c r="I389" t="n">
        <v>6.1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1131-2023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44930</v>
      </c>
      <c r="E390" s="1" t="n">
        <v>46318</v>
      </c>
      <c r="F390" t="inlineStr">
        <is>
          <t>SÖDERMANLANDS LÄN</t>
        </is>
      </c>
      <c r="G390" t="inlineStr">
        <is>
          <t>ESKILSTUNA</t>
        </is>
      </c>
      <c r="I390" t="n">
        <v>3.3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32177-2026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46237</v>
      </c>
      <c r="E391" s="1" t="n">
        <v>46318</v>
      </c>
      <c r="F391" t="inlineStr">
        <is>
          <t>SÖDERMANLANDS LÄN</t>
        </is>
      </c>
      <c r="G391" t="inlineStr">
        <is>
          <t>ESKILSTUNA</t>
        </is>
      </c>
      <c r="H391" t="inlineStr">
        <is>
          <t>Sveaskog</t>
        </is>
      </c>
      <c r="I391" t="n">
        <v>5.2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32373-2026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46238</v>
      </c>
      <c r="E392" s="1" t="n">
        <v>46318</v>
      </c>
      <c r="F392" t="inlineStr">
        <is>
          <t>SÖDERMANLANDS LÄN</t>
        </is>
      </c>
      <c r="G392" t="inlineStr">
        <is>
          <t>ESKILSTUNA</t>
        </is>
      </c>
      <c r="I392" t="n">
        <v>2.9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48362-2022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44858</v>
      </c>
      <c r="E393" s="1" t="n">
        <v>46318</v>
      </c>
      <c r="F393" t="inlineStr">
        <is>
          <t>SÖDERMANLANDS LÄN</t>
        </is>
      </c>
      <c r="G393" t="inlineStr">
        <is>
          <t>ESKILSTUNA</t>
        </is>
      </c>
      <c r="I393" t="n">
        <v>1.3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32365-2026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46238</v>
      </c>
      <c r="E394" s="1" t="n">
        <v>46318</v>
      </c>
      <c r="F394" t="inlineStr">
        <is>
          <t>SÖDERMANLANDS LÄN</t>
        </is>
      </c>
      <c r="G394" t="inlineStr">
        <is>
          <t>ESKILSTUNA</t>
        </is>
      </c>
      <c r="H394" t="inlineStr">
        <is>
          <t>Sveaskog</t>
        </is>
      </c>
      <c r="I394" t="n">
        <v>0.6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25283-2023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45079</v>
      </c>
      <c r="E395" s="1" t="n">
        <v>46318</v>
      </c>
      <c r="F395" t="inlineStr">
        <is>
          <t>SÖDERMANLANDS LÄN</t>
        </is>
      </c>
      <c r="G395" t="inlineStr">
        <is>
          <t>ESKILSTUNA</t>
        </is>
      </c>
      <c r="I395" t="n">
        <v>3.2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32461-2026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46239</v>
      </c>
      <c r="E396" s="1" t="n">
        <v>46318</v>
      </c>
      <c r="F396" t="inlineStr">
        <is>
          <t>SÖDERMANLANDS LÄN</t>
        </is>
      </c>
      <c r="G396" t="inlineStr">
        <is>
          <t>ESKILSTUNA</t>
        </is>
      </c>
      <c r="I396" t="n">
        <v>0.6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19271-2023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45049</v>
      </c>
      <c r="E397" s="1" t="n">
        <v>46318</v>
      </c>
      <c r="F397" t="inlineStr">
        <is>
          <t>SÖDERMANLANDS LÄN</t>
        </is>
      </c>
      <c r="G397" t="inlineStr">
        <is>
          <t>ESKILSTUNA</t>
        </is>
      </c>
      <c r="I397" t="n">
        <v>4.8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32963-2026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46241</v>
      </c>
      <c r="E398" s="1" t="n">
        <v>46318</v>
      </c>
      <c r="F398" t="inlineStr">
        <is>
          <t>SÖDERMANLANDS LÄN</t>
        </is>
      </c>
      <c r="G398" t="inlineStr">
        <is>
          <t>ESKILSTUNA</t>
        </is>
      </c>
      <c r="I398" t="n">
        <v>1.6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25731-2024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45464</v>
      </c>
      <c r="E399" s="1" t="n">
        <v>46318</v>
      </c>
      <c r="F399" t="inlineStr">
        <is>
          <t>SÖDERMANLANDS LÄN</t>
        </is>
      </c>
      <c r="G399" t="inlineStr">
        <is>
          <t>ESKILSTUNA</t>
        </is>
      </c>
      <c r="I399" t="n">
        <v>0.7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17727-2023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45036</v>
      </c>
      <c r="E400" s="1" t="n">
        <v>46318</v>
      </c>
      <c r="F400" t="inlineStr">
        <is>
          <t>SÖDERMANLANDS LÄN</t>
        </is>
      </c>
      <c r="G400" t="inlineStr">
        <is>
          <t>ESKILSTUNA</t>
        </is>
      </c>
      <c r="I400" t="n">
        <v>3.1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55282-2023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45237</v>
      </c>
      <c r="E401" s="1" t="n">
        <v>46318</v>
      </c>
      <c r="F401" t="inlineStr">
        <is>
          <t>SÖDERMANLANDS LÄN</t>
        </is>
      </c>
      <c r="G401" t="inlineStr">
        <is>
          <t>ESKILSTUNA</t>
        </is>
      </c>
      <c r="I401" t="n">
        <v>2.2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1538-2025</t>
        </is>
      </c>
      <c r="B402" t="inlineStr">
        <is>
          <t>avverkningsanmälan</t>
        </is>
      </c>
      <c r="C402" t="inlineStr">
        <is>
          <t>Avverkning för att bevara och utveckla /försöksver</t>
        </is>
      </c>
      <c r="D402" s="1" t="n">
        <v>45670</v>
      </c>
      <c r="E402" s="1" t="n">
        <v>46318</v>
      </c>
      <c r="F402" t="inlineStr">
        <is>
          <t>SÖDERMANLANDS LÄN</t>
        </is>
      </c>
      <c r="G402" t="inlineStr">
        <is>
          <t>ESKILSTUNA</t>
        </is>
      </c>
      <c r="H402" t="inlineStr">
        <is>
          <t>Sveaskog</t>
        </is>
      </c>
      <c r="I402" t="n">
        <v>1.9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39153-2026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46287</v>
      </c>
      <c r="E403" s="1" t="n">
        <v>46318</v>
      </c>
      <c r="F403" t="inlineStr">
        <is>
          <t>SÖDERMANLANDS LÄN</t>
        </is>
      </c>
      <c r="G403" t="inlineStr">
        <is>
          <t>ESKILSTUNA</t>
        </is>
      </c>
      <c r="I403" t="n">
        <v>7.2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26910-2023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45093</v>
      </c>
      <c r="E404" s="1" t="n">
        <v>46318</v>
      </c>
      <c r="F404" t="inlineStr">
        <is>
          <t>SÖDERMANLANDS LÄN</t>
        </is>
      </c>
      <c r="G404" t="inlineStr">
        <is>
          <t>ESKILSTUNA</t>
        </is>
      </c>
      <c r="I404" t="n">
        <v>1.1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54216-2022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44881</v>
      </c>
      <c r="E405" s="1" t="n">
        <v>46318</v>
      </c>
      <c r="F405" t="inlineStr">
        <is>
          <t>SÖDERMANLANDS LÄN</t>
        </is>
      </c>
      <c r="G405" t="inlineStr">
        <is>
          <t>ESKILSTUNA</t>
        </is>
      </c>
      <c r="I405" t="n">
        <v>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32969-2026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46244</v>
      </c>
      <c r="E406" s="1" t="n">
        <v>46318</v>
      </c>
      <c r="F406" t="inlineStr">
        <is>
          <t>SÖDERMANLANDS LÄN</t>
        </is>
      </c>
      <c r="G406" t="inlineStr">
        <is>
          <t>ESKILSTUNA</t>
        </is>
      </c>
      <c r="H406" t="inlineStr">
        <is>
          <t>Kommuner</t>
        </is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39144-2026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46287</v>
      </c>
      <c r="E407" s="1" t="n">
        <v>46318</v>
      </c>
      <c r="F407" t="inlineStr">
        <is>
          <t>SÖDERMANLANDS LÄN</t>
        </is>
      </c>
      <c r="G407" t="inlineStr">
        <is>
          <t>ESKILSTUNA</t>
        </is>
      </c>
      <c r="I407" t="n">
        <v>3.4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9703-2025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45715</v>
      </c>
      <c r="E408" s="1" t="n">
        <v>46318</v>
      </c>
      <c r="F408" t="inlineStr">
        <is>
          <t>SÖDERMANLANDS LÄN</t>
        </is>
      </c>
      <c r="G408" t="inlineStr">
        <is>
          <t>ESKILSTUNA</t>
        </is>
      </c>
      <c r="I408" t="n">
        <v>2.7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33125-2026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46245</v>
      </c>
      <c r="E409" s="1" t="n">
        <v>46318</v>
      </c>
      <c r="F409" t="inlineStr">
        <is>
          <t>SÖDERMANLANDS LÄN</t>
        </is>
      </c>
      <c r="G409" t="inlineStr">
        <is>
          <t>ESKILSTUNA</t>
        </is>
      </c>
      <c r="I409" t="n">
        <v>0.3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33278-2026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46246</v>
      </c>
      <c r="E410" s="1" t="n">
        <v>46318</v>
      </c>
      <c r="F410" t="inlineStr">
        <is>
          <t>SÖDERMANLANDS LÄN</t>
        </is>
      </c>
      <c r="G410" t="inlineStr">
        <is>
          <t>ESKILSTUNA</t>
        </is>
      </c>
      <c r="I410" t="n">
        <v>1.4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35698-2022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44799</v>
      </c>
      <c r="E411" s="1" t="n">
        <v>46318</v>
      </c>
      <c r="F411" t="inlineStr">
        <is>
          <t>SÖDERMANLANDS LÄN</t>
        </is>
      </c>
      <c r="G411" t="inlineStr">
        <is>
          <t>ESKILSTUNA</t>
        </is>
      </c>
      <c r="I411" t="n">
        <v>9.199999999999999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26904-2023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45093</v>
      </c>
      <c r="E412" s="1" t="n">
        <v>46318</v>
      </c>
      <c r="F412" t="inlineStr">
        <is>
          <t>SÖDERMANLANDS LÄN</t>
        </is>
      </c>
      <c r="G412" t="inlineStr">
        <is>
          <t>ESKILSTUNA</t>
        </is>
      </c>
      <c r="I412" t="n">
        <v>1.1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46608-2024</t>
        </is>
      </c>
      <c r="B413" t="inlineStr">
        <is>
          <t>avverkningsanmälan</t>
        </is>
      </c>
      <c r="C413" t="inlineStr">
        <is>
          <t>Avverkning för annat ändamål</t>
        </is>
      </c>
      <c r="D413" s="1" t="n">
        <v>45582</v>
      </c>
      <c r="E413" s="1" t="n">
        <v>46318</v>
      </c>
      <c r="F413" t="inlineStr">
        <is>
          <t>SÖDERMANLANDS LÄN</t>
        </is>
      </c>
      <c r="G413" t="inlineStr">
        <is>
          <t>ESKILSTUNA</t>
        </is>
      </c>
      <c r="I413" t="n">
        <v>0.5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9455-2022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44616</v>
      </c>
      <c r="E414" s="1" t="n">
        <v>46318</v>
      </c>
      <c r="F414" t="inlineStr">
        <is>
          <t>SÖDERMANLANDS LÄN</t>
        </is>
      </c>
      <c r="G414" t="inlineStr">
        <is>
          <t>ESKILSTUNA</t>
        </is>
      </c>
      <c r="I414" t="n">
        <v>1.5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33087-2026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46245</v>
      </c>
      <c r="E415" s="1" t="n">
        <v>46318</v>
      </c>
      <c r="F415" t="inlineStr">
        <is>
          <t>SÖDERMANLANDS LÄN</t>
        </is>
      </c>
      <c r="G415" t="inlineStr">
        <is>
          <t>ESKILSTUNA</t>
        </is>
      </c>
      <c r="I415" t="n">
        <v>1.7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8996-2023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44979</v>
      </c>
      <c r="E416" s="1" t="n">
        <v>46318</v>
      </c>
      <c r="F416" t="inlineStr">
        <is>
          <t>SÖDERMANLANDS LÄN</t>
        </is>
      </c>
      <c r="G416" t="inlineStr">
        <is>
          <t>ESKILSTUNA</t>
        </is>
      </c>
      <c r="I416" t="n">
        <v>4.1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31002-2023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45103</v>
      </c>
      <c r="E417" s="1" t="n">
        <v>46318</v>
      </c>
      <c r="F417" t="inlineStr">
        <is>
          <t>SÖDERMANLANDS LÄN</t>
        </is>
      </c>
      <c r="G417" t="inlineStr">
        <is>
          <t>ESKILSTUNA</t>
        </is>
      </c>
      <c r="I417" t="n">
        <v>1.8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39700-2026</t>
        </is>
      </c>
      <c r="B418" t="inlineStr">
        <is>
          <t>avverkningsanmälan</t>
        </is>
      </c>
      <c r="C418" t="inlineStr">
        <is>
          <t>Avverkning för annat ändamål</t>
        </is>
      </c>
      <c r="D418" s="1" t="n">
        <v>46289</v>
      </c>
      <c r="E418" s="1" t="n">
        <v>46318</v>
      </c>
      <c r="F418" t="inlineStr">
        <is>
          <t>SÖDERMANLANDS LÄN</t>
        </is>
      </c>
      <c r="G418" t="inlineStr">
        <is>
          <t>ESKILSTUNA</t>
        </is>
      </c>
      <c r="H418" t="inlineStr">
        <is>
          <t>Kyrkan</t>
        </is>
      </c>
      <c r="I418" t="n">
        <v>1.2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11705-2022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44634</v>
      </c>
      <c r="E419" s="1" t="n">
        <v>46318</v>
      </c>
      <c r="F419" t="inlineStr">
        <is>
          <t>SÖDERMANLANDS LÄN</t>
        </is>
      </c>
      <c r="G419" t="inlineStr">
        <is>
          <t>ESKILSTUNA</t>
        </is>
      </c>
      <c r="I419" t="n">
        <v>1.7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3145-2023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44946</v>
      </c>
      <c r="E420" s="1" t="n">
        <v>46318</v>
      </c>
      <c r="F420" t="inlineStr">
        <is>
          <t>SÖDERMANLANDS LÄN</t>
        </is>
      </c>
      <c r="G420" t="inlineStr">
        <is>
          <t>ESKILSTUNA</t>
        </is>
      </c>
      <c r="I420" t="n">
        <v>0.6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34485-2026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46254</v>
      </c>
      <c r="E421" s="1" t="n">
        <v>46318</v>
      </c>
      <c r="F421" t="inlineStr">
        <is>
          <t>SÖDERMANLANDS LÄN</t>
        </is>
      </c>
      <c r="G421" t="inlineStr">
        <is>
          <t>ESKILSTUNA</t>
        </is>
      </c>
      <c r="H421" t="inlineStr">
        <is>
          <t>Allmännings- och besparingsskogar</t>
        </is>
      </c>
      <c r="I421" t="n">
        <v>3.7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34468-2026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46254</v>
      </c>
      <c r="E422" s="1" t="n">
        <v>46318</v>
      </c>
      <c r="F422" t="inlineStr">
        <is>
          <t>SÖDERMANLANDS LÄN</t>
        </is>
      </c>
      <c r="G422" t="inlineStr">
        <is>
          <t>ESKILSTUNA</t>
        </is>
      </c>
      <c r="I422" t="n">
        <v>4.9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53098-2022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44873</v>
      </c>
      <c r="E423" s="1" t="n">
        <v>46318</v>
      </c>
      <c r="F423" t="inlineStr">
        <is>
          <t>SÖDERMANLANDS LÄN</t>
        </is>
      </c>
      <c r="G423" t="inlineStr">
        <is>
          <t>ESKILSTUNA</t>
        </is>
      </c>
      <c r="I423" t="n">
        <v>0.9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23-2023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44928</v>
      </c>
      <c r="E424" s="1" t="n">
        <v>46318</v>
      </c>
      <c r="F424" t="inlineStr">
        <is>
          <t>SÖDERMANLANDS LÄN</t>
        </is>
      </c>
      <c r="G424" t="inlineStr">
        <is>
          <t>ESKILSTUNA</t>
        </is>
      </c>
      <c r="I424" t="n">
        <v>1.2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3112-2023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44946</v>
      </c>
      <c r="E425" s="1" t="n">
        <v>46318</v>
      </c>
      <c r="F425" t="inlineStr">
        <is>
          <t>SÖDERMANLANDS LÄN</t>
        </is>
      </c>
      <c r="G425" t="inlineStr">
        <is>
          <t>ESKILSTUNA</t>
        </is>
      </c>
      <c r="I425" t="n">
        <v>0.7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46796-2023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45198</v>
      </c>
      <c r="E426" s="1" t="n">
        <v>46318</v>
      </c>
      <c r="F426" t="inlineStr">
        <is>
          <t>SÖDERMANLANDS LÄN</t>
        </is>
      </c>
      <c r="G426" t="inlineStr">
        <is>
          <t>ESKILSTUNA</t>
        </is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36613-2024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45537</v>
      </c>
      <c r="E427" s="1" t="n">
        <v>46318</v>
      </c>
      <c r="F427" t="inlineStr">
        <is>
          <t>SÖDERMANLANDS LÄN</t>
        </is>
      </c>
      <c r="G427" t="inlineStr">
        <is>
          <t>ESKILSTUNA</t>
        </is>
      </c>
      <c r="I427" t="n">
        <v>1.9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6598-2024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45341</v>
      </c>
      <c r="E428" s="1" t="n">
        <v>46318</v>
      </c>
      <c r="F428" t="inlineStr">
        <is>
          <t>SÖDERMANLANDS LÄN</t>
        </is>
      </c>
      <c r="G428" t="inlineStr">
        <is>
          <t>ESKILSTUNA</t>
        </is>
      </c>
      <c r="I428" t="n">
        <v>2.4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28582-2023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45103</v>
      </c>
      <c r="E429" s="1" t="n">
        <v>46318</v>
      </c>
      <c r="F429" t="inlineStr">
        <is>
          <t>SÖDERMANLANDS LÄN</t>
        </is>
      </c>
      <c r="G429" t="inlineStr">
        <is>
          <t>ESKILSTUNA</t>
        </is>
      </c>
      <c r="H429" t="inlineStr">
        <is>
          <t>Sveaskog</t>
        </is>
      </c>
      <c r="I429" t="n">
        <v>1.4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1458-2025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45670</v>
      </c>
      <c r="E430" s="1" t="n">
        <v>46318</v>
      </c>
      <c r="F430" t="inlineStr">
        <is>
          <t>SÖDERMANLANDS LÄN</t>
        </is>
      </c>
      <c r="G430" t="inlineStr">
        <is>
          <t>ESKILSTUNA</t>
        </is>
      </c>
      <c r="I430" t="n">
        <v>1.2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4249-2023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44953</v>
      </c>
      <c r="E431" s="1" t="n">
        <v>46318</v>
      </c>
      <c r="F431" t="inlineStr">
        <is>
          <t>SÖDERMANLANDS LÄN</t>
        </is>
      </c>
      <c r="G431" t="inlineStr">
        <is>
          <t>ESKILSTUNA</t>
        </is>
      </c>
      <c r="H431" t="inlineStr">
        <is>
          <t>Allmännings- och besparingsskogar</t>
        </is>
      </c>
      <c r="I431" t="n">
        <v>1.4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52663-2023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45225</v>
      </c>
      <c r="E432" s="1" t="n">
        <v>46318</v>
      </c>
      <c r="F432" t="inlineStr">
        <is>
          <t>SÖDERMANLANDS LÄN</t>
        </is>
      </c>
      <c r="G432" t="inlineStr">
        <is>
          <t>ESKILSTUNA</t>
        </is>
      </c>
      <c r="I432" t="n">
        <v>2.1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6405-2023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44965</v>
      </c>
      <c r="E433" s="1" t="n">
        <v>46318</v>
      </c>
      <c r="F433" t="inlineStr">
        <is>
          <t>SÖDERMANLANDS LÄN</t>
        </is>
      </c>
      <c r="G433" t="inlineStr">
        <is>
          <t>ESKILSTUNA</t>
        </is>
      </c>
      <c r="I433" t="n">
        <v>1.5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44615-2022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44839</v>
      </c>
      <c r="E434" s="1" t="n">
        <v>46318</v>
      </c>
      <c r="F434" t="inlineStr">
        <is>
          <t>SÖDERMANLANDS LÄN</t>
        </is>
      </c>
      <c r="G434" t="inlineStr">
        <is>
          <t>ESKILSTUNA</t>
        </is>
      </c>
      <c r="I434" t="n">
        <v>2.5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6325-2023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44965</v>
      </c>
      <c r="E435" s="1" t="n">
        <v>46318</v>
      </c>
      <c r="F435" t="inlineStr">
        <is>
          <t>SÖDERMANLANDS LÄN</t>
        </is>
      </c>
      <c r="G435" t="inlineStr">
        <is>
          <t>ESKILSTUNA</t>
        </is>
      </c>
      <c r="H435" t="inlineStr">
        <is>
          <t>Allmännings- och besparingsskogar</t>
        </is>
      </c>
      <c r="I435" t="n">
        <v>0.8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49469-2022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44861</v>
      </c>
      <c r="E436" s="1" t="n">
        <v>46318</v>
      </c>
      <c r="F436" t="inlineStr">
        <is>
          <t>SÖDERMANLANDS LÄN</t>
        </is>
      </c>
      <c r="G436" t="inlineStr">
        <is>
          <t>ESKILSTUNA</t>
        </is>
      </c>
      <c r="H436" t="inlineStr">
        <is>
          <t>Allmännings- och besparingsskogar</t>
        </is>
      </c>
      <c r="I436" t="n">
        <v>5.8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12297-2023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44998</v>
      </c>
      <c r="E437" s="1" t="n">
        <v>46318</v>
      </c>
      <c r="F437" t="inlineStr">
        <is>
          <t>SÖDERMANLANDS LÄN</t>
        </is>
      </c>
      <c r="G437" t="inlineStr">
        <is>
          <t>ESKILSTUNA</t>
        </is>
      </c>
      <c r="H437" t="inlineStr">
        <is>
          <t>Kommuner</t>
        </is>
      </c>
      <c r="I437" t="n">
        <v>4.1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20842-2023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45058</v>
      </c>
      <c r="E438" s="1" t="n">
        <v>46318</v>
      </c>
      <c r="F438" t="inlineStr">
        <is>
          <t>SÖDERMANLANDS LÄN</t>
        </is>
      </c>
      <c r="G438" t="inlineStr">
        <is>
          <t>ESKILSTUNA</t>
        </is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40574-2023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45170</v>
      </c>
      <c r="E439" s="1" t="n">
        <v>46318</v>
      </c>
      <c r="F439" t="inlineStr">
        <is>
          <t>SÖDERMANLANDS LÄN</t>
        </is>
      </c>
      <c r="G439" t="inlineStr">
        <is>
          <t>ESKILSTUNA</t>
        </is>
      </c>
      <c r="I439" t="n">
        <v>1.8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59151-2022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44904</v>
      </c>
      <c r="E440" s="1" t="n">
        <v>46318</v>
      </c>
      <c r="F440" t="inlineStr">
        <is>
          <t>SÖDERMANLANDS LÄN</t>
        </is>
      </c>
      <c r="G440" t="inlineStr">
        <is>
          <t>ESKILSTUNA</t>
        </is>
      </c>
      <c r="H440" t="inlineStr">
        <is>
          <t>Allmännings- och besparingsskogar</t>
        </is>
      </c>
      <c r="I440" t="n">
        <v>1.3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16339-2024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45407</v>
      </c>
      <c r="E441" s="1" t="n">
        <v>46318</v>
      </c>
      <c r="F441" t="inlineStr">
        <is>
          <t>SÖDERMANLANDS LÄN</t>
        </is>
      </c>
      <c r="G441" t="inlineStr">
        <is>
          <t>ESKILSTUNA</t>
        </is>
      </c>
      <c r="I441" t="n">
        <v>3.9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10715-2022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44626</v>
      </c>
      <c r="E442" s="1" t="n">
        <v>46318</v>
      </c>
      <c r="F442" t="inlineStr">
        <is>
          <t>SÖDERMANLANDS LÄN</t>
        </is>
      </c>
      <c r="G442" t="inlineStr">
        <is>
          <t>ESKILSTUNA</t>
        </is>
      </c>
      <c r="I442" t="n">
        <v>3.7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31983-2023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45119</v>
      </c>
      <c r="E443" s="1" t="n">
        <v>46318</v>
      </c>
      <c r="F443" t="inlineStr">
        <is>
          <t>SÖDERMANLANDS LÄN</t>
        </is>
      </c>
      <c r="G443" t="inlineStr">
        <is>
          <t>ESKILSTUNA</t>
        </is>
      </c>
      <c r="H443" t="inlineStr">
        <is>
          <t>Sveaskog</t>
        </is>
      </c>
      <c r="I443" t="n">
        <v>3.2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36142-2022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44803</v>
      </c>
      <c r="E444" s="1" t="n">
        <v>46318</v>
      </c>
      <c r="F444" t="inlineStr">
        <is>
          <t>SÖDERMANLANDS LÄN</t>
        </is>
      </c>
      <c r="G444" t="inlineStr">
        <is>
          <t>ESKILSTUNA</t>
        </is>
      </c>
      <c r="I444" t="n">
        <v>0.5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36153-2022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44803</v>
      </c>
      <c r="E445" s="1" t="n">
        <v>46318</v>
      </c>
      <c r="F445" t="inlineStr">
        <is>
          <t>SÖDERMANLANDS LÄN</t>
        </is>
      </c>
      <c r="G445" t="inlineStr">
        <is>
          <t>ESKILSTUNA</t>
        </is>
      </c>
      <c r="I445" t="n">
        <v>2.7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42545-2025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45905</v>
      </c>
      <c r="E446" s="1" t="n">
        <v>46318</v>
      </c>
      <c r="F446" t="inlineStr">
        <is>
          <t>SÖDERMANLANDS LÄN</t>
        </is>
      </c>
      <c r="G446" t="inlineStr">
        <is>
          <t>ESKILSTUNA</t>
        </is>
      </c>
      <c r="I446" t="n">
        <v>7.3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1340-2024</t>
        </is>
      </c>
      <c r="B447" t="inlineStr">
        <is>
          <t>avverkningsanmälan</t>
        </is>
      </c>
      <c r="C447" t="inlineStr">
        <is>
          <t>Avverkning för att bevara och utveckla /försöksver</t>
        </is>
      </c>
      <c r="D447" s="1" t="n">
        <v>45303</v>
      </c>
      <c r="E447" s="1" t="n">
        <v>46318</v>
      </c>
      <c r="F447" t="inlineStr">
        <is>
          <t>SÖDERMANLANDS LÄN</t>
        </is>
      </c>
      <c r="G447" t="inlineStr">
        <is>
          <t>ESKILSTUNA</t>
        </is>
      </c>
      <c r="I447" t="n">
        <v>2.2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1343-2024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45303</v>
      </c>
      <c r="E448" s="1" t="n">
        <v>46318</v>
      </c>
      <c r="F448" t="inlineStr">
        <is>
          <t>SÖDERMANLANDS LÄN</t>
        </is>
      </c>
      <c r="G448" t="inlineStr">
        <is>
          <t>ESKILSTUNA</t>
        </is>
      </c>
      <c r="I448" t="n">
        <v>0.5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48998-2023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45209</v>
      </c>
      <c r="E449" s="1" t="n">
        <v>46318</v>
      </c>
      <c r="F449" t="inlineStr">
        <is>
          <t>SÖDERMANLANDS LÄN</t>
        </is>
      </c>
      <c r="G449" t="inlineStr">
        <is>
          <t>ESKILSTUNA</t>
        </is>
      </c>
      <c r="I449" t="n">
        <v>0.6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48877-2023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45209</v>
      </c>
      <c r="E450" s="1" t="n">
        <v>46318</v>
      </c>
      <c r="F450" t="inlineStr">
        <is>
          <t>SÖDERMANLANDS LÄN</t>
        </is>
      </c>
      <c r="G450" t="inlineStr">
        <is>
          <t>ESKILSTUNA</t>
        </is>
      </c>
      <c r="I450" t="n">
        <v>0.7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13280-2023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45004</v>
      </c>
      <c r="E451" s="1" t="n">
        <v>46318</v>
      </c>
      <c r="F451" t="inlineStr">
        <is>
          <t>SÖDERMANLANDS LÄN</t>
        </is>
      </c>
      <c r="G451" t="inlineStr">
        <is>
          <t>ESKILSTUNA</t>
        </is>
      </c>
      <c r="I451" t="n">
        <v>0.8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16150-2025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45750</v>
      </c>
      <c r="E452" s="1" t="n">
        <v>46318</v>
      </c>
      <c r="F452" t="inlineStr">
        <is>
          <t>SÖDERMANLANDS LÄN</t>
        </is>
      </c>
      <c r="G452" t="inlineStr">
        <is>
          <t>ESKILSTUNA</t>
        </is>
      </c>
      <c r="I452" t="n">
        <v>0.3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43094-2026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46311</v>
      </c>
      <c r="E453" s="1" t="n">
        <v>46318</v>
      </c>
      <c r="F453" t="inlineStr">
        <is>
          <t>SÖDERMANLANDS LÄN</t>
        </is>
      </c>
      <c r="G453" t="inlineStr">
        <is>
          <t>ESKILSTUNA</t>
        </is>
      </c>
      <c r="I453" t="n">
        <v>2.3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51575-2024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45604</v>
      </c>
      <c r="E454" s="1" t="n">
        <v>46318</v>
      </c>
      <c r="F454" t="inlineStr">
        <is>
          <t>SÖDERMANLANDS LÄN</t>
        </is>
      </c>
      <c r="G454" t="inlineStr">
        <is>
          <t>ESKILSTUNA</t>
        </is>
      </c>
      <c r="I454" t="n">
        <v>0.7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35377-2023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45146</v>
      </c>
      <c r="E455" s="1" t="n">
        <v>46318</v>
      </c>
      <c r="F455" t="inlineStr">
        <is>
          <t>SÖDERMANLANDS LÄN</t>
        </is>
      </c>
      <c r="G455" t="inlineStr">
        <is>
          <t>ESKILSTUNA</t>
        </is>
      </c>
      <c r="H455" t="inlineStr">
        <is>
          <t>Kyrkan</t>
        </is>
      </c>
      <c r="I455" t="n">
        <v>1.3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42926-2026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46310</v>
      </c>
      <c r="E456" s="1" t="n">
        <v>46318</v>
      </c>
      <c r="F456" t="inlineStr">
        <is>
          <t>SÖDERMANLANDS LÄN</t>
        </is>
      </c>
      <c r="G456" t="inlineStr">
        <is>
          <t>ESKILSTUNA</t>
        </is>
      </c>
      <c r="H456" t="inlineStr">
        <is>
          <t>Allmännings- och besparingsskogar</t>
        </is>
      </c>
      <c r="I456" t="n">
        <v>11.1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42935-2026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46310</v>
      </c>
      <c r="E457" s="1" t="n">
        <v>46318</v>
      </c>
      <c r="F457" t="inlineStr">
        <is>
          <t>SÖDERMANLANDS LÄN</t>
        </is>
      </c>
      <c r="G457" t="inlineStr">
        <is>
          <t>ESKILSTUNA</t>
        </is>
      </c>
      <c r="H457" t="inlineStr">
        <is>
          <t>Allmännings- och besparingsskogar</t>
        </is>
      </c>
      <c r="I457" t="n">
        <v>1.8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39291-2023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45166</v>
      </c>
      <c r="E458" s="1" t="n">
        <v>46318</v>
      </c>
      <c r="F458" t="inlineStr">
        <is>
          <t>SÖDERMANLANDS LÄN</t>
        </is>
      </c>
      <c r="G458" t="inlineStr">
        <is>
          <t>ESKILSTUNA</t>
        </is>
      </c>
      <c r="I458" t="n">
        <v>3.6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23639-2023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45077</v>
      </c>
      <c r="E459" s="1" t="n">
        <v>46318</v>
      </c>
      <c r="F459" t="inlineStr">
        <is>
          <t>SÖDERMANLANDS LÄN</t>
        </is>
      </c>
      <c r="G459" t="inlineStr">
        <is>
          <t>ESKILSTUNA</t>
        </is>
      </c>
      <c r="I459" t="n">
        <v>1.1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1346-2024</t>
        </is>
      </c>
      <c r="B460" t="inlineStr">
        <is>
          <t>avverkningsanmälan</t>
        </is>
      </c>
      <c r="C460" t="inlineStr">
        <is>
          <t>Avverkning för att bevara och utveckla /försöksver</t>
        </is>
      </c>
      <c r="D460" s="1" t="n">
        <v>45303</v>
      </c>
      <c r="E460" s="1" t="n">
        <v>46318</v>
      </c>
      <c r="F460" t="inlineStr">
        <is>
          <t>SÖDERMANLANDS LÄN</t>
        </is>
      </c>
      <c r="G460" t="inlineStr">
        <is>
          <t>ESKILSTUNA</t>
        </is>
      </c>
      <c r="I460" t="n">
        <v>1.8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20984-2023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45061</v>
      </c>
      <c r="E461" s="1" t="n">
        <v>46318</v>
      </c>
      <c r="F461" t="inlineStr">
        <is>
          <t>SÖDERMANLANDS LÄN</t>
        </is>
      </c>
      <c r="G461" t="inlineStr">
        <is>
          <t>ESKILSTUNA</t>
        </is>
      </c>
      <c r="H461" t="inlineStr">
        <is>
          <t>Allmännings- och besparingsskogar</t>
        </is>
      </c>
      <c r="I461" t="n">
        <v>6.9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17376-2025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45756</v>
      </c>
      <c r="E462" s="1" t="n">
        <v>46318</v>
      </c>
      <c r="F462" t="inlineStr">
        <is>
          <t>SÖDERMANLANDS LÄN</t>
        </is>
      </c>
      <c r="G462" t="inlineStr">
        <is>
          <t>ESKILSTUNA</t>
        </is>
      </c>
      <c r="H462" t="inlineStr">
        <is>
          <t>Allmännings- och besparingsskogar</t>
        </is>
      </c>
      <c r="I462" t="n">
        <v>1.3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25668-2022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44732</v>
      </c>
      <c r="E463" s="1" t="n">
        <v>46318</v>
      </c>
      <c r="F463" t="inlineStr">
        <is>
          <t>SÖDERMANLANDS LÄN</t>
        </is>
      </c>
      <c r="G463" t="inlineStr">
        <is>
          <t>ESKILSTUNA</t>
        </is>
      </c>
      <c r="I463" t="n">
        <v>2.6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60533-2024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45643</v>
      </c>
      <c r="E464" s="1" t="n">
        <v>46318</v>
      </c>
      <c r="F464" t="inlineStr">
        <is>
          <t>SÖDERMANLANDS LÄN</t>
        </is>
      </c>
      <c r="G464" t="inlineStr">
        <is>
          <t>ESKILSTUNA</t>
        </is>
      </c>
      <c r="I464" t="n">
        <v>4.9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43501-2022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44837</v>
      </c>
      <c r="E465" s="1" t="n">
        <v>46318</v>
      </c>
      <c r="F465" t="inlineStr">
        <is>
          <t>SÖDERMANLANDS LÄN</t>
        </is>
      </c>
      <c r="G465" t="inlineStr">
        <is>
          <t>ESKILSTUNA</t>
        </is>
      </c>
      <c r="H465" t="inlineStr">
        <is>
          <t>Sveaskog</t>
        </is>
      </c>
      <c r="I465" t="n">
        <v>1.4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33255-2024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45518</v>
      </c>
      <c r="E466" s="1" t="n">
        <v>46318</v>
      </c>
      <c r="F466" t="inlineStr">
        <is>
          <t>SÖDERMANLANDS LÄN</t>
        </is>
      </c>
      <c r="G466" t="inlineStr">
        <is>
          <t>ESKILSTUNA</t>
        </is>
      </c>
      <c r="H466" t="inlineStr">
        <is>
          <t>Övriga Aktiebolag</t>
        </is>
      </c>
      <c r="I466" t="n">
        <v>0.9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61861-2022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44917</v>
      </c>
      <c r="E467" s="1" t="n">
        <v>46318</v>
      </c>
      <c r="F467" t="inlineStr">
        <is>
          <t>SÖDERMANLANDS LÄN</t>
        </is>
      </c>
      <c r="G467" t="inlineStr">
        <is>
          <t>ESKILSTUNA</t>
        </is>
      </c>
      <c r="I467" t="n">
        <v>1.9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16391-2022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44671</v>
      </c>
      <c r="E468" s="1" t="n">
        <v>46318</v>
      </c>
      <c r="F468" t="inlineStr">
        <is>
          <t>SÖDERMANLANDS LÄN</t>
        </is>
      </c>
      <c r="G468" t="inlineStr">
        <is>
          <t>ESKILSTUNA</t>
        </is>
      </c>
      <c r="I468" t="n">
        <v>1.5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20355-2024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45435</v>
      </c>
      <c r="E469" s="1" t="n">
        <v>46318</v>
      </c>
      <c r="F469" t="inlineStr">
        <is>
          <t>SÖDERMANLANDS LÄN</t>
        </is>
      </c>
      <c r="G469" t="inlineStr">
        <is>
          <t>ESKILSTUNA</t>
        </is>
      </c>
      <c r="I469" t="n">
        <v>0.4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S 1333-2020</t>
        </is>
      </c>
      <c r="B470" t="inlineStr">
        <is>
          <t>samrådsanmälan</t>
        </is>
      </c>
      <c r="C470" t="inlineStr">
        <is>
          <t>Åtgärd i nyckelbiotop</t>
        </is>
      </c>
      <c r="D470" s="1" t="n">
        <v>43993</v>
      </c>
      <c r="E470" s="1" t="n">
        <v>46318</v>
      </c>
      <c r="F470" t="inlineStr">
        <is>
          <t>SÖDERMANLANDS LÄN</t>
        </is>
      </c>
      <c r="G470" t="inlineStr">
        <is>
          <t>ESKILSTUNA</t>
        </is>
      </c>
      <c r="H470" t="inlineStr">
        <is>
          <t>Allmännings- och besparingsskogar</t>
        </is>
      </c>
      <c r="I470" t="n">
        <v>2.1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S 383-2023</t>
        </is>
      </c>
      <c r="B471" t="inlineStr">
        <is>
          <t>samrådsanmälan</t>
        </is>
      </c>
      <c r="C471" t="inlineStr">
        <is>
          <t>Annan skogsbruksåtgärd</t>
        </is>
      </c>
      <c r="D471" s="1" t="n">
        <v>44959</v>
      </c>
      <c r="E471" s="1" t="n">
        <v>46318</v>
      </c>
      <c r="F471" t="inlineStr">
        <is>
          <t>SÖDERMANLANDS LÄN</t>
        </is>
      </c>
      <c r="G471" t="inlineStr">
        <is>
          <t>ESKILSTUNA</t>
        </is>
      </c>
      <c r="I471" t="n">
        <v>0.8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S 3665-2023</t>
        </is>
      </c>
      <c r="B472" t="inlineStr">
        <is>
          <t>samrådsanmälan</t>
        </is>
      </c>
      <c r="C472" t="inlineStr">
        <is>
          <t>Annan skogsbruksåtgärd</t>
        </is>
      </c>
      <c r="D472" s="1" t="n">
        <v>45217</v>
      </c>
      <c r="E472" s="1" t="n">
        <v>46318</v>
      </c>
      <c r="F472" t="inlineStr">
        <is>
          <t>SÖDERMANLANDS LÄN</t>
        </is>
      </c>
      <c r="G472" t="inlineStr">
        <is>
          <t>ESKILSTUNA</t>
        </is>
      </c>
      <c r="I472" t="n">
        <v>2.3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S 4583-2023</t>
        </is>
      </c>
      <c r="B473" t="inlineStr">
        <is>
          <t>samrådsanmälan</t>
        </is>
      </c>
      <c r="C473" t="inlineStr">
        <is>
          <t>Skogsgödsling</t>
        </is>
      </c>
      <c r="D473" s="1" t="n">
        <v>45282</v>
      </c>
      <c r="E473" s="1" t="n">
        <v>46318</v>
      </c>
      <c r="F473" t="inlineStr">
        <is>
          <t>SÖDERMANLANDS LÄN</t>
        </is>
      </c>
      <c r="G473" t="inlineStr">
        <is>
          <t>ESKILSTUNA</t>
        </is>
      </c>
      <c r="I473" t="n">
        <v>31.4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S 1601-2025</t>
        </is>
      </c>
      <c r="B474" t="inlineStr">
        <is>
          <t>samrådsanmälan</t>
        </is>
      </c>
      <c r="C474" t="inlineStr">
        <is>
          <t>Annan skogsbruksåtgärd</t>
        </is>
      </c>
      <c r="D474" s="1" t="n">
        <v>45798</v>
      </c>
      <c r="E474" s="1" t="n">
        <v>46318</v>
      </c>
      <c r="F474" t="inlineStr">
        <is>
          <t>SÖDERMANLANDS LÄN</t>
        </is>
      </c>
      <c r="G474" t="inlineStr">
        <is>
          <t>ESKILSTUNA</t>
        </is>
      </c>
      <c r="H474" t="inlineStr">
        <is>
          <t>Sveaskog</t>
        </is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S 1602-2025</t>
        </is>
      </c>
      <c r="B475" t="inlineStr">
        <is>
          <t>samrådsanmälan</t>
        </is>
      </c>
      <c r="C475" t="inlineStr">
        <is>
          <t>Annan skogsbruksåtgärd</t>
        </is>
      </c>
      <c r="D475" s="1" t="n">
        <v>45798</v>
      </c>
      <c r="E475" s="1" t="n">
        <v>46318</v>
      </c>
      <c r="F475" t="inlineStr">
        <is>
          <t>SÖDERMANLANDS LÄN</t>
        </is>
      </c>
      <c r="G475" t="inlineStr">
        <is>
          <t>ESKILSTUNA</t>
        </is>
      </c>
      <c r="H475" t="inlineStr">
        <is>
          <t>Sveaskog</t>
        </is>
      </c>
      <c r="I475" t="n">
        <v>1.2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S 291-2025</t>
        </is>
      </c>
      <c r="B476" t="inlineStr">
        <is>
          <t>samrådsanmälan</t>
        </is>
      </c>
      <c r="C476" t="inlineStr">
        <is>
          <t>Annan skogsbruksåtgärd</t>
        </is>
      </c>
      <c r="D476" s="1" t="n">
        <v>45686</v>
      </c>
      <c r="E476" s="1" t="n">
        <v>46318</v>
      </c>
      <c r="F476" t="inlineStr">
        <is>
          <t>SÖDERMANLANDS LÄN</t>
        </is>
      </c>
      <c r="G476" t="inlineStr">
        <is>
          <t>ESKILSTUNA</t>
        </is>
      </c>
      <c r="I476" t="n">
        <v>0.5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S 2917-2024</t>
        </is>
      </c>
      <c r="B477" t="inlineStr">
        <is>
          <t>samrådsanmälan</t>
        </is>
      </c>
      <c r="C477" t="inlineStr">
        <is>
          <t>Annan skogsbruksåtgärd</t>
        </is>
      </c>
      <c r="D477" s="1" t="n">
        <v>45504</v>
      </c>
      <c r="E477" s="1" t="n">
        <v>46318</v>
      </c>
      <c r="F477" t="inlineStr">
        <is>
          <t>SÖDERMANLANDS LÄN</t>
        </is>
      </c>
      <c r="G477" t="inlineStr">
        <is>
          <t>ESKILSTUNA</t>
        </is>
      </c>
      <c r="I477" t="n">
        <v>0.4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S 1920-2025</t>
        </is>
      </c>
      <c r="B478" t="inlineStr">
        <is>
          <t>samrådsanmälan</t>
        </is>
      </c>
      <c r="C478" t="inlineStr">
        <is>
          <t>Annan skogsbruksåtgärd</t>
        </is>
      </c>
      <c r="D478" s="1" t="n">
        <v>45826</v>
      </c>
      <c r="E478" s="1" t="n">
        <v>46318</v>
      </c>
      <c r="F478" t="inlineStr">
        <is>
          <t>SÖDERMANLANDS LÄN</t>
        </is>
      </c>
      <c r="G478" t="inlineStr">
        <is>
          <t>ESKILSTUNA</t>
        </is>
      </c>
      <c r="I478" t="n">
        <v>0.9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S 1030-2026</t>
        </is>
      </c>
      <c r="B479" t="inlineStr">
        <is>
          <t>samrådsanmälan</t>
        </is>
      </c>
      <c r="C479" t="inlineStr">
        <is>
          <t>Annan skogsbruksåtgärd</t>
        </is>
      </c>
      <c r="D479" s="1" t="n">
        <v>46125</v>
      </c>
      <c r="E479" s="1" t="n">
        <v>46318</v>
      </c>
      <c r="F479" t="inlineStr">
        <is>
          <t>SÖDERMANLANDS LÄN</t>
        </is>
      </c>
      <c r="G479" t="inlineStr">
        <is>
          <t>ESKILSTUNA</t>
        </is>
      </c>
      <c r="H479" t="inlineStr">
        <is>
          <t>Sveaskog</t>
        </is>
      </c>
      <c r="I479" t="n">
        <v>0.5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S 1870-2026</t>
        </is>
      </c>
      <c r="B480" t="inlineStr">
        <is>
          <t>samrådsanmälan</t>
        </is>
      </c>
      <c r="C480" t="inlineStr">
        <is>
          <t>Annan skogsbruksåtgärd</t>
        </is>
      </c>
      <c r="D480" s="1" t="n">
        <v>46199</v>
      </c>
      <c r="E480" s="1" t="n">
        <v>46318</v>
      </c>
      <c r="F480" t="inlineStr">
        <is>
          <t>SÖDERMANLANDS LÄN</t>
        </is>
      </c>
      <c r="G480" t="inlineStr">
        <is>
          <t>ESKILSTUNA</t>
        </is>
      </c>
      <c r="H480" t="inlineStr">
        <is>
          <t>Sveaskog</t>
        </is>
      </c>
      <c r="I480" t="n">
        <v>0.8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>
      <c r="A481" t="inlineStr">
        <is>
          <t>S 1871-2026</t>
        </is>
      </c>
      <c r="B481" t="inlineStr">
        <is>
          <t>samrådsanmälan</t>
        </is>
      </c>
      <c r="C481" t="inlineStr">
        <is>
          <t>Annan skogsbruksåtgärd</t>
        </is>
      </c>
      <c r="D481" s="1" t="n">
        <v>46199</v>
      </c>
      <c r="E481" s="1" t="n">
        <v>46318</v>
      </c>
      <c r="F481" t="inlineStr">
        <is>
          <t>SÖDERMANLANDS LÄN</t>
        </is>
      </c>
      <c r="G481" t="inlineStr">
        <is>
          <t>ESKILSTUNA</t>
        </is>
      </c>
      <c r="H481" t="inlineStr">
        <is>
          <t>Sveaskog</t>
        </is>
      </c>
      <c r="I481" t="n">
        <v>1.1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2026-10-23T01:57:57Z</dcterms:created>
  <dcterms:modified xmlns:dcterms="http://purl.org/dc/terms/" xmlns:xsi="http://www.w3.org/2001/XMLSchema-instance" xsi:type="dcterms:W3CDTF">2026-10-23T01:57:58Z</dcterms:modified>
</cp:coreProperties>
</file>