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46123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46123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46123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46123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46123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46123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46123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46123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46123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46123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46123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46123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46123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4436-2025</t>
        </is>
      </c>
      <c r="B15" s="1" t="n">
        <v>45686</v>
      </c>
      <c r="C15" s="1" t="n">
        <v>46123</v>
      </c>
      <c r="D15" t="inlineStr">
        <is>
          <t>SÖDERMANLANDS LÄN</t>
        </is>
      </c>
      <c r="E15" t="inlineStr">
        <is>
          <t>ESKILSTUNA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Vårärt
Blåsippa</t>
        </is>
      </c>
      <c r="S15">
        <f>HYPERLINK("https://klasma.github.io/Logging_0484/artfynd/A 4436-2025 artfynd.xlsx", "A 4436-2025")</f>
        <v/>
      </c>
      <c r="T15">
        <f>HYPERLINK("https://klasma.github.io/Logging_0484/kartor/A 4436-2025 karta.png", "A 4436-2025")</f>
        <v/>
      </c>
      <c r="V15">
        <f>HYPERLINK("https://klasma.github.io/Logging_0484/klagomål/A 4436-2025 FSC-klagomål.docx", "A 4436-2025")</f>
        <v/>
      </c>
      <c r="W15">
        <f>HYPERLINK("https://klasma.github.io/Logging_0484/klagomålsmail/A 4436-2025 FSC-klagomål mail.docx", "A 4436-2025")</f>
        <v/>
      </c>
      <c r="X15">
        <f>HYPERLINK("https://klasma.github.io/Logging_0484/tillsyn/A 4436-2025 tillsynsbegäran.docx", "A 4436-2025")</f>
        <v/>
      </c>
      <c r="Y15">
        <f>HYPERLINK("https://klasma.github.io/Logging_0484/tillsynsmail/A 4436-2025 tillsynsbegäran mail.docx", "A 4436-2025")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46123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46123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46123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46123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46123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9495-2025</t>
        </is>
      </c>
      <c r="B21" s="1" t="n">
        <v>45715</v>
      </c>
      <c r="C21" s="1" t="n">
        <v>46123</v>
      </c>
      <c r="D21" t="inlineStr">
        <is>
          <t>SÖDERMANLANDS LÄN</t>
        </is>
      </c>
      <c r="E21" t="inlineStr">
        <is>
          <t>ESKILSTUNA</t>
        </is>
      </c>
      <c r="G21" t="n">
        <v>9.6</v>
      </c>
      <c r="H21" t="n">
        <v>0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Ask
Svinrot
Ängsskära</t>
        </is>
      </c>
      <c r="S21">
        <f>HYPERLINK("https://klasma.github.io/Logging_0484/artfynd/A 9495-2025 artfynd.xlsx", "A 9495-2025")</f>
        <v/>
      </c>
      <c r="T21">
        <f>HYPERLINK("https://klasma.github.io/Logging_0484/kartor/A 9495-2025 karta.png", "A 9495-2025")</f>
        <v/>
      </c>
      <c r="V21">
        <f>HYPERLINK("https://klasma.github.io/Logging_0484/klagomål/A 9495-2025 FSC-klagomål.docx", "A 9495-2025")</f>
        <v/>
      </c>
      <c r="W21">
        <f>HYPERLINK("https://klasma.github.io/Logging_0484/klagomålsmail/A 9495-2025 FSC-klagomål mail.docx", "A 9495-2025")</f>
        <v/>
      </c>
      <c r="X21">
        <f>HYPERLINK("https://klasma.github.io/Logging_0484/tillsyn/A 9495-2025 tillsynsbegäran.docx", "A 9495-2025")</f>
        <v/>
      </c>
      <c r="Y21">
        <f>HYPERLINK("https://klasma.github.io/Logging_0484/tillsynsmail/A 9495-2025 tillsynsbegäran mail.docx", "A 9495-2025")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46123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46123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46123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46123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 agg.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46123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43014-2024</t>
        </is>
      </c>
      <c r="B27" s="1" t="n">
        <v>45566</v>
      </c>
      <c r="C27" s="1" t="n">
        <v>46123</v>
      </c>
      <c r="D27" t="inlineStr">
        <is>
          <t>SÖDERMANLANDS LÄN</t>
        </is>
      </c>
      <c r="E27" t="inlineStr">
        <is>
          <t>ESKILSTUNA</t>
        </is>
      </c>
      <c r="G27" t="n">
        <v>19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Järpe
Kungsörn</t>
        </is>
      </c>
      <c r="S27">
        <f>HYPERLINK("https://klasma.github.io/Logging_0484/artfynd/A 43014-2024 artfynd.xlsx", "A 43014-2024")</f>
        <v/>
      </c>
      <c r="T27">
        <f>HYPERLINK("https://klasma.github.io/Logging_0484/kartor/A 43014-2024 karta.png", "A 43014-2024")</f>
        <v/>
      </c>
      <c r="V27">
        <f>HYPERLINK("https://klasma.github.io/Logging_0484/klagomål/A 43014-2024 FSC-klagomål.docx", "A 43014-2024")</f>
        <v/>
      </c>
      <c r="W27">
        <f>HYPERLINK("https://klasma.github.io/Logging_0484/klagomålsmail/A 43014-2024 FSC-klagomål mail.docx", "A 43014-2024")</f>
        <v/>
      </c>
      <c r="X27">
        <f>HYPERLINK("https://klasma.github.io/Logging_0484/tillsyn/A 43014-2024 tillsynsbegäran.docx", "A 43014-2024")</f>
        <v/>
      </c>
      <c r="Y27">
        <f>HYPERLINK("https://klasma.github.io/Logging_0484/tillsynsmail/A 43014-2024 tillsynsbegäran mail.docx", "A 43014-2024")</f>
        <v/>
      </c>
      <c r="Z27">
        <f>HYPERLINK("https://klasma.github.io/Logging_0484/fåglar/A 43014-2024 prioriterade fågelarter.docx", "A 43014-2024")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46123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46123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46123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46123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46123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46123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46123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16119-2026</t>
        </is>
      </c>
      <c r="B35" s="1" t="n">
        <v>46108.61869212963</v>
      </c>
      <c r="C35" s="1" t="n">
        <v>46123</v>
      </c>
      <c r="D35" t="inlineStr">
        <is>
          <t>SÖDERMANLANDS LÄN</t>
        </is>
      </c>
      <c r="E35" t="inlineStr">
        <is>
          <t>ESKILSTUNA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Springkorn
Revlummer</t>
        </is>
      </c>
      <c r="S35">
        <f>HYPERLINK("https://klasma.github.io/Logging_0484/artfynd/A 16119-2026 artfynd.xlsx", "A 16119-2026")</f>
        <v/>
      </c>
      <c r="T35">
        <f>HYPERLINK("https://klasma.github.io/Logging_0484/kartor/A 16119-2026 karta.png", "A 16119-2026")</f>
        <v/>
      </c>
      <c r="V35">
        <f>HYPERLINK("https://klasma.github.io/Logging_0484/klagomål/A 16119-2026 FSC-klagomål.docx", "A 16119-2026")</f>
        <v/>
      </c>
      <c r="W35">
        <f>HYPERLINK("https://klasma.github.io/Logging_0484/klagomålsmail/A 16119-2026 FSC-klagomål mail.docx", "A 16119-2026")</f>
        <v/>
      </c>
      <c r="X35">
        <f>HYPERLINK("https://klasma.github.io/Logging_0484/tillsyn/A 16119-2026 tillsynsbegäran.docx", "A 16119-2026")</f>
        <v/>
      </c>
      <c r="Y35">
        <f>HYPERLINK("https://klasma.github.io/Logging_0484/tillsynsmail/A 16119-2026 tillsynsbegäran mail.docx", "A 16119-2026")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46123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46123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46123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46123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61987-2022</t>
        </is>
      </c>
      <c r="B40" s="1" t="n">
        <v>44918</v>
      </c>
      <c r="C40" s="1" t="n">
        <v>46123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HYPERLINK("https://klasma.github.io/Logging_0484/artfynd/A 61987-2022 artfynd.xlsx", "A 61987-2022")</f>
        <v/>
      </c>
      <c r="T40">
        <f>HYPERLINK("https://klasma.github.io/Logging_0484/kartor/A 61987-2022 karta.png", "A 61987-2022")</f>
        <v/>
      </c>
      <c r="V40">
        <f>HYPERLINK("https://klasma.github.io/Logging_0484/klagomål/A 61987-2022 FSC-klagomål.docx", "A 61987-2022")</f>
        <v/>
      </c>
      <c r="W40">
        <f>HYPERLINK("https://klasma.github.io/Logging_0484/klagomålsmail/A 61987-2022 FSC-klagomål mail.docx", "A 61987-2022")</f>
        <v/>
      </c>
      <c r="X40">
        <f>HYPERLINK("https://klasma.github.io/Logging_0484/tillsyn/A 61987-2022 tillsynsbegäran.docx", "A 61987-2022")</f>
        <v/>
      </c>
      <c r="Y40">
        <f>HYPERLINK("https://klasma.github.io/Logging_0484/tillsynsmail/A 61987-2022 tillsynsbegäran mail.docx", "A 61987-2022")</f>
        <v/>
      </c>
    </row>
    <row r="41" ht="15" customHeight="1">
      <c r="A41" t="inlineStr">
        <is>
          <t>A 30975-2023</t>
        </is>
      </c>
      <c r="B41" s="1" t="n">
        <v>45103</v>
      </c>
      <c r="C41" s="1" t="n">
        <v>46123</v>
      </c>
      <c r="D41" t="inlineStr">
        <is>
          <t>SÖDERMANLANDS LÄN</t>
        </is>
      </c>
      <c r="E41" t="inlineStr">
        <is>
          <t>ESKILSTUNA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HYPERLINK("https://klasma.github.io/Logging_0484/artfynd/A 30975-2023 artfynd.xlsx", "A 30975-2023")</f>
        <v/>
      </c>
      <c r="T41">
        <f>HYPERLINK("https://klasma.github.io/Logging_0484/kartor/A 30975-2023 karta.png", "A 30975-2023")</f>
        <v/>
      </c>
      <c r="V41">
        <f>HYPERLINK("https://klasma.github.io/Logging_0484/klagomål/A 30975-2023 FSC-klagomål.docx", "A 30975-2023")</f>
        <v/>
      </c>
      <c r="W41">
        <f>HYPERLINK("https://klasma.github.io/Logging_0484/klagomålsmail/A 30975-2023 FSC-klagomål mail.docx", "A 30975-2023")</f>
        <v/>
      </c>
      <c r="X41">
        <f>HYPERLINK("https://klasma.github.io/Logging_0484/tillsyn/A 30975-2023 tillsynsbegäran.docx", "A 30975-2023")</f>
        <v/>
      </c>
      <c r="Y41">
        <f>HYPERLINK("https://klasma.github.io/Logging_0484/tillsynsmail/A 30975-2023 tillsynsbegäran mail.docx", "A 30975-2023")</f>
        <v/>
      </c>
    </row>
    <row r="42" ht="15" customHeight="1">
      <c r="A42" t="inlineStr">
        <is>
          <t>A 32314-2023</t>
        </is>
      </c>
      <c r="B42" s="1" t="n">
        <v>45120</v>
      </c>
      <c r="C42" s="1" t="n">
        <v>46123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HYPERLINK("https://klasma.github.io/Logging_0484/artfynd/A 32314-2023 artfynd.xlsx", "A 32314-2023")</f>
        <v/>
      </c>
      <c r="T42">
        <f>HYPERLINK("https://klasma.github.io/Logging_0484/kartor/A 32314-2023 karta.png", "A 32314-2023")</f>
        <v/>
      </c>
      <c r="V42">
        <f>HYPERLINK("https://klasma.github.io/Logging_0484/klagomål/A 32314-2023 FSC-klagomål.docx", "A 32314-2023")</f>
        <v/>
      </c>
      <c r="W42">
        <f>HYPERLINK("https://klasma.github.io/Logging_0484/klagomålsmail/A 32314-2023 FSC-klagomål mail.docx", "A 32314-2023")</f>
        <v/>
      </c>
      <c r="X42">
        <f>HYPERLINK("https://klasma.github.io/Logging_0484/tillsyn/A 32314-2023 tillsynsbegäran.docx", "A 32314-2023")</f>
        <v/>
      </c>
      <c r="Y42">
        <f>HYPERLINK("https://klasma.github.io/Logging_0484/tillsynsmail/A 32314-2023 tillsynsbegäran mail.docx", "A 32314-2023")</f>
        <v/>
      </c>
    </row>
    <row r="43" ht="15" customHeight="1">
      <c r="A43" t="inlineStr">
        <is>
          <t>A 65380-2021</t>
        </is>
      </c>
      <c r="B43" s="1" t="n">
        <v>44515</v>
      </c>
      <c r="C43" s="1" t="n">
        <v>46123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5.4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HYPERLINK("https://klasma.github.io/Logging_0484/artfynd/A 65380-2021 artfynd.xlsx", "A 65380-2021")</f>
        <v/>
      </c>
      <c r="T43">
        <f>HYPERLINK("https://klasma.github.io/Logging_0484/kartor/A 65380-2021 karta.png", "A 65380-2021")</f>
        <v/>
      </c>
      <c r="V43">
        <f>HYPERLINK("https://klasma.github.io/Logging_0484/klagomål/A 65380-2021 FSC-klagomål.docx", "A 65380-2021")</f>
        <v/>
      </c>
      <c r="W43">
        <f>HYPERLINK("https://klasma.github.io/Logging_0484/klagomålsmail/A 65380-2021 FSC-klagomål mail.docx", "A 65380-2021")</f>
        <v/>
      </c>
      <c r="X43">
        <f>HYPERLINK("https://klasma.github.io/Logging_0484/tillsyn/A 65380-2021 tillsynsbegäran.docx", "A 65380-2021")</f>
        <v/>
      </c>
      <c r="Y43">
        <f>HYPERLINK("https://klasma.github.io/Logging_0484/tillsynsmail/A 65380-2021 tillsynsbegäran mail.docx", "A 65380-2021")</f>
        <v/>
      </c>
    </row>
    <row r="44" ht="15" customHeight="1">
      <c r="A44" t="inlineStr">
        <is>
          <t>A 50760-2023</t>
        </is>
      </c>
      <c r="B44" s="1" t="n">
        <v>45217</v>
      </c>
      <c r="C44" s="1" t="n">
        <v>46123</v>
      </c>
      <c r="D44" t="inlineStr">
        <is>
          <t>SÖDERMANLANDS LÄN</t>
        </is>
      </c>
      <c r="E44" t="inlineStr">
        <is>
          <t>ESKILSTUNA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Pärluggla</t>
        </is>
      </c>
      <c r="S44">
        <f>HYPERLINK("https://klasma.github.io/Logging_0484/artfynd/A 50760-2023 artfynd.xlsx", "A 50760-2023")</f>
        <v/>
      </c>
      <c r="T44">
        <f>HYPERLINK("https://klasma.github.io/Logging_0484/kartor/A 50760-2023 karta.png", "A 50760-2023")</f>
        <v/>
      </c>
      <c r="V44">
        <f>HYPERLINK("https://klasma.github.io/Logging_0484/klagomål/A 50760-2023 FSC-klagomål.docx", "A 50760-2023")</f>
        <v/>
      </c>
      <c r="W44">
        <f>HYPERLINK("https://klasma.github.io/Logging_0484/klagomålsmail/A 50760-2023 FSC-klagomål mail.docx", "A 50760-2023")</f>
        <v/>
      </c>
      <c r="X44">
        <f>HYPERLINK("https://klasma.github.io/Logging_0484/tillsyn/A 50760-2023 tillsynsbegäran.docx", "A 50760-2023")</f>
        <v/>
      </c>
      <c r="Y44">
        <f>HYPERLINK("https://klasma.github.io/Logging_0484/tillsynsmail/A 50760-2023 tillsynsbegäran mail.docx", "A 50760-2023")</f>
        <v/>
      </c>
      <c r="Z44">
        <f>HYPERLINK("https://klasma.github.io/Logging_0484/fåglar/A 50760-2023 prioriterade fågelarter.docx", "A 50760-2023")</f>
        <v/>
      </c>
    </row>
    <row r="45" ht="15" customHeight="1">
      <c r="A45" t="inlineStr">
        <is>
          <t>A 31182-2021</t>
        </is>
      </c>
      <c r="B45" s="1" t="n">
        <v>44368</v>
      </c>
      <c r="C45" s="1" t="n">
        <v>46123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Övriga Aktiebolag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HYPERLINK("https://klasma.github.io/Logging_0484/artfynd/A 31182-2021 artfynd.xlsx", "A 31182-2021")</f>
        <v/>
      </c>
      <c r="T45">
        <f>HYPERLINK("https://klasma.github.io/Logging_0484/kartor/A 31182-2021 karta.png", "A 31182-2021")</f>
        <v/>
      </c>
      <c r="V45">
        <f>HYPERLINK("https://klasma.github.io/Logging_0484/klagomål/A 31182-2021 FSC-klagomål.docx", "A 31182-2021")</f>
        <v/>
      </c>
      <c r="W45">
        <f>HYPERLINK("https://klasma.github.io/Logging_0484/klagomålsmail/A 31182-2021 FSC-klagomål mail.docx", "A 31182-2021")</f>
        <v/>
      </c>
      <c r="X45">
        <f>HYPERLINK("https://klasma.github.io/Logging_0484/tillsyn/A 31182-2021 tillsynsbegäran.docx", "A 31182-2021")</f>
        <v/>
      </c>
      <c r="Y45">
        <f>HYPERLINK("https://klasma.github.io/Logging_0484/tillsynsmail/A 31182-2021 tillsynsbegäran mail.docx", "A 31182-2021")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46123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46123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34985-2025</t>
        </is>
      </c>
      <c r="B48" s="1" t="n">
        <v>45849</v>
      </c>
      <c r="C48" s="1" t="n">
        <v>46123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HYPERLINK("https://klasma.github.io/Logging_0484/artfynd/A 34985-2025 artfynd.xlsx", "A 34985-2025")</f>
        <v/>
      </c>
      <c r="T48">
        <f>HYPERLINK("https://klasma.github.io/Logging_0484/kartor/A 34985-2025 karta.png", "A 34985-2025")</f>
        <v/>
      </c>
      <c r="V48">
        <f>HYPERLINK("https://klasma.github.io/Logging_0484/klagomål/A 34985-2025 FSC-klagomål.docx", "A 34985-2025")</f>
        <v/>
      </c>
      <c r="W48">
        <f>HYPERLINK("https://klasma.github.io/Logging_0484/klagomålsmail/A 34985-2025 FSC-klagomål mail.docx", "A 34985-2025")</f>
        <v/>
      </c>
      <c r="X48">
        <f>HYPERLINK("https://klasma.github.io/Logging_0484/tillsyn/A 34985-2025 tillsynsbegäran.docx", "A 34985-2025")</f>
        <v/>
      </c>
      <c r="Y48">
        <f>HYPERLINK("https://klasma.github.io/Logging_0484/tillsynsmail/A 34985-2025 tillsynsbegäran mail.docx", "A 34985-2025")</f>
        <v/>
      </c>
      <c r="Z48">
        <f>HYPERLINK("https://klasma.github.io/Logging_0484/fåglar/A 34985-2025 prioriterade fågelarter.docx", "A 34985-2025")</f>
        <v/>
      </c>
    </row>
    <row r="49" ht="15" customHeight="1">
      <c r="A49" t="inlineStr">
        <is>
          <t>A 23637-2023</t>
        </is>
      </c>
      <c r="B49" s="1" t="n">
        <v>45077</v>
      </c>
      <c r="C49" s="1" t="n">
        <v>46123</v>
      </c>
      <c r="D49" t="inlineStr">
        <is>
          <t>SÖDERMANLANDS LÄN</t>
        </is>
      </c>
      <c r="E49" t="inlineStr">
        <is>
          <t>ESKILSTUNA</t>
        </is>
      </c>
      <c r="G49" t="n">
        <v>15.8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Violett fingersvamp</t>
        </is>
      </c>
      <c r="S49">
        <f>HYPERLINK("https://klasma.github.io/Logging_0484/artfynd/A 23637-2023 artfynd.xlsx", "A 23637-2023")</f>
        <v/>
      </c>
      <c r="T49">
        <f>HYPERLINK("https://klasma.github.io/Logging_0484/kartor/A 23637-2023 karta.png", "A 23637-2023")</f>
        <v/>
      </c>
      <c r="V49">
        <f>HYPERLINK("https://klasma.github.io/Logging_0484/klagomål/A 23637-2023 FSC-klagomål.docx", "A 23637-2023")</f>
        <v/>
      </c>
      <c r="W49">
        <f>HYPERLINK("https://klasma.github.io/Logging_0484/klagomålsmail/A 23637-2023 FSC-klagomål mail.docx", "A 23637-2023")</f>
        <v/>
      </c>
      <c r="X49">
        <f>HYPERLINK("https://klasma.github.io/Logging_0484/tillsyn/A 23637-2023 tillsynsbegäran.docx", "A 23637-2023")</f>
        <v/>
      </c>
      <c r="Y49">
        <f>HYPERLINK("https://klasma.github.io/Logging_0484/tillsynsmail/A 23637-2023 tillsynsbegäran mail.docx", "A 23637-2023")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46123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44664-2022</t>
        </is>
      </c>
      <c r="B51" s="1" t="n">
        <v>44840</v>
      </c>
      <c r="C51" s="1" t="n">
        <v>46123</v>
      </c>
      <c r="D51" t="inlineStr">
        <is>
          <t>SÖDERMANLANDS LÄN</t>
        </is>
      </c>
      <c r="E51" t="inlineStr">
        <is>
          <t>ESKILSTUNA</t>
        </is>
      </c>
      <c r="G51" t="n">
        <v>20.8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HYPERLINK("https://klasma.github.io/Logging_0484/artfynd/A 44664-2022 artfynd.xlsx", "A 44664-2022")</f>
        <v/>
      </c>
      <c r="T51">
        <f>HYPERLINK("https://klasma.github.io/Logging_0484/kartor/A 44664-2022 karta.png", "A 44664-2022")</f>
        <v/>
      </c>
      <c r="U51">
        <f>HYPERLINK("https://klasma.github.io/Logging_0484/knärot/A 44664-2022 karta knärot.png", "A 44664-2022")</f>
        <v/>
      </c>
      <c r="V51">
        <f>HYPERLINK("https://klasma.github.io/Logging_0484/klagomål/A 44664-2022 FSC-klagomål.docx", "A 44664-2022")</f>
        <v/>
      </c>
      <c r="W51">
        <f>HYPERLINK("https://klasma.github.io/Logging_0484/klagomålsmail/A 44664-2022 FSC-klagomål mail.docx", "A 44664-2022")</f>
        <v/>
      </c>
      <c r="X51">
        <f>HYPERLINK("https://klasma.github.io/Logging_0484/tillsyn/A 44664-2022 tillsynsbegäran.docx", "A 44664-2022")</f>
        <v/>
      </c>
      <c r="Y51">
        <f>HYPERLINK("https://klasma.github.io/Logging_0484/tillsynsmail/A 44664-2022 tillsynsbegäran mail.docx", "A 44664-2022")</f>
        <v/>
      </c>
    </row>
    <row r="52" ht="15" customHeight="1">
      <c r="A52" t="inlineStr">
        <is>
          <t>A 51345-2024</t>
        </is>
      </c>
      <c r="B52" s="1" t="n">
        <v>45603</v>
      </c>
      <c r="C52" s="1" t="n">
        <v>46123</v>
      </c>
      <c r="D52" t="inlineStr">
        <is>
          <t>SÖDERMANLANDS LÄN</t>
        </is>
      </c>
      <c r="E52" t="inlineStr">
        <is>
          <t>ESKILSTUNA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51345-2024 artfynd.xlsx", "A 51345-2024")</f>
        <v/>
      </c>
      <c r="T52">
        <f>HYPERLINK("https://klasma.github.io/Logging_0484/kartor/A 51345-2024 karta.png", "A 51345-2024")</f>
        <v/>
      </c>
      <c r="V52">
        <f>HYPERLINK("https://klasma.github.io/Logging_0484/klagomål/A 51345-2024 FSC-klagomål.docx", "A 51345-2024")</f>
        <v/>
      </c>
      <c r="W52">
        <f>HYPERLINK("https://klasma.github.io/Logging_0484/klagomålsmail/A 51345-2024 FSC-klagomål mail.docx", "A 51345-2024")</f>
        <v/>
      </c>
      <c r="X52">
        <f>HYPERLINK("https://klasma.github.io/Logging_0484/tillsyn/A 51345-2024 tillsynsbegäran.docx", "A 51345-2024")</f>
        <v/>
      </c>
      <c r="Y52">
        <f>HYPERLINK("https://klasma.github.io/Logging_0484/tillsynsmail/A 51345-2024 tillsynsbegäran mail.docx", "A 51345-2024")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46123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46123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52840-2025</t>
        </is>
      </c>
      <c r="B55" s="1" t="n">
        <v>45957.47642361111</v>
      </c>
      <c r="C55" s="1" t="n">
        <v>46123</v>
      </c>
      <c r="D55" t="inlineStr">
        <is>
          <t>SÖDERMANLANDS LÄN</t>
        </is>
      </c>
      <c r="E55" t="inlineStr">
        <is>
          <t>ESKILSTUNA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Skrovlig taggsvamp</t>
        </is>
      </c>
      <c r="S55">
        <f>HYPERLINK("https://klasma.github.io/Logging_0484/artfynd/A 52840-2025 artfynd.xlsx", "A 52840-2025")</f>
        <v/>
      </c>
      <c r="T55">
        <f>HYPERLINK("https://klasma.github.io/Logging_0484/kartor/A 52840-2025 karta.png", "A 52840-2025")</f>
        <v/>
      </c>
      <c r="V55">
        <f>HYPERLINK("https://klasma.github.io/Logging_0484/klagomål/A 52840-2025 FSC-klagomål.docx", "A 52840-2025")</f>
        <v/>
      </c>
      <c r="W55">
        <f>HYPERLINK("https://klasma.github.io/Logging_0484/klagomålsmail/A 52840-2025 FSC-klagomål mail.docx", "A 52840-2025")</f>
        <v/>
      </c>
      <c r="X55">
        <f>HYPERLINK("https://klasma.github.io/Logging_0484/tillsyn/A 52840-2025 tillsynsbegäran.docx", "A 52840-2025")</f>
        <v/>
      </c>
      <c r="Y55">
        <f>HYPERLINK("https://klasma.github.io/Logging_0484/tillsynsmail/A 52840-2025 tillsynsbegäran mail.docx", "A 52840-2025")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46123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46123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46123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9645-2023</t>
        </is>
      </c>
      <c r="B59" s="1" t="n">
        <v>44984.37708333333</v>
      </c>
      <c r="C59" s="1" t="n">
        <v>46123</v>
      </c>
      <c r="D59" t="inlineStr">
        <is>
          <t>SÖDERMANLANDS LÄN</t>
        </is>
      </c>
      <c r="E59" t="inlineStr">
        <is>
          <t>ESKILSTUNA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Skogsduva</t>
        </is>
      </c>
      <c r="S59">
        <f>HYPERLINK("https://klasma.github.io/Logging_0484/artfynd/A 9645-2023 artfynd.xlsx", "A 9645-2023")</f>
        <v/>
      </c>
      <c r="T59">
        <f>HYPERLINK("https://klasma.github.io/Logging_0484/kartor/A 9645-2023 karta.png", "A 9645-2023")</f>
        <v/>
      </c>
      <c r="V59">
        <f>HYPERLINK("https://klasma.github.io/Logging_0484/klagomål/A 9645-2023 FSC-klagomål.docx", "A 9645-2023")</f>
        <v/>
      </c>
      <c r="W59">
        <f>HYPERLINK("https://klasma.github.io/Logging_0484/klagomålsmail/A 9645-2023 FSC-klagomål mail.docx", "A 9645-2023")</f>
        <v/>
      </c>
      <c r="X59">
        <f>HYPERLINK("https://klasma.github.io/Logging_0484/tillsyn/A 9645-2023 tillsynsbegäran.docx", "A 9645-2023")</f>
        <v/>
      </c>
      <c r="Y59">
        <f>HYPERLINK("https://klasma.github.io/Logging_0484/tillsynsmail/A 9645-2023 tillsynsbegäran mail.docx", "A 9645-2023")</f>
        <v/>
      </c>
      <c r="Z59">
        <f>HYPERLINK("https://klasma.github.io/Logging_0484/fåglar/A 9645-2023 prioriterade fågelarter.docx", "A 9645-2023")</f>
        <v/>
      </c>
    </row>
    <row r="60" ht="15" customHeight="1">
      <c r="A60" t="inlineStr">
        <is>
          <t>A 34986-2025</t>
        </is>
      </c>
      <c r="B60" s="1" t="n">
        <v>45849.77498842592</v>
      </c>
      <c r="C60" s="1" t="n">
        <v>46123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HYPERLINK("https://klasma.github.io/Logging_0484/artfynd/A 34986-2025 artfynd.xlsx", "A 34986-2025")</f>
        <v/>
      </c>
      <c r="T60">
        <f>HYPERLINK("https://klasma.github.io/Logging_0484/kartor/A 34986-2025 karta.png", "A 34986-2025")</f>
        <v/>
      </c>
      <c r="V60">
        <f>HYPERLINK("https://klasma.github.io/Logging_0484/klagomål/A 34986-2025 FSC-klagomål.docx", "A 34986-2025")</f>
        <v/>
      </c>
      <c r="W60">
        <f>HYPERLINK("https://klasma.github.io/Logging_0484/klagomålsmail/A 34986-2025 FSC-klagomål mail.docx", "A 34986-2025")</f>
        <v/>
      </c>
      <c r="X60">
        <f>HYPERLINK("https://klasma.github.io/Logging_0484/tillsyn/A 34986-2025 tillsynsbegäran.docx", "A 34986-2025")</f>
        <v/>
      </c>
      <c r="Y60">
        <f>HYPERLINK("https://klasma.github.io/Logging_0484/tillsynsmail/A 34986-2025 tillsynsbegäran mail.docx", "A 34986-2025")</f>
        <v/>
      </c>
      <c r="Z60">
        <f>HYPERLINK("https://klasma.github.io/Logging_0484/fåglar/A 34986-2025 prioriterade fågelarter.docx", "A 34986-2025")</f>
        <v/>
      </c>
    </row>
    <row r="61" ht="15" customHeight="1">
      <c r="A61" t="inlineStr">
        <is>
          <t>A 29647-2023</t>
        </is>
      </c>
      <c r="B61" s="1" t="n">
        <v>45107.03777777778</v>
      </c>
      <c r="C61" s="1" t="n">
        <v>46123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HYPERLINK("https://klasma.github.io/Logging_0484/artfynd/A 29647-2023 artfynd.xlsx", "A 29647-2023")</f>
        <v/>
      </c>
      <c r="T61">
        <f>HYPERLINK("https://klasma.github.io/Logging_0484/kartor/A 29647-2023 karta.png", "A 29647-2023")</f>
        <v/>
      </c>
      <c r="V61">
        <f>HYPERLINK("https://klasma.github.io/Logging_0484/klagomål/A 29647-2023 FSC-klagomål.docx", "A 29647-2023")</f>
        <v/>
      </c>
      <c r="W61">
        <f>HYPERLINK("https://klasma.github.io/Logging_0484/klagomålsmail/A 29647-2023 FSC-klagomål mail.docx", "A 29647-2023")</f>
        <v/>
      </c>
      <c r="X61">
        <f>HYPERLINK("https://klasma.github.io/Logging_0484/tillsyn/A 29647-2023 tillsynsbegäran.docx", "A 29647-2023")</f>
        <v/>
      </c>
      <c r="Y61">
        <f>HYPERLINK("https://klasma.github.io/Logging_0484/tillsynsmail/A 29647-2023 tillsynsbegäran mail.docx", "A 29647-2023")</f>
        <v/>
      </c>
      <c r="Z61">
        <f>HYPERLINK("https://klasma.github.io/Logging_0484/fåglar/A 29647-2023 prioriterade fågelarter.docx", "A 29647-2023")</f>
        <v/>
      </c>
    </row>
    <row r="62" ht="15" customHeight="1">
      <c r="A62" t="inlineStr">
        <is>
          <t>A 48676-2021</t>
        </is>
      </c>
      <c r="B62" s="1" t="n">
        <v>44452</v>
      </c>
      <c r="C62" s="1" t="n">
        <v>46123</v>
      </c>
      <c r="D62" t="inlineStr">
        <is>
          <t>SÖDERMANLANDS LÄN</t>
        </is>
      </c>
      <c r="E62" t="inlineStr">
        <is>
          <t>ESKILSTUNA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HYPERLINK("https://klasma.github.io/Logging_0484/artfynd/A 48676-2021 artfynd.xlsx", "A 48676-2021")</f>
        <v/>
      </c>
      <c r="T62">
        <f>HYPERLINK("https://klasma.github.io/Logging_0484/kartor/A 48676-2021 karta.png", "A 48676-2021")</f>
        <v/>
      </c>
      <c r="V62">
        <f>HYPERLINK("https://klasma.github.io/Logging_0484/klagomål/A 48676-2021 FSC-klagomål.docx", "A 48676-2021")</f>
        <v/>
      </c>
      <c r="W62">
        <f>HYPERLINK("https://klasma.github.io/Logging_0484/klagomålsmail/A 48676-2021 FSC-klagomål mail.docx", "A 48676-2021")</f>
        <v/>
      </c>
      <c r="X62">
        <f>HYPERLINK("https://klasma.github.io/Logging_0484/tillsyn/A 48676-2021 tillsynsbegäran.docx", "A 48676-2021")</f>
        <v/>
      </c>
      <c r="Y62">
        <f>HYPERLINK("https://klasma.github.io/Logging_0484/tillsynsmail/A 48676-2021 tillsynsbegäran mail.docx", "A 48676-2021")</f>
        <v/>
      </c>
    </row>
    <row r="63" ht="15" customHeight="1">
      <c r="A63" t="inlineStr">
        <is>
          <t>A 8518-2026</t>
        </is>
      </c>
      <c r="B63" s="1" t="n">
        <v>46065.57876157408</v>
      </c>
      <c r="C63" s="1" t="n">
        <v>46123</v>
      </c>
      <c r="D63" t="inlineStr">
        <is>
          <t>SÖDERMANLANDS LÄN</t>
        </is>
      </c>
      <c r="E63" t="inlineStr">
        <is>
          <t>ESKILSTUNA</t>
        </is>
      </c>
      <c r="G63" t="n">
        <v>8.9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HYPERLINK("https://klasma.github.io/Logging_0484/artfynd/A 8518-2026 artfynd.xlsx", "A 8518-2026")</f>
        <v/>
      </c>
      <c r="T63">
        <f>HYPERLINK("https://klasma.github.io/Logging_0484/kartor/A 8518-2026 karta.png", "A 8518-2026")</f>
        <v/>
      </c>
      <c r="V63">
        <f>HYPERLINK("https://klasma.github.io/Logging_0484/klagomål/A 8518-2026 FSC-klagomål.docx", "A 8518-2026")</f>
        <v/>
      </c>
      <c r="W63">
        <f>HYPERLINK("https://klasma.github.io/Logging_0484/klagomålsmail/A 8518-2026 FSC-klagomål mail.docx", "A 8518-2026")</f>
        <v/>
      </c>
      <c r="X63">
        <f>HYPERLINK("https://klasma.github.io/Logging_0484/tillsyn/A 8518-2026 tillsynsbegäran.docx", "A 8518-2026")</f>
        <v/>
      </c>
      <c r="Y63">
        <f>HYPERLINK("https://klasma.github.io/Logging_0484/tillsynsmail/A 8518-2026 tillsynsbegäran mail.docx", "A 8518-2026")</f>
        <v/>
      </c>
    </row>
    <row r="64" ht="15" customHeight="1">
      <c r="A64" t="inlineStr">
        <is>
          <t>A 15608-2026</t>
        </is>
      </c>
      <c r="B64" s="1" t="n">
        <v>46106.59627314815</v>
      </c>
      <c r="C64" s="1" t="n">
        <v>46123</v>
      </c>
      <c r="D64" t="inlineStr">
        <is>
          <t>SÖDERMANLANDS LÄN</t>
        </is>
      </c>
      <c r="E64" t="inlineStr">
        <is>
          <t>ESKILSTUNA</t>
        </is>
      </c>
      <c r="G64" t="n">
        <v>9.6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HYPERLINK("https://klasma.github.io/Logging_0484/artfynd/A 15608-2026 artfynd.xlsx", "A 15608-2026")</f>
        <v/>
      </c>
      <c r="T64">
        <f>HYPERLINK("https://klasma.github.io/Logging_0484/kartor/A 15608-2026 karta.png", "A 15608-2026")</f>
        <v/>
      </c>
      <c r="V64">
        <f>HYPERLINK("https://klasma.github.io/Logging_0484/klagomål/A 15608-2026 FSC-klagomål.docx", "A 15608-2026")</f>
        <v/>
      </c>
      <c r="W64">
        <f>HYPERLINK("https://klasma.github.io/Logging_0484/klagomålsmail/A 15608-2026 FSC-klagomål mail.docx", "A 15608-2026")</f>
        <v/>
      </c>
      <c r="X64">
        <f>HYPERLINK("https://klasma.github.io/Logging_0484/tillsyn/A 15608-2026 tillsynsbegäran.docx", "A 15608-2026")</f>
        <v/>
      </c>
      <c r="Y64">
        <f>HYPERLINK("https://klasma.github.io/Logging_0484/tillsynsmail/A 15608-2026 tillsynsbegäran mail.docx", "A 15608-2026")</f>
        <v/>
      </c>
    </row>
    <row r="65" ht="15" customHeight="1">
      <c r="A65" t="inlineStr">
        <is>
          <t>A 59822-2025</t>
        </is>
      </c>
      <c r="B65" s="1" t="n">
        <v>45992.64505787037</v>
      </c>
      <c r="C65" s="1" t="n">
        <v>46123</v>
      </c>
      <c r="D65" t="inlineStr">
        <is>
          <t>SÖDERMANLANDS LÄN</t>
        </is>
      </c>
      <c r="E65" t="inlineStr">
        <is>
          <t>ESKILSTUNA</t>
        </is>
      </c>
      <c r="G65" t="n">
        <v>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Stubbspretmossa</t>
        </is>
      </c>
      <c r="S65">
        <f>HYPERLINK("https://klasma.github.io/Logging_0484/artfynd/A 59822-2025 artfynd.xlsx", "A 59822-2025")</f>
        <v/>
      </c>
      <c r="T65">
        <f>HYPERLINK("https://klasma.github.io/Logging_0484/kartor/A 59822-2025 karta.png", "A 59822-2025")</f>
        <v/>
      </c>
      <c r="V65">
        <f>HYPERLINK("https://klasma.github.io/Logging_0484/klagomål/A 59822-2025 FSC-klagomål.docx", "A 59822-2025")</f>
        <v/>
      </c>
      <c r="W65">
        <f>HYPERLINK("https://klasma.github.io/Logging_0484/klagomålsmail/A 59822-2025 FSC-klagomål mail.docx", "A 59822-2025")</f>
        <v/>
      </c>
      <c r="X65">
        <f>HYPERLINK("https://klasma.github.io/Logging_0484/tillsyn/A 59822-2025 tillsynsbegäran.docx", "A 59822-2025")</f>
        <v/>
      </c>
      <c r="Y65">
        <f>HYPERLINK("https://klasma.github.io/Logging_0484/tillsynsmail/A 59822-2025 tillsynsbegäran mail.docx", "A 59822-2025")</f>
        <v/>
      </c>
    </row>
    <row r="66" ht="15" customHeight="1">
      <c r="A66" t="inlineStr">
        <is>
          <t>A 47648-2022</t>
        </is>
      </c>
      <c r="B66" s="1" t="n">
        <v>44854</v>
      </c>
      <c r="C66" s="1" t="n">
        <v>46123</v>
      </c>
      <c r="D66" t="inlineStr">
        <is>
          <t>SÖDERMANLANDS LÄN</t>
        </is>
      </c>
      <c r="E66" t="inlineStr">
        <is>
          <t>ESKILSTUNA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HYPERLINK("https://klasma.github.io/Logging_0484/artfynd/A 47648-2022 artfynd.xlsx", "A 47648-2022")</f>
        <v/>
      </c>
      <c r="T66">
        <f>HYPERLINK("https://klasma.github.io/Logging_0484/kartor/A 47648-2022 karta.png", "A 47648-2022")</f>
        <v/>
      </c>
      <c r="V66">
        <f>HYPERLINK("https://klasma.github.io/Logging_0484/klagomål/A 47648-2022 FSC-klagomål.docx", "A 47648-2022")</f>
        <v/>
      </c>
      <c r="W66">
        <f>HYPERLINK("https://klasma.github.io/Logging_0484/klagomålsmail/A 47648-2022 FSC-klagomål mail.docx", "A 47648-2022")</f>
        <v/>
      </c>
      <c r="X66">
        <f>HYPERLINK("https://klasma.github.io/Logging_0484/tillsyn/A 47648-2022 tillsynsbegäran.docx", "A 47648-2022")</f>
        <v/>
      </c>
      <c r="Y66">
        <f>HYPERLINK("https://klasma.github.io/Logging_0484/tillsynsmail/A 47648-2022 tillsynsbegäran mail.docx", "A 47648-2022")</f>
        <v/>
      </c>
      <c r="Z66">
        <f>HYPERLINK("https://klasma.github.io/Logging_0484/fåglar/A 47648-2022 prioriterade fågelarter.docx", "A 47648-2022")</f>
        <v/>
      </c>
    </row>
    <row r="67" ht="15" customHeight="1">
      <c r="A67" t="inlineStr">
        <is>
          <t>A 43547-2022</t>
        </is>
      </c>
      <c r="B67" s="1" t="n">
        <v>44834</v>
      </c>
      <c r="C67" s="1" t="n">
        <v>46123</v>
      </c>
      <c r="D67" t="inlineStr">
        <is>
          <t>SÖDERMANLANDS LÄN</t>
        </is>
      </c>
      <c r="E67" t="inlineStr">
        <is>
          <t>ESKILSTUNA</t>
        </is>
      </c>
      <c r="G67" t="n">
        <v>3.2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HYPERLINK("https://klasma.github.io/Logging_0484/artfynd/A 43547-2022 artfynd.xlsx", "A 43547-2022")</f>
        <v/>
      </c>
      <c r="T67">
        <f>HYPERLINK("https://klasma.github.io/Logging_0484/kartor/A 43547-2022 karta.png", "A 43547-2022")</f>
        <v/>
      </c>
      <c r="U67">
        <f>HYPERLINK("https://klasma.github.io/Logging_0484/knärot/A 43547-2022 karta knärot.png", "A 43547-2022")</f>
        <v/>
      </c>
      <c r="V67">
        <f>HYPERLINK("https://klasma.github.io/Logging_0484/klagomål/A 43547-2022 FSC-klagomål.docx", "A 43547-2022")</f>
        <v/>
      </c>
      <c r="W67">
        <f>HYPERLINK("https://klasma.github.io/Logging_0484/klagomålsmail/A 43547-2022 FSC-klagomål mail.docx", "A 43547-2022")</f>
        <v/>
      </c>
      <c r="X67">
        <f>HYPERLINK("https://klasma.github.io/Logging_0484/tillsyn/A 43547-2022 tillsynsbegäran.docx", "A 43547-2022")</f>
        <v/>
      </c>
      <c r="Y67">
        <f>HYPERLINK("https://klasma.github.io/Logging_0484/tillsynsmail/A 43547-2022 tillsynsbegäran mail.docx", "A 43547-2022")</f>
        <v/>
      </c>
    </row>
    <row r="68" ht="15" customHeight="1">
      <c r="A68" t="inlineStr">
        <is>
          <t>A 12984-2024</t>
        </is>
      </c>
      <c r="B68" s="1" t="n">
        <v>45385.54006944445</v>
      </c>
      <c r="C68" s="1" t="n">
        <v>46123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HYPERLINK("https://klasma.github.io/Logging_0484/artfynd/A 12984-2024 artfynd.xlsx", "A 12984-2024")</f>
        <v/>
      </c>
      <c r="T68">
        <f>HYPERLINK("https://klasma.github.io/Logging_0484/kartor/A 12984-2024 karta.png", "A 12984-2024")</f>
        <v/>
      </c>
      <c r="V68">
        <f>HYPERLINK("https://klasma.github.io/Logging_0484/klagomål/A 12984-2024 FSC-klagomål.docx", "A 12984-2024")</f>
        <v/>
      </c>
      <c r="W68">
        <f>HYPERLINK("https://klasma.github.io/Logging_0484/klagomålsmail/A 12984-2024 FSC-klagomål mail.docx", "A 12984-2024")</f>
        <v/>
      </c>
      <c r="X68">
        <f>HYPERLINK("https://klasma.github.io/Logging_0484/tillsyn/A 12984-2024 tillsynsbegäran.docx", "A 12984-2024")</f>
        <v/>
      </c>
      <c r="Y68">
        <f>HYPERLINK("https://klasma.github.io/Logging_0484/tillsynsmail/A 12984-2024 tillsynsbegäran mail.docx", "A 12984-2024")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46123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46123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46123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46123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46123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46123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46123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46123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46123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46123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46123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46123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46123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46123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46123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46123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46123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46123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46123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46123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46123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46123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46123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46123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46123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46123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46123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46123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46123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46123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46123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46123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46123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46123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46123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46123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46123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46123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46123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46123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46123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46123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46123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46123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46123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46123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46123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46123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46123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46123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46123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46123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46123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46123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46123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46123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46123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46123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46123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46123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46123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46123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46123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46123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46123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46123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46123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46123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46123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46123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46123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46123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46123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46123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47988-2021</t>
        </is>
      </c>
      <c r="B143" s="1" t="n">
        <v>44449</v>
      </c>
      <c r="C143" s="1" t="n">
        <v>46123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46123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46123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46123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9521-2022</t>
        </is>
      </c>
      <c r="B147" s="1" t="n">
        <v>44616</v>
      </c>
      <c r="C147" s="1" t="n">
        <v>46123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316-2025</t>
        </is>
      </c>
      <c r="B148" s="1" t="n">
        <v>45660.61137731482</v>
      </c>
      <c r="C148" s="1" t="n">
        <v>46123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Holmen skog AB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59276-2021</t>
        </is>
      </c>
      <c r="B149" s="1" t="n">
        <v>44490</v>
      </c>
      <c r="C149" s="1" t="n">
        <v>46123</v>
      </c>
      <c r="D149" t="inlineStr">
        <is>
          <t>SÖDERMANLANDS LÄN</t>
        </is>
      </c>
      <c r="E149" t="inlineStr">
        <is>
          <t>ESKILSTUNA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46123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46123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2215-2022</t>
        </is>
      </c>
      <c r="B152" s="1" t="n">
        <v>44578.55100694444</v>
      </c>
      <c r="C152" s="1" t="n">
        <v>46123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8273-2025</t>
        </is>
      </c>
      <c r="B153" s="1" t="n">
        <v>45708.5396412037</v>
      </c>
      <c r="C153" s="1" t="n">
        <v>46123</v>
      </c>
      <c r="D153" t="inlineStr">
        <is>
          <t>SÖDERMANLANDS LÄN</t>
        </is>
      </c>
      <c r="E153" t="inlineStr">
        <is>
          <t>ESKILSTUNA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64147-2021</t>
        </is>
      </c>
      <c r="B154" s="1" t="n">
        <v>44510</v>
      </c>
      <c r="C154" s="1" t="n">
        <v>46123</v>
      </c>
      <c r="D154" t="inlineStr">
        <is>
          <t>SÖDERMANLANDS LÄN</t>
        </is>
      </c>
      <c r="E154" t="inlineStr">
        <is>
          <t>ESKILSTUNA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61367-2021</t>
        </is>
      </c>
      <c r="B155" s="1" t="n">
        <v>44499</v>
      </c>
      <c r="C155" s="1" t="n">
        <v>46123</v>
      </c>
      <c r="D155" t="inlineStr">
        <is>
          <t>SÖDERMANLANDS LÄN</t>
        </is>
      </c>
      <c r="E155" t="inlineStr">
        <is>
          <t>ESKILSTUNA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68022-2021</t>
        </is>
      </c>
      <c r="B156" s="1" t="n">
        <v>44525.90324074074</v>
      </c>
      <c r="C156" s="1" t="n">
        <v>46123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13613-2022</t>
        </is>
      </c>
      <c r="B157" s="1" t="n">
        <v>44643</v>
      </c>
      <c r="C157" s="1" t="n">
        <v>46123</v>
      </c>
      <c r="D157" t="inlineStr">
        <is>
          <t>SÖDERMANLANDS LÄN</t>
        </is>
      </c>
      <c r="E157" t="inlineStr">
        <is>
          <t>ESKILSTUNA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61170-2021</t>
        </is>
      </c>
      <c r="B158" s="1" t="n">
        <v>44497</v>
      </c>
      <c r="C158" s="1" t="n">
        <v>46123</v>
      </c>
      <c r="D158" t="inlineStr">
        <is>
          <t>SÖDERMANLANDS LÄN</t>
        </is>
      </c>
      <c r="E158" t="inlineStr">
        <is>
          <t>ESKILSTUNA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43064-2023</t>
        </is>
      </c>
      <c r="B159" s="1" t="n">
        <v>45182</v>
      </c>
      <c r="C159" s="1" t="n">
        <v>46123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61830-2023</t>
        </is>
      </c>
      <c r="B160" s="1" t="n">
        <v>45266</v>
      </c>
      <c r="C160" s="1" t="n">
        <v>46123</v>
      </c>
      <c r="D160" t="inlineStr">
        <is>
          <t>SÖDERMANLANDS LÄN</t>
        </is>
      </c>
      <c r="E160" t="inlineStr">
        <is>
          <t>ESKILSTUNA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38058-2024</t>
        </is>
      </c>
      <c r="B161" s="1" t="n">
        <v>45544</v>
      </c>
      <c r="C161" s="1" t="n">
        <v>46123</v>
      </c>
      <c r="D161" t="inlineStr">
        <is>
          <t>SÖDERMANLANDS LÄN</t>
        </is>
      </c>
      <c r="E161" t="inlineStr">
        <is>
          <t>ESKILSTUNA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29068-2022</t>
        </is>
      </c>
      <c r="B162" s="1" t="n">
        <v>44749</v>
      </c>
      <c r="C162" s="1" t="n">
        <v>46123</v>
      </c>
      <c r="D162" t="inlineStr">
        <is>
          <t>SÖDERMANLANDS LÄN</t>
        </is>
      </c>
      <c r="E162" t="inlineStr">
        <is>
          <t>ESKILSTUNA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32390-2022</t>
        </is>
      </c>
      <c r="B163" s="1" t="n">
        <v>44781</v>
      </c>
      <c r="C163" s="1" t="n">
        <v>46123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3101-2023</t>
        </is>
      </c>
      <c r="B164" s="1" t="n">
        <v>44946</v>
      </c>
      <c r="C164" s="1" t="n">
        <v>46123</v>
      </c>
      <c r="D164" t="inlineStr">
        <is>
          <t>SÖDERMANLANDS LÄN</t>
        </is>
      </c>
      <c r="E164" t="inlineStr">
        <is>
          <t>ESKILSTUNA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12072-2022</t>
        </is>
      </c>
      <c r="B165" s="1" t="n">
        <v>44636</v>
      </c>
      <c r="C165" s="1" t="n">
        <v>46123</v>
      </c>
      <c r="D165" t="inlineStr">
        <is>
          <t>SÖDERMANLANDS LÄN</t>
        </is>
      </c>
      <c r="E165" t="inlineStr">
        <is>
          <t>ESKILSTUNA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32484-2022</t>
        </is>
      </c>
      <c r="B166" s="1" t="n">
        <v>44782</v>
      </c>
      <c r="C166" s="1" t="n">
        <v>46123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10271-2024</t>
        </is>
      </c>
      <c r="B167" s="1" t="n">
        <v>45365.44756944444</v>
      </c>
      <c r="C167" s="1" t="n">
        <v>46123</v>
      </c>
      <c r="D167" t="inlineStr">
        <is>
          <t>SÖDERMANLANDS LÄN</t>
        </is>
      </c>
      <c r="E167" t="inlineStr">
        <is>
          <t>ESKILSTUNA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50269-2022</t>
        </is>
      </c>
      <c r="B168" s="1" t="n">
        <v>44865</v>
      </c>
      <c r="C168" s="1" t="n">
        <v>46123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46123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46123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37769-2023</t>
        </is>
      </c>
      <c r="B171" s="1" t="n">
        <v>45159</v>
      </c>
      <c r="C171" s="1" t="n">
        <v>46123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28011-2022</t>
        </is>
      </c>
      <c r="B172" s="1" t="n">
        <v>44746.35266203704</v>
      </c>
      <c r="C172" s="1" t="n">
        <v>46123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49439-2021</t>
        </is>
      </c>
      <c r="B173" s="1" t="n">
        <v>44454</v>
      </c>
      <c r="C173" s="1" t="n">
        <v>46123</v>
      </c>
      <c r="D173" t="inlineStr">
        <is>
          <t>SÖDERMANLANDS LÄN</t>
        </is>
      </c>
      <c r="E173" t="inlineStr">
        <is>
          <t>ESKILSTUNA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18192-2023</t>
        </is>
      </c>
      <c r="B174" s="1" t="n">
        <v>45041</v>
      </c>
      <c r="C174" s="1" t="n">
        <v>46123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57546-2022</t>
        </is>
      </c>
      <c r="B175" s="1" t="n">
        <v>44889</v>
      </c>
      <c r="C175" s="1" t="n">
        <v>46123</v>
      </c>
      <c r="D175" t="inlineStr">
        <is>
          <t>SÖDERMANLANDS LÄN</t>
        </is>
      </c>
      <c r="E175" t="inlineStr">
        <is>
          <t>ESKILSTUNA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15247-2022</t>
        </is>
      </c>
      <c r="B176" s="1" t="n">
        <v>44658</v>
      </c>
      <c r="C176" s="1" t="n">
        <v>46123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13632-2023</t>
        </is>
      </c>
      <c r="B177" s="1" t="n">
        <v>45006</v>
      </c>
      <c r="C177" s="1" t="n">
        <v>46123</v>
      </c>
      <c r="D177" t="inlineStr">
        <is>
          <t>SÖDERMANLANDS LÄN</t>
        </is>
      </c>
      <c r="E177" t="inlineStr">
        <is>
          <t>ESKILSTUNA</t>
        </is>
      </c>
      <c r="G177" t="n">
        <v>16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10715-2022</t>
        </is>
      </c>
      <c r="B178" s="1" t="n">
        <v>44626</v>
      </c>
      <c r="C178" s="1" t="n">
        <v>46123</v>
      </c>
      <c r="D178" t="inlineStr">
        <is>
          <t>SÖDERMANLANDS LÄN</t>
        </is>
      </c>
      <c r="E178" t="inlineStr">
        <is>
          <t>ESKILSTUNA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55763-2022</t>
        </is>
      </c>
      <c r="B179" s="1" t="n">
        <v>44886</v>
      </c>
      <c r="C179" s="1" t="n">
        <v>46123</v>
      </c>
      <c r="D179" t="inlineStr">
        <is>
          <t>SÖDERMANLANDS LÄN</t>
        </is>
      </c>
      <c r="E179" t="inlineStr">
        <is>
          <t>ESKILSTUNA</t>
        </is>
      </c>
      <c r="G179" t="n">
        <v>15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17362-2024</t>
        </is>
      </c>
      <c r="B180" s="1" t="n">
        <v>45414.60868055555</v>
      </c>
      <c r="C180" s="1" t="n">
        <v>46123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36643-2022</t>
        </is>
      </c>
      <c r="B181" s="1" t="n">
        <v>44804</v>
      </c>
      <c r="C181" s="1" t="n">
        <v>46123</v>
      </c>
      <c r="D181" t="inlineStr">
        <is>
          <t>SÖDERMANLANDS LÄN</t>
        </is>
      </c>
      <c r="E181" t="inlineStr">
        <is>
          <t>ESKILSTUNA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20348-2023</t>
        </is>
      </c>
      <c r="B182" s="1" t="n">
        <v>45056</v>
      </c>
      <c r="C182" s="1" t="n">
        <v>46123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59000-2022</t>
        </is>
      </c>
      <c r="B183" s="1" t="n">
        <v>44903</v>
      </c>
      <c r="C183" s="1" t="n">
        <v>46123</v>
      </c>
      <c r="D183" t="inlineStr">
        <is>
          <t>SÖDERMANLANDS LÄN</t>
        </is>
      </c>
      <c r="E183" t="inlineStr">
        <is>
          <t>ESKILSTUNA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30373-2023</t>
        </is>
      </c>
      <c r="B184" s="1" t="n">
        <v>45099</v>
      </c>
      <c r="C184" s="1" t="n">
        <v>46123</v>
      </c>
      <c r="D184" t="inlineStr">
        <is>
          <t>SÖDERMANLANDS LÄN</t>
        </is>
      </c>
      <c r="E184" t="inlineStr">
        <is>
          <t>ESKILSTUNA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22605-2023</t>
        </is>
      </c>
      <c r="B185" s="1" t="n">
        <v>45071</v>
      </c>
      <c r="C185" s="1" t="n">
        <v>46123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39460-2025</t>
        </is>
      </c>
      <c r="B186" s="1" t="n">
        <v>45889.86215277778</v>
      </c>
      <c r="C186" s="1" t="n">
        <v>46123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39461-2025</t>
        </is>
      </c>
      <c r="B187" s="1" t="n">
        <v>45889.87027777778</v>
      </c>
      <c r="C187" s="1" t="n">
        <v>46123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70265-2021</t>
        </is>
      </c>
      <c r="B188" s="1" t="n">
        <v>44536.35326388889</v>
      </c>
      <c r="C188" s="1" t="n">
        <v>46123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10272-2024</t>
        </is>
      </c>
      <c r="B189" s="1" t="n">
        <v>45365.44949074074</v>
      </c>
      <c r="C189" s="1" t="n">
        <v>46123</v>
      </c>
      <c r="D189" t="inlineStr">
        <is>
          <t>SÖDERMANLANDS LÄN</t>
        </is>
      </c>
      <c r="E189" t="inlineStr">
        <is>
          <t>ESKILSTUNA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57541-2022</t>
        </is>
      </c>
      <c r="B190" s="1" t="n">
        <v>44889</v>
      </c>
      <c r="C190" s="1" t="n">
        <v>46123</v>
      </c>
      <c r="D190" t="inlineStr">
        <is>
          <t>SÖDERMANLANDS LÄN</t>
        </is>
      </c>
      <c r="E190" t="inlineStr">
        <is>
          <t>ESKILSTUNA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40113-2025</t>
        </is>
      </c>
      <c r="B191" s="1" t="n">
        <v>45894.50094907408</v>
      </c>
      <c r="C191" s="1" t="n">
        <v>46123</v>
      </c>
      <c r="D191" t="inlineStr">
        <is>
          <t>SÖDERMANLANDS LÄN</t>
        </is>
      </c>
      <c r="E191" t="inlineStr">
        <is>
          <t>ESKILSTUNA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19494-2024</t>
        </is>
      </c>
      <c r="B192" s="1" t="n">
        <v>45429</v>
      </c>
      <c r="C192" s="1" t="n">
        <v>46123</v>
      </c>
      <c r="D192" t="inlineStr">
        <is>
          <t>SÖDERMANLANDS LÄN</t>
        </is>
      </c>
      <c r="E192" t="inlineStr">
        <is>
          <t>ESKILSTUNA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13295-2023</t>
        </is>
      </c>
      <c r="B193" s="1" t="n">
        <v>45005</v>
      </c>
      <c r="C193" s="1" t="n">
        <v>46123</v>
      </c>
      <c r="D193" t="inlineStr">
        <is>
          <t>SÖDERMANLANDS LÄN</t>
        </is>
      </c>
      <c r="E193" t="inlineStr">
        <is>
          <t>ESKILSTUNA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3503-2025</t>
        </is>
      </c>
      <c r="B194" s="1" t="n">
        <v>45680</v>
      </c>
      <c r="C194" s="1" t="n">
        <v>46123</v>
      </c>
      <c r="D194" t="inlineStr">
        <is>
          <t>SÖDERMANLANDS LÄN</t>
        </is>
      </c>
      <c r="E194" t="inlineStr">
        <is>
          <t>ESKILSTUNA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4200-2025</t>
        </is>
      </c>
      <c r="B195" s="1" t="n">
        <v>45685</v>
      </c>
      <c r="C195" s="1" t="n">
        <v>46123</v>
      </c>
      <c r="D195" t="inlineStr">
        <is>
          <t>SÖDERMANLANDS LÄN</t>
        </is>
      </c>
      <c r="E195" t="inlineStr">
        <is>
          <t>ESKILSTUNA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43280-2024</t>
        </is>
      </c>
      <c r="B196" s="1" t="n">
        <v>45568.40231481481</v>
      </c>
      <c r="C196" s="1" t="n">
        <v>46123</v>
      </c>
      <c r="D196" t="inlineStr">
        <is>
          <t>SÖDERMANLANDS LÄN</t>
        </is>
      </c>
      <c r="E196" t="inlineStr">
        <is>
          <t>ESKILSTUNA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40813-2025</t>
        </is>
      </c>
      <c r="B197" s="1" t="n">
        <v>45897.47975694444</v>
      </c>
      <c r="C197" s="1" t="n">
        <v>46123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40930-2025</t>
        </is>
      </c>
      <c r="B198" s="1" t="n">
        <v>45897.64649305555</v>
      </c>
      <c r="C198" s="1" t="n">
        <v>46123</v>
      </c>
      <c r="D198" t="inlineStr">
        <is>
          <t>SÖDERMANLANDS LÄN</t>
        </is>
      </c>
      <c r="E198" t="inlineStr">
        <is>
          <t>ESKILSTUNA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70613-2021</t>
        </is>
      </c>
      <c r="B199" s="1" t="n">
        <v>44537</v>
      </c>
      <c r="C199" s="1" t="n">
        <v>46123</v>
      </c>
      <c r="D199" t="inlineStr">
        <is>
          <t>SÖDERMANLANDS LÄN</t>
        </is>
      </c>
      <c r="E199" t="inlineStr">
        <is>
          <t>ESKILSTUNA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40773-2025</t>
        </is>
      </c>
      <c r="B200" s="1" t="n">
        <v>45897.41643518519</v>
      </c>
      <c r="C200" s="1" t="n">
        <v>46123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40910-2025</t>
        </is>
      </c>
      <c r="B201" s="1" t="n">
        <v>45897</v>
      </c>
      <c r="C201" s="1" t="n">
        <v>46123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41597-2025</t>
        </is>
      </c>
      <c r="B202" s="1" t="n">
        <v>45901.65155092593</v>
      </c>
      <c r="C202" s="1" t="n">
        <v>46123</v>
      </c>
      <c r="D202" t="inlineStr">
        <is>
          <t>SÖDERMANLANDS LÄN</t>
        </is>
      </c>
      <c r="E202" t="inlineStr">
        <is>
          <t>ESKILSTUNA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41610-2024</t>
        </is>
      </c>
      <c r="B203" s="1" t="n">
        <v>45560</v>
      </c>
      <c r="C203" s="1" t="n">
        <v>46123</v>
      </c>
      <c r="D203" t="inlineStr">
        <is>
          <t>SÖDERMANLANDS LÄN</t>
        </is>
      </c>
      <c r="E203" t="inlineStr">
        <is>
          <t>ESKILSTUNA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41183-2025</t>
        </is>
      </c>
      <c r="B204" s="1" t="n">
        <v>45898.5619212963</v>
      </c>
      <c r="C204" s="1" t="n">
        <v>46123</v>
      </c>
      <c r="D204" t="inlineStr">
        <is>
          <t>SÖDERMANLANDS LÄN</t>
        </is>
      </c>
      <c r="E204" t="inlineStr">
        <is>
          <t>ESKILSTUNA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41172-2025</t>
        </is>
      </c>
      <c r="B205" s="1" t="n">
        <v>45898.54829861111</v>
      </c>
      <c r="C205" s="1" t="n">
        <v>46123</v>
      </c>
      <c r="D205" t="inlineStr">
        <is>
          <t>SÖDERMANLANDS LÄN</t>
        </is>
      </c>
      <c r="E205" t="inlineStr">
        <is>
          <t>ESKILSTUNA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71976-2021</t>
        </is>
      </c>
      <c r="B206" s="1" t="n">
        <v>44544</v>
      </c>
      <c r="C206" s="1" t="n">
        <v>46123</v>
      </c>
      <c r="D206" t="inlineStr">
        <is>
          <t>SÖDERMANLANDS LÄN</t>
        </is>
      </c>
      <c r="E206" t="inlineStr">
        <is>
          <t>ESKILSTUNA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65614-2021</t>
        </is>
      </c>
      <c r="B207" s="1" t="n">
        <v>44516</v>
      </c>
      <c r="C207" s="1" t="n">
        <v>46123</v>
      </c>
      <c r="D207" t="inlineStr">
        <is>
          <t>SÖDERMANLANDS LÄN</t>
        </is>
      </c>
      <c r="E207" t="inlineStr">
        <is>
          <t>ESKILSTUNA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5841-2025</t>
        </is>
      </c>
      <c r="B208" s="1" t="n">
        <v>45695</v>
      </c>
      <c r="C208" s="1" t="n">
        <v>46123</v>
      </c>
      <c r="D208" t="inlineStr">
        <is>
          <t>SÖDERMANLANDS LÄN</t>
        </is>
      </c>
      <c r="E208" t="inlineStr">
        <is>
          <t>ESKILSTUNA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5842-2025</t>
        </is>
      </c>
      <c r="B209" s="1" t="n">
        <v>45695</v>
      </c>
      <c r="C209" s="1" t="n">
        <v>46123</v>
      </c>
      <c r="D209" t="inlineStr">
        <is>
          <t>SÖDERMANLANDS LÄN</t>
        </is>
      </c>
      <c r="E209" t="inlineStr">
        <is>
          <t>ESKILSTUNA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43261-2023</t>
        </is>
      </c>
      <c r="B210" s="1" t="n">
        <v>45183</v>
      </c>
      <c r="C210" s="1" t="n">
        <v>46123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57213-2023</t>
        </is>
      </c>
      <c r="B211" s="1" t="n">
        <v>45245</v>
      </c>
      <c r="C211" s="1" t="n">
        <v>46123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15963-2022</t>
        </is>
      </c>
      <c r="B212" s="1" t="n">
        <v>44664</v>
      </c>
      <c r="C212" s="1" t="n">
        <v>46123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29750-2022</t>
        </is>
      </c>
      <c r="B213" s="1" t="n">
        <v>44755</v>
      </c>
      <c r="C213" s="1" t="n">
        <v>46123</v>
      </c>
      <c r="D213" t="inlineStr">
        <is>
          <t>SÖDERMANLANDS LÄN</t>
        </is>
      </c>
      <c r="E213" t="inlineStr">
        <is>
          <t>ESKILSTUNA</t>
        </is>
      </c>
      <c r="G213" t="n">
        <v>20.1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53933-2024</t>
        </is>
      </c>
      <c r="B214" s="1" t="n">
        <v>45615.87693287037</v>
      </c>
      <c r="C214" s="1" t="n">
        <v>46123</v>
      </c>
      <c r="D214" t="inlineStr">
        <is>
          <t>SÖDERMANLANDS LÄN</t>
        </is>
      </c>
      <c r="E214" t="inlineStr">
        <is>
          <t>ESKILSTUNA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20844-2025</t>
        </is>
      </c>
      <c r="B215" s="1" t="n">
        <v>45776</v>
      </c>
      <c r="C215" s="1" t="n">
        <v>46123</v>
      </c>
      <c r="D215" t="inlineStr">
        <is>
          <t>SÖDERMANLANDS LÄN</t>
        </is>
      </c>
      <c r="E215" t="inlineStr">
        <is>
          <t>ESKILSTUNA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61314-2022</t>
        </is>
      </c>
      <c r="B216" s="1" t="n">
        <v>44915</v>
      </c>
      <c r="C216" s="1" t="n">
        <v>46123</v>
      </c>
      <c r="D216" t="inlineStr">
        <is>
          <t>SÖDERMANLANDS LÄN</t>
        </is>
      </c>
      <c r="E216" t="inlineStr">
        <is>
          <t>ESKILSTUNA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13147-2025</t>
        </is>
      </c>
      <c r="B217" s="1" t="n">
        <v>45734</v>
      </c>
      <c r="C217" s="1" t="n">
        <v>46123</v>
      </c>
      <c r="D217" t="inlineStr">
        <is>
          <t>SÖDERMANLANDS LÄN</t>
        </is>
      </c>
      <c r="E217" t="inlineStr">
        <is>
          <t>ESKILSTUNA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55785-2022</t>
        </is>
      </c>
      <c r="B218" s="1" t="n">
        <v>44886</v>
      </c>
      <c r="C218" s="1" t="n">
        <v>46123</v>
      </c>
      <c r="D218" t="inlineStr">
        <is>
          <t>SÖDERMANLANDS LÄN</t>
        </is>
      </c>
      <c r="E218" t="inlineStr">
        <is>
          <t>ESKILSTUNA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9598-2023</t>
        </is>
      </c>
      <c r="B219" s="1" t="n">
        <v>44983</v>
      </c>
      <c r="C219" s="1" t="n">
        <v>46123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42545-2025</t>
        </is>
      </c>
      <c r="B220" s="1" t="n">
        <v>45905.58692129629</v>
      </c>
      <c r="C220" s="1" t="n">
        <v>46123</v>
      </c>
      <c r="D220" t="inlineStr">
        <is>
          <t>SÖDERMANLANDS LÄN</t>
        </is>
      </c>
      <c r="E220" t="inlineStr">
        <is>
          <t>ESKILSTUNA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5844-2025</t>
        </is>
      </c>
      <c r="B221" s="1" t="n">
        <v>45695</v>
      </c>
      <c r="C221" s="1" t="n">
        <v>46123</v>
      </c>
      <c r="D221" t="inlineStr">
        <is>
          <t>SÖDERMANLANDS LÄN</t>
        </is>
      </c>
      <c r="E221" t="inlineStr">
        <is>
          <t>ESKILSTUNA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59138-2024</t>
        </is>
      </c>
      <c r="B222" s="1" t="n">
        <v>45637.43685185185</v>
      </c>
      <c r="C222" s="1" t="n">
        <v>46123</v>
      </c>
      <c r="D222" t="inlineStr">
        <is>
          <t>SÖDERMANLANDS LÄN</t>
        </is>
      </c>
      <c r="E222" t="inlineStr">
        <is>
          <t>ESKILSTUNA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3138-2023</t>
        </is>
      </c>
      <c r="B223" s="1" t="n">
        <v>44946</v>
      </c>
      <c r="C223" s="1" t="n">
        <v>46123</v>
      </c>
      <c r="D223" t="inlineStr">
        <is>
          <t>SÖDERMANLANDS LÄN</t>
        </is>
      </c>
      <c r="E223" t="inlineStr">
        <is>
          <t>ESKILSTUNA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13385-2023</t>
        </is>
      </c>
      <c r="B224" s="1" t="n">
        <v>45005</v>
      </c>
      <c r="C224" s="1" t="n">
        <v>46123</v>
      </c>
      <c r="D224" t="inlineStr">
        <is>
          <t>SÖDERMANLANDS LÄN</t>
        </is>
      </c>
      <c r="E224" t="inlineStr">
        <is>
          <t>ESKILSTUNA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61989-2023</t>
        </is>
      </c>
      <c r="B225" s="1" t="n">
        <v>45266.61707175926</v>
      </c>
      <c r="C225" s="1" t="n">
        <v>46123</v>
      </c>
      <c r="D225" t="inlineStr">
        <is>
          <t>SÖDERMANLANDS LÄN</t>
        </is>
      </c>
      <c r="E225" t="inlineStr">
        <is>
          <t>ESKILSTUNA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57304-2023</t>
        </is>
      </c>
      <c r="B226" s="1" t="n">
        <v>45245</v>
      </c>
      <c r="C226" s="1" t="n">
        <v>46123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13626-2023</t>
        </is>
      </c>
      <c r="B227" s="1" t="n">
        <v>45006</v>
      </c>
      <c r="C227" s="1" t="n">
        <v>46123</v>
      </c>
      <c r="D227" t="inlineStr">
        <is>
          <t>SÖDERMANLANDS LÄN</t>
        </is>
      </c>
      <c r="E227" t="inlineStr">
        <is>
          <t>ESKILSTUNA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21133-2023</t>
        </is>
      </c>
      <c r="B228" s="1" t="n">
        <v>45062.34902777777</v>
      </c>
      <c r="C228" s="1" t="n">
        <v>46123</v>
      </c>
      <c r="D228" t="inlineStr">
        <is>
          <t>SÖDERMANLANDS LÄN</t>
        </is>
      </c>
      <c r="E228" t="inlineStr">
        <is>
          <t>ESKILSTUNA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26148-2022</t>
        </is>
      </c>
      <c r="B229" s="1" t="n">
        <v>44735.28875</v>
      </c>
      <c r="C229" s="1" t="n">
        <v>46123</v>
      </c>
      <c r="D229" t="inlineStr">
        <is>
          <t>SÖDERMANLANDS LÄN</t>
        </is>
      </c>
      <c r="E229" t="inlineStr">
        <is>
          <t>ESKILSTUNA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1752-2024</t>
        </is>
      </c>
      <c r="B230" s="1" t="n">
        <v>45307</v>
      </c>
      <c r="C230" s="1" t="n">
        <v>46123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42578-2025</t>
        </is>
      </c>
      <c r="B231" s="1" t="n">
        <v>45905</v>
      </c>
      <c r="C231" s="1" t="n">
        <v>46123</v>
      </c>
      <c r="D231" t="inlineStr">
        <is>
          <t>SÖDERMANLANDS LÄN</t>
        </is>
      </c>
      <c r="E231" t="inlineStr">
        <is>
          <t>ESKILSTUNA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5695-2024</t>
        </is>
      </c>
      <c r="B232" s="1" t="n">
        <v>45334.70190972222</v>
      </c>
      <c r="C232" s="1" t="n">
        <v>46123</v>
      </c>
      <c r="D232" t="inlineStr">
        <is>
          <t>SÖDERMANLANDS LÄN</t>
        </is>
      </c>
      <c r="E232" t="inlineStr">
        <is>
          <t>ESKILSTUNA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43204-2025</t>
        </is>
      </c>
      <c r="B233" s="1" t="n">
        <v>45910</v>
      </c>
      <c r="C233" s="1" t="n">
        <v>46123</v>
      </c>
      <c r="D233" t="inlineStr">
        <is>
          <t>SÖDERMANLANDS LÄN</t>
        </is>
      </c>
      <c r="E233" t="inlineStr">
        <is>
          <t>ESKILSTUNA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62693-2023</t>
        </is>
      </c>
      <c r="B234" s="1" t="n">
        <v>45271</v>
      </c>
      <c r="C234" s="1" t="n">
        <v>46123</v>
      </c>
      <c r="D234" t="inlineStr">
        <is>
          <t>SÖDERMANLANDS LÄN</t>
        </is>
      </c>
      <c r="E234" t="inlineStr">
        <is>
          <t>ESKILSTUNA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1131-2023</t>
        </is>
      </c>
      <c r="B235" s="1" t="n">
        <v>44930</v>
      </c>
      <c r="C235" s="1" t="n">
        <v>46123</v>
      </c>
      <c r="D235" t="inlineStr">
        <is>
          <t>SÖDERMANLANDS LÄN</t>
        </is>
      </c>
      <c r="E235" t="inlineStr">
        <is>
          <t>ESKILSTUNA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1463-2023</t>
        </is>
      </c>
      <c r="B236" s="1" t="n">
        <v>44937.42351851852</v>
      </c>
      <c r="C236" s="1" t="n">
        <v>46123</v>
      </c>
      <c r="D236" t="inlineStr">
        <is>
          <t>SÖDERMANLANDS LÄN</t>
        </is>
      </c>
      <c r="E236" t="inlineStr">
        <is>
          <t>ESKILSTUNA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55800-2022</t>
        </is>
      </c>
      <c r="B237" s="1" t="n">
        <v>44888.63946759259</v>
      </c>
      <c r="C237" s="1" t="n">
        <v>46123</v>
      </c>
      <c r="D237" t="inlineStr">
        <is>
          <t>SÖDERMANLANDS LÄN</t>
        </is>
      </c>
      <c r="E237" t="inlineStr">
        <is>
          <t>ESKILSTUNA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14326-2023</t>
        </is>
      </c>
      <c r="B238" s="1" t="n">
        <v>45012.32734953704</v>
      </c>
      <c r="C238" s="1" t="n">
        <v>46123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Kommuner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38075-2024</t>
        </is>
      </c>
      <c r="B239" s="1" t="n">
        <v>45544</v>
      </c>
      <c r="C239" s="1" t="n">
        <v>46123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15592-2023</t>
        </is>
      </c>
      <c r="B240" s="1" t="n">
        <v>45020</v>
      </c>
      <c r="C240" s="1" t="n">
        <v>46123</v>
      </c>
      <c r="D240" t="inlineStr">
        <is>
          <t>SÖDERMANLANDS LÄN</t>
        </is>
      </c>
      <c r="E240" t="inlineStr">
        <is>
          <t>ESKILSTUNA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48362-2022</t>
        </is>
      </c>
      <c r="B241" s="1" t="n">
        <v>44858.57895833333</v>
      </c>
      <c r="C241" s="1" t="n">
        <v>46123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6659-2024</t>
        </is>
      </c>
      <c r="B242" s="1" t="n">
        <v>45341</v>
      </c>
      <c r="C242" s="1" t="n">
        <v>46123</v>
      </c>
      <c r="D242" t="inlineStr">
        <is>
          <t>SÖDERMANLANDS LÄN</t>
        </is>
      </c>
      <c r="E242" t="inlineStr">
        <is>
          <t>ESKILSTUNA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1194-2025</t>
        </is>
      </c>
      <c r="B243" s="1" t="n">
        <v>45667</v>
      </c>
      <c r="C243" s="1" t="n">
        <v>46123</v>
      </c>
      <c r="D243" t="inlineStr">
        <is>
          <t>SÖDERMANLANDS LÄN</t>
        </is>
      </c>
      <c r="E243" t="inlineStr">
        <is>
          <t>ESKILSTUNA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25283-2023</t>
        </is>
      </c>
      <c r="B244" s="1" t="n">
        <v>45079</v>
      </c>
      <c r="C244" s="1" t="n">
        <v>46123</v>
      </c>
      <c r="D244" t="inlineStr">
        <is>
          <t>SÖDERMANLANDS LÄN</t>
        </is>
      </c>
      <c r="E244" t="inlineStr">
        <is>
          <t>ESKILSTUNA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19271-2023</t>
        </is>
      </c>
      <c r="B245" s="1" t="n">
        <v>45049.40128472223</v>
      </c>
      <c r="C245" s="1" t="n">
        <v>46123</v>
      </c>
      <c r="D245" t="inlineStr">
        <is>
          <t>SÖDERMANLANDS LÄN</t>
        </is>
      </c>
      <c r="E245" t="inlineStr">
        <is>
          <t>ESKILSTUNA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65595-2021</t>
        </is>
      </c>
      <c r="B246" s="1" t="n">
        <v>44516</v>
      </c>
      <c r="C246" s="1" t="n">
        <v>46123</v>
      </c>
      <c r="D246" t="inlineStr">
        <is>
          <t>SÖDERMANLANDS LÄN</t>
        </is>
      </c>
      <c r="E246" t="inlineStr">
        <is>
          <t>ESKILSTUNA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43426-2021</t>
        </is>
      </c>
      <c r="B247" s="1" t="n">
        <v>44432</v>
      </c>
      <c r="C247" s="1" t="n">
        <v>46123</v>
      </c>
      <c r="D247" t="inlineStr">
        <is>
          <t>SÖDERMANLANDS LÄN</t>
        </is>
      </c>
      <c r="E247" t="inlineStr">
        <is>
          <t>ESKILSTUNA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55673-2024</t>
        </is>
      </c>
      <c r="B248" s="1" t="n">
        <v>45622.6533912037</v>
      </c>
      <c r="C248" s="1" t="n">
        <v>46123</v>
      </c>
      <c r="D248" t="inlineStr">
        <is>
          <t>SÖDERMANLANDS LÄN</t>
        </is>
      </c>
      <c r="E248" t="inlineStr">
        <is>
          <t>ESKILSTUNA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16337-2024</t>
        </is>
      </c>
      <c r="B249" s="1" t="n">
        <v>45407</v>
      </c>
      <c r="C249" s="1" t="n">
        <v>46123</v>
      </c>
      <c r="D249" t="inlineStr">
        <is>
          <t>SÖDERMANLANDS LÄN</t>
        </is>
      </c>
      <c r="E249" t="inlineStr">
        <is>
          <t>ESKILSTUNA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25731-2024</t>
        </is>
      </c>
      <c r="B250" s="1" t="n">
        <v>45464.45482638889</v>
      </c>
      <c r="C250" s="1" t="n">
        <v>46123</v>
      </c>
      <c r="D250" t="inlineStr">
        <is>
          <t>SÖDERMANLANDS LÄN</t>
        </is>
      </c>
      <c r="E250" t="inlineStr">
        <is>
          <t>ESKILSTUNA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17727-2023</t>
        </is>
      </c>
      <c r="B251" s="1" t="n">
        <v>45036</v>
      </c>
      <c r="C251" s="1" t="n">
        <v>46123</v>
      </c>
      <c r="D251" t="inlineStr">
        <is>
          <t>SÖDERMANLANDS LÄN</t>
        </is>
      </c>
      <c r="E251" t="inlineStr">
        <is>
          <t>ESKILSTUNA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40386-2022</t>
        </is>
      </c>
      <c r="B252" s="1" t="n">
        <v>44819</v>
      </c>
      <c r="C252" s="1" t="n">
        <v>46123</v>
      </c>
      <c r="D252" t="inlineStr">
        <is>
          <t>SÖDERMANLANDS LÄN</t>
        </is>
      </c>
      <c r="E252" t="inlineStr">
        <is>
          <t>ESKILSTUNA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32708-2024</t>
        </is>
      </c>
      <c r="B253" s="1" t="n">
        <v>45514</v>
      </c>
      <c r="C253" s="1" t="n">
        <v>46123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53374-2022</t>
        </is>
      </c>
      <c r="B254" s="1" t="n">
        <v>44874</v>
      </c>
      <c r="C254" s="1" t="n">
        <v>46123</v>
      </c>
      <c r="D254" t="inlineStr">
        <is>
          <t>SÖDERMANLANDS LÄN</t>
        </is>
      </c>
      <c r="E254" t="inlineStr">
        <is>
          <t>ESKILSTUNA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4318-2025</t>
        </is>
      </c>
      <c r="B255" s="1" t="n">
        <v>45685</v>
      </c>
      <c r="C255" s="1" t="n">
        <v>46123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4319-2025</t>
        </is>
      </c>
      <c r="B256" s="1" t="n">
        <v>45685</v>
      </c>
      <c r="C256" s="1" t="n">
        <v>46123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55282-2023</t>
        </is>
      </c>
      <c r="B257" s="1" t="n">
        <v>45237.71393518519</v>
      </c>
      <c r="C257" s="1" t="n">
        <v>46123</v>
      </c>
      <c r="D257" t="inlineStr">
        <is>
          <t>SÖDERMANLANDS LÄN</t>
        </is>
      </c>
      <c r="E257" t="inlineStr">
        <is>
          <t>ESKILSTUNA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1538-2025</t>
        </is>
      </c>
      <c r="B258" s="1" t="n">
        <v>45670</v>
      </c>
      <c r="C258" s="1" t="n">
        <v>46123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44862-2025</t>
        </is>
      </c>
      <c r="B259" s="1" t="n">
        <v>45918.45792824074</v>
      </c>
      <c r="C259" s="1" t="n">
        <v>46123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49470-2023</t>
        </is>
      </c>
      <c r="B260" s="1" t="n">
        <v>45211.53525462963</v>
      </c>
      <c r="C260" s="1" t="n">
        <v>46123</v>
      </c>
      <c r="D260" t="inlineStr">
        <is>
          <t>SÖDERMANLANDS LÄN</t>
        </is>
      </c>
      <c r="E260" t="inlineStr">
        <is>
          <t>ESKILSTUNA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45766-2025</t>
        </is>
      </c>
      <c r="B261" s="1" t="n">
        <v>45923</v>
      </c>
      <c r="C261" s="1" t="n">
        <v>46123</v>
      </c>
      <c r="D261" t="inlineStr">
        <is>
          <t>SÖDERMANLANDS LÄN</t>
        </is>
      </c>
      <c r="E261" t="inlineStr">
        <is>
          <t>ESKILSTUNA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52290-2024</t>
        </is>
      </c>
      <c r="B262" s="1" t="n">
        <v>45608.69983796297</v>
      </c>
      <c r="C262" s="1" t="n">
        <v>46123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Övriga Aktiebolag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60521-2021</t>
        </is>
      </c>
      <c r="B263" s="1" t="n">
        <v>44495</v>
      </c>
      <c r="C263" s="1" t="n">
        <v>46123</v>
      </c>
      <c r="D263" t="inlineStr">
        <is>
          <t>SÖDERMANLANDS LÄN</t>
        </is>
      </c>
      <c r="E263" t="inlineStr">
        <is>
          <t>ESKILSTUNA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30968-2022</t>
        </is>
      </c>
      <c r="B264" s="1" t="n">
        <v>44768</v>
      </c>
      <c r="C264" s="1" t="n">
        <v>46123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55963-2023</t>
        </is>
      </c>
      <c r="B265" s="1" t="n">
        <v>45240.35564814815</v>
      </c>
      <c r="C265" s="1" t="n">
        <v>46123</v>
      </c>
      <c r="D265" t="inlineStr">
        <is>
          <t>SÖDERMANLANDS LÄN</t>
        </is>
      </c>
      <c r="E265" t="inlineStr">
        <is>
          <t>ESKILSTUNA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45789-2025</t>
        </is>
      </c>
      <c r="B266" s="1" t="n">
        <v>45923</v>
      </c>
      <c r="C266" s="1" t="n">
        <v>46123</v>
      </c>
      <c r="D266" t="inlineStr">
        <is>
          <t>SÖDERMANLANDS LÄN</t>
        </is>
      </c>
      <c r="E266" t="inlineStr">
        <is>
          <t>ESKILSTUNA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44019-2021</t>
        </is>
      </c>
      <c r="B267" s="1" t="n">
        <v>44434</v>
      </c>
      <c r="C267" s="1" t="n">
        <v>46123</v>
      </c>
      <c r="D267" t="inlineStr">
        <is>
          <t>SÖDERMANLANDS LÄN</t>
        </is>
      </c>
      <c r="E267" t="inlineStr">
        <is>
          <t>ESKILSTUNA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970-2024</t>
        </is>
      </c>
      <c r="B268" s="1" t="n">
        <v>45301</v>
      </c>
      <c r="C268" s="1" t="n">
        <v>46123</v>
      </c>
      <c r="D268" t="inlineStr">
        <is>
          <t>SÖDERMANLANDS LÄN</t>
        </is>
      </c>
      <c r="E268" t="inlineStr">
        <is>
          <t>ESKILSTUNA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2341-2023</t>
        </is>
      </c>
      <c r="B269" s="1" t="n">
        <v>44942</v>
      </c>
      <c r="C269" s="1" t="n">
        <v>46123</v>
      </c>
      <c r="D269" t="inlineStr">
        <is>
          <t>SÖDERMANLANDS LÄN</t>
        </is>
      </c>
      <c r="E269" t="inlineStr">
        <is>
          <t>ESKILSTUNA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26910-2023</t>
        </is>
      </c>
      <c r="B270" s="1" t="n">
        <v>45093</v>
      </c>
      <c r="C270" s="1" t="n">
        <v>46123</v>
      </c>
      <c r="D270" t="inlineStr">
        <is>
          <t>SÖDERMANLANDS LÄN</t>
        </is>
      </c>
      <c r="E270" t="inlineStr">
        <is>
          <t>ESKILSTUNA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46684-2025</t>
        </is>
      </c>
      <c r="B271" s="1" t="n">
        <v>45926</v>
      </c>
      <c r="C271" s="1" t="n">
        <v>46123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46677-2025</t>
        </is>
      </c>
      <c r="B272" s="1" t="n">
        <v>45926</v>
      </c>
      <c r="C272" s="1" t="n">
        <v>46123</v>
      </c>
      <c r="D272" t="inlineStr">
        <is>
          <t>SÖDERMANLANDS LÄN</t>
        </is>
      </c>
      <c r="E272" t="inlineStr">
        <is>
          <t>ESKILSTUNA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54216-2022</t>
        </is>
      </c>
      <c r="B273" s="1" t="n">
        <v>44881</v>
      </c>
      <c r="C273" s="1" t="n">
        <v>46123</v>
      </c>
      <c r="D273" t="inlineStr">
        <is>
          <t>SÖDERMANLANDS LÄN</t>
        </is>
      </c>
      <c r="E273" t="inlineStr">
        <is>
          <t>ESKILSTUNA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2512-2025</t>
        </is>
      </c>
      <c r="B274" s="1" t="n">
        <v>45674</v>
      </c>
      <c r="C274" s="1" t="n">
        <v>46123</v>
      </c>
      <c r="D274" t="inlineStr">
        <is>
          <t>SÖDERMANLANDS LÄN</t>
        </is>
      </c>
      <c r="E274" t="inlineStr">
        <is>
          <t>ESKILSTUNA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68018-2021</t>
        </is>
      </c>
      <c r="B275" s="1" t="n">
        <v>44525.9009375</v>
      </c>
      <c r="C275" s="1" t="n">
        <v>46123</v>
      </c>
      <c r="D275" t="inlineStr">
        <is>
          <t>SÖDERMANLANDS LÄN</t>
        </is>
      </c>
      <c r="E275" t="inlineStr">
        <is>
          <t>ESKILSTUNA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68020-2021</t>
        </is>
      </c>
      <c r="B276" s="1" t="n">
        <v>44525.9021875</v>
      </c>
      <c r="C276" s="1" t="n">
        <v>46123</v>
      </c>
      <c r="D276" t="inlineStr">
        <is>
          <t>SÖDERMANLANDS LÄN</t>
        </is>
      </c>
      <c r="E276" t="inlineStr">
        <is>
          <t>ESKILSTUNA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11796-2022</t>
        </is>
      </c>
      <c r="B277" s="1" t="n">
        <v>44634.64108796296</v>
      </c>
      <c r="C277" s="1" t="n">
        <v>46123</v>
      </c>
      <c r="D277" t="inlineStr">
        <is>
          <t>SÖDERMANLANDS LÄN</t>
        </is>
      </c>
      <c r="E277" t="inlineStr">
        <is>
          <t>ESKILSTUNA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13849-2023</t>
        </is>
      </c>
      <c r="B278" s="1" t="n">
        <v>45007.62168981481</v>
      </c>
      <c r="C278" s="1" t="n">
        <v>46123</v>
      </c>
      <c r="D278" t="inlineStr">
        <is>
          <t>SÖDERMANLANDS LÄN</t>
        </is>
      </c>
      <c r="E278" t="inlineStr">
        <is>
          <t>ESKILSTUNA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20823-2022</t>
        </is>
      </c>
      <c r="B279" s="1" t="n">
        <v>44701</v>
      </c>
      <c r="C279" s="1" t="n">
        <v>46123</v>
      </c>
      <c r="D279" t="inlineStr">
        <is>
          <t>SÖDERMANLANDS LÄN</t>
        </is>
      </c>
      <c r="E279" t="inlineStr">
        <is>
          <t>ESKILSTUNA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9703-2025</t>
        </is>
      </c>
      <c r="B280" s="1" t="n">
        <v>45715</v>
      </c>
      <c r="C280" s="1" t="n">
        <v>46123</v>
      </c>
      <c r="D280" t="inlineStr">
        <is>
          <t>SÖDERMANLANDS LÄN</t>
        </is>
      </c>
      <c r="E280" t="inlineStr">
        <is>
          <t>ESKILSTUNA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35698-2022</t>
        </is>
      </c>
      <c r="B281" s="1" t="n">
        <v>44799</v>
      </c>
      <c r="C281" s="1" t="n">
        <v>46123</v>
      </c>
      <c r="D281" t="inlineStr">
        <is>
          <t>SÖDERMANLANDS LÄN</t>
        </is>
      </c>
      <c r="E281" t="inlineStr">
        <is>
          <t>ESKILSTUNA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46717-2025</t>
        </is>
      </c>
      <c r="B282" s="1" t="n">
        <v>45926</v>
      </c>
      <c r="C282" s="1" t="n">
        <v>46123</v>
      </c>
      <c r="D282" t="inlineStr">
        <is>
          <t>SÖDERMANLANDS LÄN</t>
        </is>
      </c>
      <c r="E282" t="inlineStr">
        <is>
          <t>ESKILSTUNA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26904-2023</t>
        </is>
      </c>
      <c r="B283" s="1" t="n">
        <v>45093</v>
      </c>
      <c r="C283" s="1" t="n">
        <v>46123</v>
      </c>
      <c r="D283" t="inlineStr">
        <is>
          <t>SÖDERMANLANDS LÄN</t>
        </is>
      </c>
      <c r="E283" t="inlineStr">
        <is>
          <t>ESKILSTUNA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3341-2022</t>
        </is>
      </c>
      <c r="B284" s="1" t="n">
        <v>44582</v>
      </c>
      <c r="C284" s="1" t="n">
        <v>46123</v>
      </c>
      <c r="D284" t="inlineStr">
        <is>
          <t>SÖDERMANLANDS LÄN</t>
        </is>
      </c>
      <c r="E284" t="inlineStr">
        <is>
          <t>ESKILSTUNA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60276-2024</t>
        </is>
      </c>
      <c r="B285" s="1" t="n">
        <v>45642.89609953704</v>
      </c>
      <c r="C285" s="1" t="n">
        <v>46123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46608-2024</t>
        </is>
      </c>
      <c r="B286" s="1" t="n">
        <v>45582.95277777778</v>
      </c>
      <c r="C286" s="1" t="n">
        <v>46123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13826-2025</t>
        </is>
      </c>
      <c r="B287" s="1" t="n">
        <v>45737.54170138889</v>
      </c>
      <c r="C287" s="1" t="n">
        <v>46123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9455-2022</t>
        </is>
      </c>
      <c r="B288" s="1" t="n">
        <v>44616.71168981482</v>
      </c>
      <c r="C288" s="1" t="n">
        <v>46123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47845-2025</t>
        </is>
      </c>
      <c r="B289" s="1" t="n">
        <v>45931</v>
      </c>
      <c r="C289" s="1" t="n">
        <v>46123</v>
      </c>
      <c r="D289" t="inlineStr">
        <is>
          <t>SÖDERMANLANDS LÄN</t>
        </is>
      </c>
      <c r="E289" t="inlineStr">
        <is>
          <t>ESKILSTUNA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47763-2025</t>
        </is>
      </c>
      <c r="B290" s="1" t="n">
        <v>45931.67982638889</v>
      </c>
      <c r="C290" s="1" t="n">
        <v>46123</v>
      </c>
      <c r="D290" t="inlineStr">
        <is>
          <t>SÖDERMANLANDS LÄN</t>
        </is>
      </c>
      <c r="E290" t="inlineStr">
        <is>
          <t>ESKILSTUNA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57538-2022</t>
        </is>
      </c>
      <c r="B291" s="1" t="n">
        <v>44889</v>
      </c>
      <c r="C291" s="1" t="n">
        <v>46123</v>
      </c>
      <c r="D291" t="inlineStr">
        <is>
          <t>SÖDERMANLANDS LÄN</t>
        </is>
      </c>
      <c r="E291" t="inlineStr">
        <is>
          <t>ESKILSTUNA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55779-2022</t>
        </is>
      </c>
      <c r="B292" s="1" t="n">
        <v>44886</v>
      </c>
      <c r="C292" s="1" t="n">
        <v>46123</v>
      </c>
      <c r="D292" t="inlineStr">
        <is>
          <t>SÖDERMANLANDS LÄN</t>
        </is>
      </c>
      <c r="E292" t="inlineStr">
        <is>
          <t>ESKILSTUNA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1506-2025</t>
        </is>
      </c>
      <c r="B293" s="1" t="n">
        <v>45670</v>
      </c>
      <c r="C293" s="1" t="n">
        <v>46123</v>
      </c>
      <c r="D293" t="inlineStr">
        <is>
          <t>SÖDERMANLANDS LÄN</t>
        </is>
      </c>
      <c r="E293" t="inlineStr">
        <is>
          <t>ESKILSTUNA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25227-2022</t>
        </is>
      </c>
      <c r="B294" s="1" t="n">
        <v>44729</v>
      </c>
      <c r="C294" s="1" t="n">
        <v>46123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3498-2025</t>
        </is>
      </c>
      <c r="B295" s="1" t="n">
        <v>45680</v>
      </c>
      <c r="C295" s="1" t="n">
        <v>46123</v>
      </c>
      <c r="D295" t="inlineStr">
        <is>
          <t>SÖDERMANLANDS LÄN</t>
        </is>
      </c>
      <c r="E295" t="inlineStr">
        <is>
          <t>ESKILSTUNA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10352-2024</t>
        </is>
      </c>
      <c r="B296" s="1" t="n">
        <v>45365.59789351852</v>
      </c>
      <c r="C296" s="1" t="n">
        <v>46123</v>
      </c>
      <c r="D296" t="inlineStr">
        <is>
          <t>SÖDERMANLANDS LÄN</t>
        </is>
      </c>
      <c r="E296" t="inlineStr">
        <is>
          <t>ESKILSTUNA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4334-2023</t>
        </is>
      </c>
      <c r="B297" s="1" t="n">
        <v>44953.79731481482</v>
      </c>
      <c r="C297" s="1" t="n">
        <v>46123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60246-2024</t>
        </is>
      </c>
      <c r="B298" s="1" t="n">
        <v>45642</v>
      </c>
      <c r="C298" s="1" t="n">
        <v>46123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4954-2022</t>
        </is>
      </c>
      <c r="B299" s="1" t="n">
        <v>44593</v>
      </c>
      <c r="C299" s="1" t="n">
        <v>46123</v>
      </c>
      <c r="D299" t="inlineStr">
        <is>
          <t>SÖDERMANLANDS LÄN</t>
        </is>
      </c>
      <c r="E299" t="inlineStr">
        <is>
          <t>ESKILSTUNA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19285-2023</t>
        </is>
      </c>
      <c r="B300" s="1" t="n">
        <v>45049</v>
      </c>
      <c r="C300" s="1" t="n">
        <v>46123</v>
      </c>
      <c r="D300" t="inlineStr">
        <is>
          <t>SÖDERMANLANDS LÄN</t>
        </is>
      </c>
      <c r="E300" t="inlineStr">
        <is>
          <t>ESKILSTUNA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8996-2023</t>
        </is>
      </c>
      <c r="B301" s="1" t="n">
        <v>44979</v>
      </c>
      <c r="C301" s="1" t="n">
        <v>46123</v>
      </c>
      <c r="D301" t="inlineStr">
        <is>
          <t>SÖDERMANLANDS LÄN</t>
        </is>
      </c>
      <c r="E301" t="inlineStr">
        <is>
          <t>ESKILSTUNA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31002-2023</t>
        </is>
      </c>
      <c r="B302" s="1" t="n">
        <v>45103</v>
      </c>
      <c r="C302" s="1" t="n">
        <v>46123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38895-2023</t>
        </is>
      </c>
      <c r="B303" s="1" t="n">
        <v>45163</v>
      </c>
      <c r="C303" s="1" t="n">
        <v>46123</v>
      </c>
      <c r="D303" t="inlineStr">
        <is>
          <t>SÖDERMANLANDS LÄN</t>
        </is>
      </c>
      <c r="E303" t="inlineStr">
        <is>
          <t>ESKILSTUNA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36636-2022</t>
        </is>
      </c>
      <c r="B304" s="1" t="n">
        <v>44804</v>
      </c>
      <c r="C304" s="1" t="n">
        <v>46123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57349-2021</t>
        </is>
      </c>
      <c r="B305" s="1" t="n">
        <v>44483</v>
      </c>
      <c r="C305" s="1" t="n">
        <v>46123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45882-2022</t>
        </is>
      </c>
      <c r="B306" s="1" t="n">
        <v>44844</v>
      </c>
      <c r="C306" s="1" t="n">
        <v>46123</v>
      </c>
      <c r="D306" t="inlineStr">
        <is>
          <t>SÖDERMANLANDS LÄN</t>
        </is>
      </c>
      <c r="E306" t="inlineStr">
        <is>
          <t>ESKILSTUNA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45884-2022</t>
        </is>
      </c>
      <c r="B307" s="1" t="n">
        <v>44844</v>
      </c>
      <c r="C307" s="1" t="n">
        <v>46123</v>
      </c>
      <c r="D307" t="inlineStr">
        <is>
          <t>SÖDERMANLANDS LÄN</t>
        </is>
      </c>
      <c r="E307" t="inlineStr">
        <is>
          <t>ESKILSTUNA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55741-2022</t>
        </is>
      </c>
      <c r="B308" s="1" t="n">
        <v>44883</v>
      </c>
      <c r="C308" s="1" t="n">
        <v>46123</v>
      </c>
      <c r="D308" t="inlineStr">
        <is>
          <t>SÖDERMANLANDS LÄN</t>
        </is>
      </c>
      <c r="E308" t="inlineStr">
        <is>
          <t>ESKILSTUNA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59276-2021</t>
        </is>
      </c>
      <c r="B309" s="1" t="n">
        <v>44490</v>
      </c>
      <c r="C309" s="1" t="n">
        <v>46123</v>
      </c>
      <c r="D309" t="inlineStr">
        <is>
          <t>SÖDERMANLANDS LÄN</t>
        </is>
      </c>
      <c r="E309" t="inlineStr">
        <is>
          <t>ESKILSTUNA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44622-2025</t>
        </is>
      </c>
      <c r="B310" s="1" t="n">
        <v>45917</v>
      </c>
      <c r="C310" s="1" t="n">
        <v>46123</v>
      </c>
      <c r="D310" t="inlineStr">
        <is>
          <t>SÖDERMANLANDS LÄN</t>
        </is>
      </c>
      <c r="E310" t="inlineStr">
        <is>
          <t>ESKILSTUNA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23444-2025</t>
        </is>
      </c>
      <c r="B311" s="1" t="n">
        <v>45792.379375</v>
      </c>
      <c r="C311" s="1" t="n">
        <v>46123</v>
      </c>
      <c r="D311" t="inlineStr">
        <is>
          <t>SÖDERMANLANDS LÄN</t>
        </is>
      </c>
      <c r="E311" t="inlineStr">
        <is>
          <t>ESKILSTUNA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50484-2025</t>
        </is>
      </c>
      <c r="B312" s="1" t="n">
        <v>45945.38439814815</v>
      </c>
      <c r="C312" s="1" t="n">
        <v>46123</v>
      </c>
      <c r="D312" t="inlineStr">
        <is>
          <t>SÖDERMANLANDS LÄN</t>
        </is>
      </c>
      <c r="E312" t="inlineStr">
        <is>
          <t>ESKILSTUNA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11705-2022</t>
        </is>
      </c>
      <c r="B313" s="1" t="n">
        <v>44634</v>
      </c>
      <c r="C313" s="1" t="n">
        <v>46123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4392-2023</t>
        </is>
      </c>
      <c r="B314" s="1" t="n">
        <v>44955</v>
      </c>
      <c r="C314" s="1" t="n">
        <v>46123</v>
      </c>
      <c r="D314" t="inlineStr">
        <is>
          <t>SÖDERMANLANDS LÄN</t>
        </is>
      </c>
      <c r="E314" t="inlineStr">
        <is>
          <t>ESKILSTUNA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23390-2025</t>
        </is>
      </c>
      <c r="B315" s="1" t="n">
        <v>45791.85936342592</v>
      </c>
      <c r="C315" s="1" t="n">
        <v>46123</v>
      </c>
      <c r="D315" t="inlineStr">
        <is>
          <t>SÖDERMANLANDS LÄN</t>
        </is>
      </c>
      <c r="E315" t="inlineStr">
        <is>
          <t>ESKILSTUNA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23417-2025</t>
        </is>
      </c>
      <c r="B316" s="1" t="n">
        <v>45792.35003472222</v>
      </c>
      <c r="C316" s="1" t="n">
        <v>46123</v>
      </c>
      <c r="D316" t="inlineStr">
        <is>
          <t>SÖDERMANLANDS LÄN</t>
        </is>
      </c>
      <c r="E316" t="inlineStr">
        <is>
          <t>ESKILSTUNA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3145-2023</t>
        </is>
      </c>
      <c r="B317" s="1" t="n">
        <v>44946</v>
      </c>
      <c r="C317" s="1" t="n">
        <v>46123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50940-2025</t>
        </is>
      </c>
      <c r="B318" s="1" t="n">
        <v>45946.71481481481</v>
      </c>
      <c r="C318" s="1" t="n">
        <v>46123</v>
      </c>
      <c r="D318" t="inlineStr">
        <is>
          <t>SÖDERMANLANDS LÄN</t>
        </is>
      </c>
      <c r="E318" t="inlineStr">
        <is>
          <t>ESKILSTUNA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24652-2025</t>
        </is>
      </c>
      <c r="B319" s="1" t="n">
        <v>45798.63770833334</v>
      </c>
      <c r="C319" s="1" t="n">
        <v>46123</v>
      </c>
      <c r="D319" t="inlineStr">
        <is>
          <t>SÖDERMANLANDS LÄN</t>
        </is>
      </c>
      <c r="E319" t="inlineStr">
        <is>
          <t>ESKILSTUNA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24669-2025</t>
        </is>
      </c>
      <c r="B320" s="1" t="n">
        <v>45798.64900462963</v>
      </c>
      <c r="C320" s="1" t="n">
        <v>46123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24691-2025</t>
        </is>
      </c>
      <c r="B321" s="1" t="n">
        <v>45798.67103009259</v>
      </c>
      <c r="C321" s="1" t="n">
        <v>46123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24662-2025</t>
        </is>
      </c>
      <c r="B322" s="1" t="n">
        <v>45798.64447916667</v>
      </c>
      <c r="C322" s="1" t="n">
        <v>46123</v>
      </c>
      <c r="D322" t="inlineStr">
        <is>
          <t>SÖDERMANLANDS LÄN</t>
        </is>
      </c>
      <c r="E322" t="inlineStr">
        <is>
          <t>ESKILSTUNA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24667-2025</t>
        </is>
      </c>
      <c r="B323" s="1" t="n">
        <v>45798.64721064815</v>
      </c>
      <c r="C323" s="1" t="n">
        <v>46123</v>
      </c>
      <c r="D323" t="inlineStr">
        <is>
          <t>SÖDERMANLANDS LÄN</t>
        </is>
      </c>
      <c r="E323" t="inlineStr">
        <is>
          <t>ESKILSTUNA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24686-2025</t>
        </is>
      </c>
      <c r="B324" s="1" t="n">
        <v>45798.66695601852</v>
      </c>
      <c r="C324" s="1" t="n">
        <v>46123</v>
      </c>
      <c r="D324" t="inlineStr">
        <is>
          <t>SÖDERMANLANDS LÄN</t>
        </is>
      </c>
      <c r="E324" t="inlineStr">
        <is>
          <t>ESKILSTUNA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24534-2025</t>
        </is>
      </c>
      <c r="B325" s="1" t="n">
        <v>45798.43306712963</v>
      </c>
      <c r="C325" s="1" t="n">
        <v>46123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24535-2025</t>
        </is>
      </c>
      <c r="B326" s="1" t="n">
        <v>45798.43482638889</v>
      </c>
      <c r="C326" s="1" t="n">
        <v>46123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24536-2025</t>
        </is>
      </c>
      <c r="B327" s="1" t="n">
        <v>45798</v>
      </c>
      <c r="C327" s="1" t="n">
        <v>46123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50942-2025</t>
        </is>
      </c>
      <c r="B328" s="1" t="n">
        <v>45946.71799768518</v>
      </c>
      <c r="C328" s="1" t="n">
        <v>46123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43488-2024</t>
        </is>
      </c>
      <c r="B329" s="1" t="n">
        <v>45568.90701388889</v>
      </c>
      <c r="C329" s="1" t="n">
        <v>46123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43489-2024</t>
        </is>
      </c>
      <c r="B330" s="1" t="n">
        <v>45568.90762731482</v>
      </c>
      <c r="C330" s="1" t="n">
        <v>46123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24537-2025</t>
        </is>
      </c>
      <c r="B331" s="1" t="n">
        <v>45798.43913194445</v>
      </c>
      <c r="C331" s="1" t="n">
        <v>46123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51332-2025</t>
        </is>
      </c>
      <c r="B332" s="1" t="n">
        <v>45950.41737268519</v>
      </c>
      <c r="C332" s="1" t="n">
        <v>46123</v>
      </c>
      <c r="D332" t="inlineStr">
        <is>
          <t>SÖDERMANLANDS LÄN</t>
        </is>
      </c>
      <c r="E332" t="inlineStr">
        <is>
          <t>ESKILSTUNA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52324-2025</t>
        </is>
      </c>
      <c r="B333" s="1" t="n">
        <v>45953.66923611111</v>
      </c>
      <c r="C333" s="1" t="n">
        <v>46123</v>
      </c>
      <c r="D333" t="inlineStr">
        <is>
          <t>SÖDERMANLANDS LÄN</t>
        </is>
      </c>
      <c r="E333" t="inlineStr">
        <is>
          <t>ESKILSTUNA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53098-2022</t>
        </is>
      </c>
      <c r="B334" s="1" t="n">
        <v>44873</v>
      </c>
      <c r="C334" s="1" t="n">
        <v>46123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23-2023</t>
        </is>
      </c>
      <c r="B335" s="1" t="n">
        <v>44928</v>
      </c>
      <c r="C335" s="1" t="n">
        <v>46123</v>
      </c>
      <c r="D335" t="inlineStr">
        <is>
          <t>SÖDERMANLANDS LÄN</t>
        </is>
      </c>
      <c r="E335" t="inlineStr">
        <is>
          <t>ESKILSTUNA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52153-2025</t>
        </is>
      </c>
      <c r="B336" s="1" t="n">
        <v>45953.34796296297</v>
      </c>
      <c r="C336" s="1" t="n">
        <v>46123</v>
      </c>
      <c r="D336" t="inlineStr">
        <is>
          <t>SÖDERMANLANDS LÄN</t>
        </is>
      </c>
      <c r="E336" t="inlineStr">
        <is>
          <t>ESKILSTUNA</t>
        </is>
      </c>
      <c r="G336" t="n">
        <v>16.6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52224-2025</t>
        </is>
      </c>
      <c r="B337" s="1" t="n">
        <v>45953.44787037037</v>
      </c>
      <c r="C337" s="1" t="n">
        <v>46123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52221-2025</t>
        </is>
      </c>
      <c r="B338" s="1" t="n">
        <v>45953.44184027778</v>
      </c>
      <c r="C338" s="1" t="n">
        <v>46123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52222-2025</t>
        </is>
      </c>
      <c r="B339" s="1" t="n">
        <v>45953.44493055555</v>
      </c>
      <c r="C339" s="1" t="n">
        <v>46123</v>
      </c>
      <c r="D339" t="inlineStr">
        <is>
          <t>SÖDERMANLANDS LÄN</t>
        </is>
      </c>
      <c r="E339" t="inlineStr">
        <is>
          <t>ESKILSTUNA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3112-2023</t>
        </is>
      </c>
      <c r="B340" s="1" t="n">
        <v>44946</v>
      </c>
      <c r="C340" s="1" t="n">
        <v>46123</v>
      </c>
      <c r="D340" t="inlineStr">
        <is>
          <t>SÖDERMANLANDS LÄN</t>
        </is>
      </c>
      <c r="E340" t="inlineStr">
        <is>
          <t>ESKILSTUNA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52203-2025</t>
        </is>
      </c>
      <c r="B341" s="1" t="n">
        <v>45953</v>
      </c>
      <c r="C341" s="1" t="n">
        <v>46123</v>
      </c>
      <c r="D341" t="inlineStr">
        <is>
          <t>SÖDERMANLANDS LÄN</t>
        </is>
      </c>
      <c r="E341" t="inlineStr">
        <is>
          <t>ESKILSTUNA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52233-2025</t>
        </is>
      </c>
      <c r="B342" s="1" t="n">
        <v>45953.45186342593</v>
      </c>
      <c r="C342" s="1" t="n">
        <v>46123</v>
      </c>
      <c r="D342" t="inlineStr">
        <is>
          <t>SÖDERMANLANDS LÄN</t>
        </is>
      </c>
      <c r="E342" t="inlineStr">
        <is>
          <t>ESKILSTUNA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52248-2025</t>
        </is>
      </c>
      <c r="B343" s="1" t="n">
        <v>45953.4840625</v>
      </c>
      <c r="C343" s="1" t="n">
        <v>46123</v>
      </c>
      <c r="D343" t="inlineStr">
        <is>
          <t>SÖDERMANLANDS LÄN</t>
        </is>
      </c>
      <c r="E343" t="inlineStr">
        <is>
          <t>ESKILSTUNA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52624-2025</t>
        </is>
      </c>
      <c r="B344" s="1" t="n">
        <v>45954.70034722222</v>
      </c>
      <c r="C344" s="1" t="n">
        <v>46123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46796-2023</t>
        </is>
      </c>
      <c r="B345" s="1" t="n">
        <v>45198</v>
      </c>
      <c r="C345" s="1" t="n">
        <v>46123</v>
      </c>
      <c r="D345" t="inlineStr">
        <is>
          <t>SÖDERMANLANDS LÄN</t>
        </is>
      </c>
      <c r="E345" t="inlineStr">
        <is>
          <t>ESKILSTUNA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36613-2024</t>
        </is>
      </c>
      <c r="B346" s="1" t="n">
        <v>45537.57546296297</v>
      </c>
      <c r="C346" s="1" t="n">
        <v>46123</v>
      </c>
      <c r="D346" t="inlineStr">
        <is>
          <t>SÖDERMANLANDS LÄN</t>
        </is>
      </c>
      <c r="E346" t="inlineStr">
        <is>
          <t>ESKILSTUNA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52623-2025</t>
        </is>
      </c>
      <c r="B347" s="1" t="n">
        <v>45954.69859953703</v>
      </c>
      <c r="C347" s="1" t="n">
        <v>46123</v>
      </c>
      <c r="D347" t="inlineStr">
        <is>
          <t>SÖDERMANLANDS LÄN</t>
        </is>
      </c>
      <c r="E347" t="inlineStr">
        <is>
          <t>ESKILSTUNA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6598-2024</t>
        </is>
      </c>
      <c r="B348" s="1" t="n">
        <v>45341.55400462963</v>
      </c>
      <c r="C348" s="1" t="n">
        <v>46123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28582-2023</t>
        </is>
      </c>
      <c r="B349" s="1" t="n">
        <v>45103</v>
      </c>
      <c r="C349" s="1" t="n">
        <v>46123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30732-2024</t>
        </is>
      </c>
      <c r="B350" s="1" t="n">
        <v>45496.61991898148</v>
      </c>
      <c r="C350" s="1" t="n">
        <v>46123</v>
      </c>
      <c r="D350" t="inlineStr">
        <is>
          <t>SÖDERMANLANDS LÄN</t>
        </is>
      </c>
      <c r="E350" t="inlineStr">
        <is>
          <t>ESKILSTUNA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52633-2025</t>
        </is>
      </c>
      <c r="B351" s="1" t="n">
        <v>45954.72381944444</v>
      </c>
      <c r="C351" s="1" t="n">
        <v>46123</v>
      </c>
      <c r="D351" t="inlineStr">
        <is>
          <t>SÖDERMANLANDS LÄN</t>
        </is>
      </c>
      <c r="E351" t="inlineStr">
        <is>
          <t>ESKILSTUNA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1458-2025</t>
        </is>
      </c>
      <c r="B352" s="1" t="n">
        <v>45670</v>
      </c>
      <c r="C352" s="1" t="n">
        <v>46123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4249-2023</t>
        </is>
      </c>
      <c r="B353" s="1" t="n">
        <v>44953</v>
      </c>
      <c r="C353" s="1" t="n">
        <v>46123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52663-2023</t>
        </is>
      </c>
      <c r="B354" s="1" t="n">
        <v>45225.6690625</v>
      </c>
      <c r="C354" s="1" t="n">
        <v>46123</v>
      </c>
      <c r="D354" t="inlineStr">
        <is>
          <t>SÖDERMANLANDS LÄN</t>
        </is>
      </c>
      <c r="E354" t="inlineStr">
        <is>
          <t>ESKILSTUNA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1701-2025</t>
        </is>
      </c>
      <c r="B355" s="1" t="n">
        <v>45670.77166666667</v>
      </c>
      <c r="C355" s="1" t="n">
        <v>46123</v>
      </c>
      <c r="D355" t="inlineStr">
        <is>
          <t>SÖDERMANLANDS LÄN</t>
        </is>
      </c>
      <c r="E355" t="inlineStr">
        <is>
          <t>ESKILSTUNA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13803-2025</t>
        </is>
      </c>
      <c r="B356" s="1" t="n">
        <v>45737</v>
      </c>
      <c r="C356" s="1" t="n">
        <v>46123</v>
      </c>
      <c r="D356" t="inlineStr">
        <is>
          <t>SÖDERMANLANDS LÄN</t>
        </is>
      </c>
      <c r="E356" t="inlineStr">
        <is>
          <t>ESKILSTUNA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6405-2023</t>
        </is>
      </c>
      <c r="B357" s="1" t="n">
        <v>44965</v>
      </c>
      <c r="C357" s="1" t="n">
        <v>46123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44615-2022</t>
        </is>
      </c>
      <c r="B358" s="1" t="n">
        <v>44839</v>
      </c>
      <c r="C358" s="1" t="n">
        <v>46123</v>
      </c>
      <c r="D358" t="inlineStr">
        <is>
          <t>SÖDERMANLANDS LÄN</t>
        </is>
      </c>
      <c r="E358" t="inlineStr">
        <is>
          <t>ESKILSTUNA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54718-2025</t>
        </is>
      </c>
      <c r="B359" s="1" t="n">
        <v>45966.52162037037</v>
      </c>
      <c r="C359" s="1" t="n">
        <v>46123</v>
      </c>
      <c r="D359" t="inlineStr">
        <is>
          <t>SÖDERMANLANDS LÄN</t>
        </is>
      </c>
      <c r="E359" t="inlineStr">
        <is>
          <t>ESKILSTUNA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6325-2023</t>
        </is>
      </c>
      <c r="B360" s="1" t="n">
        <v>44965</v>
      </c>
      <c r="C360" s="1" t="n">
        <v>46123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54843-2025</t>
        </is>
      </c>
      <c r="B361" s="1" t="n">
        <v>45966.69065972222</v>
      </c>
      <c r="C361" s="1" t="n">
        <v>46123</v>
      </c>
      <c r="D361" t="inlineStr">
        <is>
          <t>SÖDERMANLANDS LÄN</t>
        </is>
      </c>
      <c r="E361" t="inlineStr">
        <is>
          <t>ESKILSTUNA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54847-2025</t>
        </is>
      </c>
      <c r="B362" s="1" t="n">
        <v>45966.70978009259</v>
      </c>
      <c r="C362" s="1" t="n">
        <v>46123</v>
      </c>
      <c r="D362" t="inlineStr">
        <is>
          <t>SÖDERMANLANDS LÄN</t>
        </is>
      </c>
      <c r="E362" t="inlineStr">
        <is>
          <t>ESKILSTUNA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49469-2022</t>
        </is>
      </c>
      <c r="B363" s="1" t="n">
        <v>44861</v>
      </c>
      <c r="C363" s="1" t="n">
        <v>46123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54711-2025</t>
        </is>
      </c>
      <c r="B364" s="1" t="n">
        <v>45966.49600694444</v>
      </c>
      <c r="C364" s="1" t="n">
        <v>46123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12296-2023</t>
        </is>
      </c>
      <c r="B365" s="1" t="n">
        <v>44998</v>
      </c>
      <c r="C365" s="1" t="n">
        <v>46123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Kommuner</t>
        </is>
      </c>
      <c r="G365" t="n">
        <v>16.7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12297-2023</t>
        </is>
      </c>
      <c r="B366" s="1" t="n">
        <v>44998</v>
      </c>
      <c r="C366" s="1" t="n">
        <v>46123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Kommuner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20842-2023</t>
        </is>
      </c>
      <c r="B367" s="1" t="n">
        <v>45058</v>
      </c>
      <c r="C367" s="1" t="n">
        <v>46123</v>
      </c>
      <c r="D367" t="inlineStr">
        <is>
          <t>SÖDERMANLANDS LÄN</t>
        </is>
      </c>
      <c r="E367" t="inlineStr">
        <is>
          <t>ESKILSTUNA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55052-2025</t>
        </is>
      </c>
      <c r="B368" s="1" t="n">
        <v>45967.67565972222</v>
      </c>
      <c r="C368" s="1" t="n">
        <v>46123</v>
      </c>
      <c r="D368" t="inlineStr">
        <is>
          <t>SÖDERMANLANDS LÄN</t>
        </is>
      </c>
      <c r="E368" t="inlineStr">
        <is>
          <t>ESKILSTUNA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40574-2023</t>
        </is>
      </c>
      <c r="B369" s="1" t="n">
        <v>45170</v>
      </c>
      <c r="C369" s="1" t="n">
        <v>46123</v>
      </c>
      <c r="D369" t="inlineStr">
        <is>
          <t>SÖDERMANLANDS LÄN</t>
        </is>
      </c>
      <c r="E369" t="inlineStr">
        <is>
          <t>ESKILSTUNA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59151-2022</t>
        </is>
      </c>
      <c r="B370" s="1" t="n">
        <v>44904</v>
      </c>
      <c r="C370" s="1" t="n">
        <v>46123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16339-2024</t>
        </is>
      </c>
      <c r="B371" s="1" t="n">
        <v>45407</v>
      </c>
      <c r="C371" s="1" t="n">
        <v>46123</v>
      </c>
      <c r="D371" t="inlineStr">
        <is>
          <t>SÖDERMANLANDS LÄN</t>
        </is>
      </c>
      <c r="E371" t="inlineStr">
        <is>
          <t>ESKILSTUNA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56383-2025</t>
        </is>
      </c>
      <c r="B372" s="1" t="n">
        <v>45974.71255787037</v>
      </c>
      <c r="C372" s="1" t="n">
        <v>46123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54169-2021</t>
        </is>
      </c>
      <c r="B373" s="1" t="n">
        <v>44469</v>
      </c>
      <c r="C373" s="1" t="n">
        <v>46123</v>
      </c>
      <c r="D373" t="inlineStr">
        <is>
          <t>SÖDERMANLANDS LÄN</t>
        </is>
      </c>
      <c r="E373" t="inlineStr">
        <is>
          <t>ESKILSTUNA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56386-2025</t>
        </is>
      </c>
      <c r="B374" s="1" t="n">
        <v>45974.72075231482</v>
      </c>
      <c r="C374" s="1" t="n">
        <v>46123</v>
      </c>
      <c r="D374" t="inlineStr">
        <is>
          <t>SÖDERMANLANDS LÄN</t>
        </is>
      </c>
      <c r="E374" t="inlineStr">
        <is>
          <t>ESKILSTUNA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56384-2025</t>
        </is>
      </c>
      <c r="B375" s="1" t="n">
        <v>45974.71702546296</v>
      </c>
      <c r="C375" s="1" t="n">
        <v>46123</v>
      </c>
      <c r="D375" t="inlineStr">
        <is>
          <t>SÖDERMANLANDS LÄN</t>
        </is>
      </c>
      <c r="E375" t="inlineStr">
        <is>
          <t>ESKILSTUNA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56389-2025</t>
        </is>
      </c>
      <c r="B376" s="1" t="n">
        <v>45974.7244212963</v>
      </c>
      <c r="C376" s="1" t="n">
        <v>46123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54587-2025</t>
        </is>
      </c>
      <c r="B377" s="1" t="n">
        <v>45965</v>
      </c>
      <c r="C377" s="1" t="n">
        <v>46123</v>
      </c>
      <c r="D377" t="inlineStr">
        <is>
          <t>SÖDERMANLANDS LÄN</t>
        </is>
      </c>
      <c r="E377" t="inlineStr">
        <is>
          <t>ESKILSTUNA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56711-2025</t>
        </is>
      </c>
      <c r="B378" s="1" t="n">
        <v>45977.81913194444</v>
      </c>
      <c r="C378" s="1" t="n">
        <v>46123</v>
      </c>
      <c r="D378" t="inlineStr">
        <is>
          <t>SÖDERMANLANDS LÄN</t>
        </is>
      </c>
      <c r="E378" t="inlineStr">
        <is>
          <t>ESKILSTUNA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28090-2025</t>
        </is>
      </c>
      <c r="B379" s="1" t="n">
        <v>45817.76539351852</v>
      </c>
      <c r="C379" s="1" t="n">
        <v>46123</v>
      </c>
      <c r="D379" t="inlineStr">
        <is>
          <t>SÖDERMANLANDS LÄN</t>
        </is>
      </c>
      <c r="E379" t="inlineStr">
        <is>
          <t>ESKILSTUNA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57128-2025</t>
        </is>
      </c>
      <c r="B380" s="1" t="n">
        <v>45979.47262731481</v>
      </c>
      <c r="C380" s="1" t="n">
        <v>46123</v>
      </c>
      <c r="D380" t="inlineStr">
        <is>
          <t>SÖDERMANLANDS LÄN</t>
        </is>
      </c>
      <c r="E380" t="inlineStr">
        <is>
          <t>ESKILSTUNA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57134-2025</t>
        </is>
      </c>
      <c r="B381" s="1" t="n">
        <v>45979.47452546296</v>
      </c>
      <c r="C381" s="1" t="n">
        <v>46123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10715-2022</t>
        </is>
      </c>
      <c r="B382" s="1" t="n">
        <v>44626</v>
      </c>
      <c r="C382" s="1" t="n">
        <v>46123</v>
      </c>
      <c r="D382" t="inlineStr">
        <is>
          <t>SÖDERMANLANDS LÄN</t>
        </is>
      </c>
      <c r="E382" t="inlineStr">
        <is>
          <t>ESKILSTUNA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57138-2025</t>
        </is>
      </c>
      <c r="B383" s="1" t="n">
        <v>45979.47876157407</v>
      </c>
      <c r="C383" s="1" t="n">
        <v>46123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31983-2023</t>
        </is>
      </c>
      <c r="B384" s="1" t="n">
        <v>45119</v>
      </c>
      <c r="C384" s="1" t="n">
        <v>46123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36142-2022</t>
        </is>
      </c>
      <c r="B385" s="1" t="n">
        <v>44803.35975694445</v>
      </c>
      <c r="C385" s="1" t="n">
        <v>46123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36153-2022</t>
        </is>
      </c>
      <c r="B386" s="1" t="n">
        <v>44803.37219907407</v>
      </c>
      <c r="C386" s="1" t="n">
        <v>46123</v>
      </c>
      <c r="D386" t="inlineStr">
        <is>
          <t>SÖDERMANLANDS LÄN</t>
        </is>
      </c>
      <c r="E386" t="inlineStr">
        <is>
          <t>ESKILSTUNA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42012-2021</t>
        </is>
      </c>
      <c r="B387" s="1" t="n">
        <v>44426</v>
      </c>
      <c r="C387" s="1" t="n">
        <v>46123</v>
      </c>
      <c r="D387" t="inlineStr">
        <is>
          <t>SÖDERMANLANDS LÄN</t>
        </is>
      </c>
      <c r="E387" t="inlineStr">
        <is>
          <t>ESKILSTUNA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53415-2023</t>
        </is>
      </c>
      <c r="B388" s="1" t="n">
        <v>45229</v>
      </c>
      <c r="C388" s="1" t="n">
        <v>46123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30096-2025</t>
        </is>
      </c>
      <c r="B389" s="1" t="n">
        <v>45826.66998842593</v>
      </c>
      <c r="C389" s="1" t="n">
        <v>46123</v>
      </c>
      <c r="D389" t="inlineStr">
        <is>
          <t>SÖDERMANLANDS LÄN</t>
        </is>
      </c>
      <c r="E389" t="inlineStr">
        <is>
          <t>ESKILSTUNA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30097-2025</t>
        </is>
      </c>
      <c r="B390" s="1" t="n">
        <v>45826.67109953704</v>
      </c>
      <c r="C390" s="1" t="n">
        <v>46123</v>
      </c>
      <c r="D390" t="inlineStr">
        <is>
          <t>SÖDERMANLANDS LÄN</t>
        </is>
      </c>
      <c r="E390" t="inlineStr">
        <is>
          <t>ESKILSTUNA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30004-2025</t>
        </is>
      </c>
      <c r="B391" s="1" t="n">
        <v>45826.52690972222</v>
      </c>
      <c r="C391" s="1" t="n">
        <v>46123</v>
      </c>
      <c r="D391" t="inlineStr">
        <is>
          <t>SÖDERMANLANDS LÄN</t>
        </is>
      </c>
      <c r="E391" t="inlineStr">
        <is>
          <t>ESKILSTUNA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30117-2025</t>
        </is>
      </c>
      <c r="B392" s="1" t="n">
        <v>45826.72251157407</v>
      </c>
      <c r="C392" s="1" t="n">
        <v>46123</v>
      </c>
      <c r="D392" t="inlineStr">
        <is>
          <t>SÖDERMANLANDS LÄN</t>
        </is>
      </c>
      <c r="E392" t="inlineStr">
        <is>
          <t>ESKILSTUNA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30113-2025</t>
        </is>
      </c>
      <c r="B393" s="1" t="n">
        <v>45826.71982638889</v>
      </c>
      <c r="C393" s="1" t="n">
        <v>46123</v>
      </c>
      <c r="D393" t="inlineStr">
        <is>
          <t>SÖDERMANLANDS LÄN</t>
        </is>
      </c>
      <c r="E393" t="inlineStr">
        <is>
          <t>ESKILSTUNA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1340-2024</t>
        </is>
      </c>
      <c r="B394" s="1" t="n">
        <v>45303.44210648148</v>
      </c>
      <c r="C394" s="1" t="n">
        <v>46123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1343-2024</t>
        </is>
      </c>
      <c r="B395" s="1" t="n">
        <v>45303.44663194445</v>
      </c>
      <c r="C395" s="1" t="n">
        <v>46123</v>
      </c>
      <c r="D395" t="inlineStr">
        <is>
          <t>SÖDERMANLANDS LÄN</t>
        </is>
      </c>
      <c r="E395" t="inlineStr">
        <is>
          <t>ESKILSTUNA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48998-2023</t>
        </is>
      </c>
      <c r="B396" s="1" t="n">
        <v>45209</v>
      </c>
      <c r="C396" s="1" t="n">
        <v>46123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30630-2025</t>
        </is>
      </c>
      <c r="B397" s="1" t="n">
        <v>45831.47563657408</v>
      </c>
      <c r="C397" s="1" t="n">
        <v>46123</v>
      </c>
      <c r="D397" t="inlineStr">
        <is>
          <t>SÖDERMANLANDS LÄN</t>
        </is>
      </c>
      <c r="E397" t="inlineStr">
        <is>
          <t>ESKILSTUNA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48877-2023</t>
        </is>
      </c>
      <c r="B398" s="1" t="n">
        <v>45209.4671875</v>
      </c>
      <c r="C398" s="1" t="n">
        <v>46123</v>
      </c>
      <c r="D398" t="inlineStr">
        <is>
          <t>SÖDERMANLANDS LÄN</t>
        </is>
      </c>
      <c r="E398" t="inlineStr">
        <is>
          <t>ESKILSTUNA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13280-2023</t>
        </is>
      </c>
      <c r="B399" s="1" t="n">
        <v>45004</v>
      </c>
      <c r="C399" s="1" t="n">
        <v>46123</v>
      </c>
      <c r="D399" t="inlineStr">
        <is>
          <t>SÖDERMANLANDS LÄN</t>
        </is>
      </c>
      <c r="E399" t="inlineStr">
        <is>
          <t>ESKILSTUNA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16150-2025</t>
        </is>
      </c>
      <c r="B400" s="1" t="n">
        <v>45750.48094907407</v>
      </c>
      <c r="C400" s="1" t="n">
        <v>46123</v>
      </c>
      <c r="D400" t="inlineStr">
        <is>
          <t>SÖDERMANLANDS LÄN</t>
        </is>
      </c>
      <c r="E400" t="inlineStr">
        <is>
          <t>ESKILSTUNA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55892-2025</t>
        </is>
      </c>
      <c r="B401" s="1" t="n">
        <v>45973</v>
      </c>
      <c r="C401" s="1" t="n">
        <v>46123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51575-2024</t>
        </is>
      </c>
      <c r="B402" s="1" t="n">
        <v>45604.63023148148</v>
      </c>
      <c r="C402" s="1" t="n">
        <v>46123</v>
      </c>
      <c r="D402" t="inlineStr">
        <is>
          <t>SÖDERMANLANDS LÄN</t>
        </is>
      </c>
      <c r="E402" t="inlineStr">
        <is>
          <t>ESKILSTUNA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31314-2025</t>
        </is>
      </c>
      <c r="B403" s="1" t="n">
        <v>45833.39927083333</v>
      </c>
      <c r="C403" s="1" t="n">
        <v>46123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31056-2025</t>
        </is>
      </c>
      <c r="B404" s="1" t="n">
        <v>45832.56721064815</v>
      </c>
      <c r="C404" s="1" t="n">
        <v>46123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35377-2023</t>
        </is>
      </c>
      <c r="B405" s="1" t="n">
        <v>45146</v>
      </c>
      <c r="C405" s="1" t="n">
        <v>46123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59819-2025</t>
        </is>
      </c>
      <c r="B406" s="1" t="n">
        <v>45992.63881944444</v>
      </c>
      <c r="C406" s="1" t="n">
        <v>46123</v>
      </c>
      <c r="D406" t="inlineStr">
        <is>
          <t>SÖDERMANLANDS LÄN</t>
        </is>
      </c>
      <c r="E406" t="inlineStr">
        <is>
          <t>ESKILSTUNA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59830-2025</t>
        </is>
      </c>
      <c r="B407" s="1" t="n">
        <v>45992.65880787037</v>
      </c>
      <c r="C407" s="1" t="n">
        <v>46123</v>
      </c>
      <c r="D407" t="inlineStr">
        <is>
          <t>SÖDERMANLANDS LÄN</t>
        </is>
      </c>
      <c r="E407" t="inlineStr">
        <is>
          <t>ESKILSTUNA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59773-2025</t>
        </is>
      </c>
      <c r="B408" s="1" t="n">
        <v>45992.60670138889</v>
      </c>
      <c r="C408" s="1" t="n">
        <v>46123</v>
      </c>
      <c r="D408" t="inlineStr">
        <is>
          <t>SÖDERMANLANDS LÄN</t>
        </is>
      </c>
      <c r="E408" t="inlineStr">
        <is>
          <t>ESKILSTUNA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59798-2025</t>
        </is>
      </c>
      <c r="B409" s="1" t="n">
        <v>45992.619375</v>
      </c>
      <c r="C409" s="1" t="n">
        <v>46123</v>
      </c>
      <c r="D409" t="inlineStr">
        <is>
          <t>SÖDERMANLANDS LÄN</t>
        </is>
      </c>
      <c r="E409" t="inlineStr">
        <is>
          <t>ESKILSTUNA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59786-2025</t>
        </is>
      </c>
      <c r="B410" s="1" t="n">
        <v>45992.61385416667</v>
      </c>
      <c r="C410" s="1" t="n">
        <v>46123</v>
      </c>
      <c r="D410" t="inlineStr">
        <is>
          <t>SÖDERMANLANDS LÄN</t>
        </is>
      </c>
      <c r="E410" t="inlineStr">
        <is>
          <t>ESKILSTUNA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60330-2025</t>
        </is>
      </c>
      <c r="B411" s="1" t="n">
        <v>45994.75143518519</v>
      </c>
      <c r="C411" s="1" t="n">
        <v>46123</v>
      </c>
      <c r="D411" t="inlineStr">
        <is>
          <t>SÖDERMANLANDS LÄN</t>
        </is>
      </c>
      <c r="E411" t="inlineStr">
        <is>
          <t>ESKILSTUNA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52830-2021</t>
        </is>
      </c>
      <c r="B412" s="1" t="n">
        <v>44467</v>
      </c>
      <c r="C412" s="1" t="n">
        <v>46123</v>
      </c>
      <c r="D412" t="inlineStr">
        <is>
          <t>SÖDERMANLANDS LÄN</t>
        </is>
      </c>
      <c r="E412" t="inlineStr">
        <is>
          <t>ESKILSTUNA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60326-2025</t>
        </is>
      </c>
      <c r="B413" s="1" t="n">
        <v>45994.74487268519</v>
      </c>
      <c r="C413" s="1" t="n">
        <v>46123</v>
      </c>
      <c r="D413" t="inlineStr">
        <is>
          <t>SÖDERMANLANDS LÄN</t>
        </is>
      </c>
      <c r="E413" t="inlineStr">
        <is>
          <t>ESKILSTUNA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60887-2025</t>
        </is>
      </c>
      <c r="B414" s="1" t="n">
        <v>45999.56599537037</v>
      </c>
      <c r="C414" s="1" t="n">
        <v>46123</v>
      </c>
      <c r="D414" t="inlineStr">
        <is>
          <t>SÖDERMANLANDS LÄN</t>
        </is>
      </c>
      <c r="E414" t="inlineStr">
        <is>
          <t>ESKILSTUNA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60988-2025</t>
        </is>
      </c>
      <c r="B415" s="1" t="n">
        <v>45999</v>
      </c>
      <c r="C415" s="1" t="n">
        <v>46123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60754-2025</t>
        </is>
      </c>
      <c r="B416" s="1" t="n">
        <v>45999.38288194445</v>
      </c>
      <c r="C416" s="1" t="n">
        <v>46123</v>
      </c>
      <c r="D416" t="inlineStr">
        <is>
          <t>SÖDERMANLANDS LÄN</t>
        </is>
      </c>
      <c r="E416" t="inlineStr">
        <is>
          <t>ESKILSTUNA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39291-2023</t>
        </is>
      </c>
      <c r="B417" s="1" t="n">
        <v>45166.54261574074</v>
      </c>
      <c r="C417" s="1" t="n">
        <v>46123</v>
      </c>
      <c r="D417" t="inlineStr">
        <is>
          <t>SÖDERMANLANDS LÄN</t>
        </is>
      </c>
      <c r="E417" t="inlineStr">
        <is>
          <t>ESKILSTUNA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60926-2025</t>
        </is>
      </c>
      <c r="B418" s="1" t="n">
        <v>45999.63010416667</v>
      </c>
      <c r="C418" s="1" t="n">
        <v>46123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HYPERLINK("https://klasma.github.io/Logging_0484/knärot/A 60926-2025 karta knärot.png", "A 60926-2025")</f>
        <v/>
      </c>
      <c r="V418">
        <f>HYPERLINK("https://klasma.github.io/Logging_0484/klagomål/A 60926-2025 FSC-klagomål.docx", "A 60926-2025")</f>
        <v/>
      </c>
      <c r="W418">
        <f>HYPERLINK("https://klasma.github.io/Logging_0484/klagomålsmail/A 60926-2025 FSC-klagomål mail.docx", "A 60926-2025")</f>
        <v/>
      </c>
      <c r="X418">
        <f>HYPERLINK("https://klasma.github.io/Logging_0484/tillsyn/A 60926-2025 tillsynsbegäran.docx", "A 60926-2025")</f>
        <v/>
      </c>
      <c r="Y418">
        <f>HYPERLINK("https://klasma.github.io/Logging_0484/tillsynsmail/A 60926-2025 tillsynsbegäran mail.docx", "A 60926-2025")</f>
        <v/>
      </c>
    </row>
    <row r="419" ht="15" customHeight="1">
      <c r="A419" t="inlineStr">
        <is>
          <t>A 51330-2024</t>
        </is>
      </c>
      <c r="B419" s="1" t="n">
        <v>45603</v>
      </c>
      <c r="C419" s="1" t="n">
        <v>46123</v>
      </c>
      <c r="D419" t="inlineStr">
        <is>
          <t>SÖDERMANLANDS LÄN</t>
        </is>
      </c>
      <c r="E419" t="inlineStr">
        <is>
          <t>ESKILSTUNA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61331-2025</t>
        </is>
      </c>
      <c r="B420" s="1" t="n">
        <v>46001.33653935185</v>
      </c>
      <c r="C420" s="1" t="n">
        <v>46123</v>
      </c>
      <c r="D420" t="inlineStr">
        <is>
          <t>SÖDERMANLANDS LÄN</t>
        </is>
      </c>
      <c r="E420" t="inlineStr">
        <is>
          <t>ESKILSTUNA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61105-2025</t>
        </is>
      </c>
      <c r="B421" s="1" t="n">
        <v>46000.44707175926</v>
      </c>
      <c r="C421" s="1" t="n">
        <v>46123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23639-2023</t>
        </is>
      </c>
      <c r="B422" s="1" t="n">
        <v>45077.52649305556</v>
      </c>
      <c r="C422" s="1" t="n">
        <v>46123</v>
      </c>
      <c r="D422" t="inlineStr">
        <is>
          <t>SÖDERMANLANDS LÄN</t>
        </is>
      </c>
      <c r="E422" t="inlineStr">
        <is>
          <t>ESKILSTUNA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61538-2025</t>
        </is>
      </c>
      <c r="B423" s="1" t="n">
        <v>46001</v>
      </c>
      <c r="C423" s="1" t="n">
        <v>46123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61033-2025</t>
        </is>
      </c>
      <c r="B424" s="1" t="n">
        <v>45999.90451388889</v>
      </c>
      <c r="C424" s="1" t="n">
        <v>46123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61070-2025</t>
        </is>
      </c>
      <c r="B425" s="1" t="n">
        <v>46000.38015046297</v>
      </c>
      <c r="C425" s="1" t="n">
        <v>46123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Allmännings- och besparingsskogar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1346-2024</t>
        </is>
      </c>
      <c r="B426" s="1" t="n">
        <v>45303</v>
      </c>
      <c r="C426" s="1" t="n">
        <v>46123</v>
      </c>
      <c r="D426" t="inlineStr">
        <is>
          <t>SÖDERMANLANDS LÄN</t>
        </is>
      </c>
      <c r="E426" t="inlineStr">
        <is>
          <t>ESKILSTUNA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20984-2023</t>
        </is>
      </c>
      <c r="B427" s="1" t="n">
        <v>45061</v>
      </c>
      <c r="C427" s="1" t="n">
        <v>46123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17376-2025</t>
        </is>
      </c>
      <c r="B428" s="1" t="n">
        <v>45756</v>
      </c>
      <c r="C428" s="1" t="n">
        <v>46123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25668-2022</t>
        </is>
      </c>
      <c r="B429" s="1" t="n">
        <v>44732</v>
      </c>
      <c r="C429" s="1" t="n">
        <v>46123</v>
      </c>
      <c r="D429" t="inlineStr">
        <is>
          <t>SÖDERMANLANDS LÄN</t>
        </is>
      </c>
      <c r="E429" t="inlineStr">
        <is>
          <t>ESKILSTUNA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60533-2024</t>
        </is>
      </c>
      <c r="B430" s="1" t="n">
        <v>45643.73109953704</v>
      </c>
      <c r="C430" s="1" t="n">
        <v>46123</v>
      </c>
      <c r="D430" t="inlineStr">
        <is>
          <t>SÖDERMANLANDS LÄN</t>
        </is>
      </c>
      <c r="E430" t="inlineStr">
        <is>
          <t>ESKILSTUNA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5713-2025</t>
        </is>
      </c>
      <c r="B431" s="1" t="n">
        <v>45694.4634375</v>
      </c>
      <c r="C431" s="1" t="n">
        <v>46123</v>
      </c>
      <c r="D431" t="inlineStr">
        <is>
          <t>SÖDERMANLANDS LÄN</t>
        </is>
      </c>
      <c r="E431" t="inlineStr">
        <is>
          <t>ESKILSTUNA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1990-2025</t>
        </is>
      </c>
      <c r="B432" s="1" t="n">
        <v>45672</v>
      </c>
      <c r="C432" s="1" t="n">
        <v>46123</v>
      </c>
      <c r="D432" t="inlineStr">
        <is>
          <t>SÖDERMANLANDS LÄN</t>
        </is>
      </c>
      <c r="E432" t="inlineStr">
        <is>
          <t>ESKILSTUNA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43501-2022</t>
        </is>
      </c>
      <c r="B433" s="1" t="n">
        <v>44837</v>
      </c>
      <c r="C433" s="1" t="n">
        <v>46123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54586-2025</t>
        </is>
      </c>
      <c r="B434" s="1" t="n">
        <v>45965</v>
      </c>
      <c r="C434" s="1" t="n">
        <v>46123</v>
      </c>
      <c r="D434" t="inlineStr">
        <is>
          <t>SÖDERMANLANDS LÄN</t>
        </is>
      </c>
      <c r="E434" t="inlineStr">
        <is>
          <t>ESKILSTUNA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63140-2025</t>
        </is>
      </c>
      <c r="B435" s="1" t="n">
        <v>46010.34185185185</v>
      </c>
      <c r="C435" s="1" t="n">
        <v>46123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33255-2024</t>
        </is>
      </c>
      <c r="B436" s="1" t="n">
        <v>45518.66082175926</v>
      </c>
      <c r="C436" s="1" t="n">
        <v>46123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Övriga Aktiebolag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62008-2024</t>
        </is>
      </c>
      <c r="B437" s="1" t="n">
        <v>45655.72868055556</v>
      </c>
      <c r="C437" s="1" t="n">
        <v>46123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61861-2022</t>
        </is>
      </c>
      <c r="B438" s="1" t="n">
        <v>44917</v>
      </c>
      <c r="C438" s="1" t="n">
        <v>46123</v>
      </c>
      <c r="D438" t="inlineStr">
        <is>
          <t>SÖDERMANLANDS LÄN</t>
        </is>
      </c>
      <c r="E438" t="inlineStr">
        <is>
          <t>ESKILSTUNA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34326-2025</t>
        </is>
      </c>
      <c r="B439" s="1" t="n">
        <v>45846</v>
      </c>
      <c r="C439" s="1" t="n">
        <v>46123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34327-2025</t>
        </is>
      </c>
      <c r="B440" s="1" t="n">
        <v>45846.44305555556</v>
      </c>
      <c r="C440" s="1" t="n">
        <v>46123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55087-2022</t>
        </is>
      </c>
      <c r="B441" s="1" t="n">
        <v>44886</v>
      </c>
      <c r="C441" s="1" t="n">
        <v>46123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16391-2022</t>
        </is>
      </c>
      <c r="B442" s="1" t="n">
        <v>44671</v>
      </c>
      <c r="C442" s="1" t="n">
        <v>46123</v>
      </c>
      <c r="D442" t="inlineStr">
        <is>
          <t>SÖDERMANLANDS LÄN</t>
        </is>
      </c>
      <c r="E442" t="inlineStr">
        <is>
          <t>ESKILSTUNA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34328-2025</t>
        </is>
      </c>
      <c r="B443" s="1" t="n">
        <v>45846.44430555555</v>
      </c>
      <c r="C443" s="1" t="n">
        <v>46123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20355-2024</t>
        </is>
      </c>
      <c r="B444" s="1" t="n">
        <v>45435</v>
      </c>
      <c r="C444" s="1" t="n">
        <v>46123</v>
      </c>
      <c r="D444" t="inlineStr">
        <is>
          <t>SÖDERMANLANDS LÄN</t>
        </is>
      </c>
      <c r="E444" t="inlineStr">
        <is>
          <t>ESKILSTUNA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34991-2025</t>
        </is>
      </c>
      <c r="B445" s="1" t="n">
        <v>45849.79363425926</v>
      </c>
      <c r="C445" s="1" t="n">
        <v>46123</v>
      </c>
      <c r="D445" t="inlineStr">
        <is>
          <t>SÖDERMANLANDS LÄN</t>
        </is>
      </c>
      <c r="E445" t="inlineStr">
        <is>
          <t>ESKILSTUNA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34992-2025</t>
        </is>
      </c>
      <c r="B446" s="1" t="n">
        <v>45849.80846064815</v>
      </c>
      <c r="C446" s="1" t="n">
        <v>46123</v>
      </c>
      <c r="D446" t="inlineStr">
        <is>
          <t>SÖDERMANLANDS LÄN</t>
        </is>
      </c>
      <c r="E446" t="inlineStr">
        <is>
          <t>ESKILSTUNA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46123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2343-2023</t>
        </is>
      </c>
      <c r="B448" s="1" t="n">
        <v>44942</v>
      </c>
      <c r="C448" s="1" t="n">
        <v>46123</v>
      </c>
      <c r="D448" t="inlineStr">
        <is>
          <t>SÖDERMANLANDS LÄN</t>
        </is>
      </c>
      <c r="E448" t="inlineStr">
        <is>
          <t>ESKILSTUNA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1174-2022</t>
        </is>
      </c>
      <c r="B449" s="1" t="n">
        <v>44572.44108796296</v>
      </c>
      <c r="C449" s="1" t="n">
        <v>46123</v>
      </c>
      <c r="D449" t="inlineStr">
        <is>
          <t>SÖDERMANLANDS LÄN</t>
        </is>
      </c>
      <c r="E449" t="inlineStr">
        <is>
          <t>ESKILSTUNA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35076-2022</t>
        </is>
      </c>
      <c r="B450" s="1" t="n">
        <v>44797.38288194445</v>
      </c>
      <c r="C450" s="1" t="n">
        <v>46123</v>
      </c>
      <c r="D450" t="inlineStr">
        <is>
          <t>SÖDERMANLANDS LÄN</t>
        </is>
      </c>
      <c r="E450" t="inlineStr">
        <is>
          <t>ESKILSTUNA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36216-2025</t>
        </is>
      </c>
      <c r="B451" s="1" t="n">
        <v>45867</v>
      </c>
      <c r="C451" s="1" t="n">
        <v>46123</v>
      </c>
      <c r="D451" t="inlineStr">
        <is>
          <t>SÖDERMANLANDS LÄN</t>
        </is>
      </c>
      <c r="E451" t="inlineStr">
        <is>
          <t>ESKILSTUNA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19502-2024</t>
        </is>
      </c>
      <c r="B452" s="1" t="n">
        <v>45429</v>
      </c>
      <c r="C452" s="1" t="n">
        <v>46123</v>
      </c>
      <c r="D452" t="inlineStr">
        <is>
          <t>SÖDERMANLANDS LÄN</t>
        </is>
      </c>
      <c r="E452" t="inlineStr">
        <is>
          <t>ESKILSTUNA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51547-2024</t>
        </is>
      </c>
      <c r="B453" s="1" t="n">
        <v>45604.59530092592</v>
      </c>
      <c r="C453" s="1" t="n">
        <v>46123</v>
      </c>
      <c r="D453" t="inlineStr">
        <is>
          <t>SÖDERMANLANDS LÄN</t>
        </is>
      </c>
      <c r="E453" t="inlineStr">
        <is>
          <t>ESKILSTUNA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61416-2022</t>
        </is>
      </c>
      <c r="B454" s="1" t="n">
        <v>44916.35059027778</v>
      </c>
      <c r="C454" s="1" t="n">
        <v>46123</v>
      </c>
      <c r="D454" t="inlineStr">
        <is>
          <t>SÖDERMANLANDS LÄN</t>
        </is>
      </c>
      <c r="E454" t="inlineStr">
        <is>
          <t>ESKILSTUNA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42801-2022</t>
        </is>
      </c>
      <c r="B455" s="1" t="n">
        <v>44832</v>
      </c>
      <c r="C455" s="1" t="n">
        <v>46123</v>
      </c>
      <c r="D455" t="inlineStr">
        <is>
          <t>SÖDERMANLANDS LÄN</t>
        </is>
      </c>
      <c r="E455" t="inlineStr">
        <is>
          <t>ESKILSTUNA</t>
        </is>
      </c>
      <c r="G455" t="n">
        <v>19.9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4211-2022</t>
        </is>
      </c>
      <c r="B456" s="1" t="n">
        <v>44588</v>
      </c>
      <c r="C456" s="1" t="n">
        <v>46123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34915-2021</t>
        </is>
      </c>
      <c r="B457" s="1" t="n">
        <v>44382</v>
      </c>
      <c r="C457" s="1" t="n">
        <v>46123</v>
      </c>
      <c r="D457" t="inlineStr">
        <is>
          <t>SÖDERMANLANDS LÄN</t>
        </is>
      </c>
      <c r="E457" t="inlineStr">
        <is>
          <t>ESKILSTUNA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11522-2026</t>
        </is>
      </c>
      <c r="B458" s="1" t="n">
        <v>46083.66958333334</v>
      </c>
      <c r="C458" s="1" t="n">
        <v>46123</v>
      </c>
      <c r="D458" t="inlineStr">
        <is>
          <t>SÖDERMANLANDS LÄN</t>
        </is>
      </c>
      <c r="E458" t="inlineStr">
        <is>
          <t>ESKILSTUNA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13426-2024</t>
        </is>
      </c>
      <c r="B459" s="1" t="n">
        <v>45387.47462962963</v>
      </c>
      <c r="C459" s="1" t="n">
        <v>46123</v>
      </c>
      <c r="D459" t="inlineStr">
        <is>
          <t>SÖDERMANLANDS LÄN</t>
        </is>
      </c>
      <c r="E459" t="inlineStr">
        <is>
          <t>ESKILSTUNA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36426-2025</t>
        </is>
      </c>
      <c r="B460" s="1" t="n">
        <v>45869.28329861111</v>
      </c>
      <c r="C460" s="1" t="n">
        <v>46123</v>
      </c>
      <c r="D460" t="inlineStr">
        <is>
          <t>SÖDERMANLANDS LÄN</t>
        </is>
      </c>
      <c r="E460" t="inlineStr">
        <is>
          <t>ESKILSTUNA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36648-2022</t>
        </is>
      </c>
      <c r="B461" s="1" t="n">
        <v>44804</v>
      </c>
      <c r="C461" s="1" t="n">
        <v>46123</v>
      </c>
      <c r="D461" t="inlineStr">
        <is>
          <t>SÖDERMANLANDS LÄN</t>
        </is>
      </c>
      <c r="E461" t="inlineStr">
        <is>
          <t>ESKILSTUNA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61988-2022</t>
        </is>
      </c>
      <c r="B462" s="1" t="n">
        <v>44918</v>
      </c>
      <c r="C462" s="1" t="n">
        <v>46123</v>
      </c>
      <c r="D462" t="inlineStr">
        <is>
          <t>SÖDERMANLANDS LÄN</t>
        </is>
      </c>
      <c r="E462" t="inlineStr">
        <is>
          <t>ESKILSTUNA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29646-2023</t>
        </is>
      </c>
      <c r="B463" s="1" t="n">
        <v>45107</v>
      </c>
      <c r="C463" s="1" t="n">
        <v>46123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3675-2026</t>
        </is>
      </c>
      <c r="B464" s="1" t="n">
        <v>46043.42224537037</v>
      </c>
      <c r="C464" s="1" t="n">
        <v>46123</v>
      </c>
      <c r="D464" t="inlineStr">
        <is>
          <t>SÖDERMANLANDS LÄN</t>
        </is>
      </c>
      <c r="E464" t="inlineStr">
        <is>
          <t>ESKILSTUNA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25229-2022</t>
        </is>
      </c>
      <c r="B465" s="1" t="n">
        <v>44729.76435185185</v>
      </c>
      <c r="C465" s="1" t="n">
        <v>46123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10010-2024</t>
        </is>
      </c>
      <c r="B466" s="1" t="n">
        <v>45363.84224537037</v>
      </c>
      <c r="C466" s="1" t="n">
        <v>46123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11987-2026</t>
        </is>
      </c>
      <c r="B467" s="1" t="n">
        <v>46085</v>
      </c>
      <c r="C467" s="1" t="n">
        <v>46123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3672-2026</t>
        </is>
      </c>
      <c r="B468" s="1" t="n">
        <v>46043.41954861111</v>
      </c>
      <c r="C468" s="1" t="n">
        <v>46123</v>
      </c>
      <c r="D468" t="inlineStr">
        <is>
          <t>SÖDERMANLANDS LÄN</t>
        </is>
      </c>
      <c r="E468" t="inlineStr">
        <is>
          <t>ESKILSTUNA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13854-2025</t>
        </is>
      </c>
      <c r="B469" s="1" t="n">
        <v>45737.56878472222</v>
      </c>
      <c r="C469" s="1" t="n">
        <v>46123</v>
      </c>
      <c r="D469" t="inlineStr">
        <is>
          <t>SÖDERMANLANDS LÄN</t>
        </is>
      </c>
      <c r="E469" t="inlineStr">
        <is>
          <t>ESKILSTUNA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545-2025</t>
        </is>
      </c>
      <c r="B470" s="1" t="n">
        <v>45664</v>
      </c>
      <c r="C470" s="1" t="n">
        <v>46123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26871-2023</t>
        </is>
      </c>
      <c r="B471" s="1" t="n">
        <v>45093</v>
      </c>
      <c r="C471" s="1" t="n">
        <v>46123</v>
      </c>
      <c r="D471" t="inlineStr">
        <is>
          <t>SÖDERMANLANDS LÄN</t>
        </is>
      </c>
      <c r="E471" t="inlineStr">
        <is>
          <t>ESKILSTUNA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24519-2024</t>
        </is>
      </c>
      <c r="B472" s="1" t="n">
        <v>45460</v>
      </c>
      <c r="C472" s="1" t="n">
        <v>46123</v>
      </c>
      <c r="D472" t="inlineStr">
        <is>
          <t>SÖDERMANLANDS LÄN</t>
        </is>
      </c>
      <c r="E472" t="inlineStr">
        <is>
          <t>ESKILSTUNA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37147-2025</t>
        </is>
      </c>
      <c r="B473" s="1" t="n">
        <v>45875</v>
      </c>
      <c r="C473" s="1" t="n">
        <v>46123</v>
      </c>
      <c r="D473" t="inlineStr">
        <is>
          <t>SÖDERMANLANDS LÄN</t>
        </is>
      </c>
      <c r="E473" t="inlineStr">
        <is>
          <t>ESKILSTUNA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6739-2023</t>
        </is>
      </c>
      <c r="B474" s="1" t="n">
        <v>44966</v>
      </c>
      <c r="C474" s="1" t="n">
        <v>46123</v>
      </c>
      <c r="D474" t="inlineStr">
        <is>
          <t>SÖDERMANLANDS LÄN</t>
        </is>
      </c>
      <c r="E474" t="inlineStr">
        <is>
          <t>ESKILSTUNA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47581-2024</t>
        </is>
      </c>
      <c r="B475" s="1" t="n">
        <v>45587.76261574074</v>
      </c>
      <c r="C475" s="1" t="n">
        <v>46123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5476-2026</t>
        </is>
      </c>
      <c r="B476" s="1" t="n">
        <v>46048</v>
      </c>
      <c r="C476" s="1" t="n">
        <v>46123</v>
      </c>
      <c r="D476" t="inlineStr">
        <is>
          <t>SÖDERMANLANDS LÄN</t>
        </is>
      </c>
      <c r="E476" t="inlineStr">
        <is>
          <t>ESKILSTUNA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48671-2021</t>
        </is>
      </c>
      <c r="B477" s="1" t="n">
        <v>44452</v>
      </c>
      <c r="C477" s="1" t="n">
        <v>46123</v>
      </c>
      <c r="D477" t="inlineStr">
        <is>
          <t>SÖDERMANLANDS LÄN</t>
        </is>
      </c>
      <c r="E477" t="inlineStr">
        <is>
          <t>ESKILSTUNA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30960-2023</t>
        </is>
      </c>
      <c r="B478" s="1" t="n">
        <v>45103</v>
      </c>
      <c r="C478" s="1" t="n">
        <v>46123</v>
      </c>
      <c r="D478" t="inlineStr">
        <is>
          <t>SÖDERMANLANDS LÄN</t>
        </is>
      </c>
      <c r="E478" t="inlineStr">
        <is>
          <t>ESKILSTUNA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30971-2023</t>
        </is>
      </c>
      <c r="B479" s="1" t="n">
        <v>45103</v>
      </c>
      <c r="C479" s="1" t="n">
        <v>46123</v>
      </c>
      <c r="D479" t="inlineStr">
        <is>
          <t>SÖDERMANLANDS LÄN</t>
        </is>
      </c>
      <c r="E479" t="inlineStr">
        <is>
          <t>ESKILSTUNA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38963-2025</t>
        </is>
      </c>
      <c r="B480" s="1" t="n">
        <v>45885</v>
      </c>
      <c r="C480" s="1" t="n">
        <v>46123</v>
      </c>
      <c r="D480" t="inlineStr">
        <is>
          <t>SÖDERMANLANDS LÄN</t>
        </is>
      </c>
      <c r="E480" t="inlineStr">
        <is>
          <t>ESKILSTUNA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4549-2023</t>
        </is>
      </c>
      <c r="B481" s="1" t="n">
        <v>44956.65453703704</v>
      </c>
      <c r="C481" s="1" t="n">
        <v>46123</v>
      </c>
      <c r="D481" t="inlineStr">
        <is>
          <t>SÖDERMANLANDS LÄN</t>
        </is>
      </c>
      <c r="E481" t="inlineStr">
        <is>
          <t>ESKILSTUNA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4434-2026</t>
        </is>
      </c>
      <c r="B482" s="1" t="n">
        <v>46044</v>
      </c>
      <c r="C482" s="1" t="n">
        <v>46123</v>
      </c>
      <c r="D482" t="inlineStr">
        <is>
          <t>SÖDERMANLANDS LÄN</t>
        </is>
      </c>
      <c r="E482" t="inlineStr">
        <is>
          <t>ESKILSTUNA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4422-2026</t>
        </is>
      </c>
      <c r="B483" s="1" t="n">
        <v>46044</v>
      </c>
      <c r="C483" s="1" t="n">
        <v>46123</v>
      </c>
      <c r="D483" t="inlineStr">
        <is>
          <t>SÖDERMANLANDS LÄN</t>
        </is>
      </c>
      <c r="E483" t="inlineStr">
        <is>
          <t>ESKILSTUNA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19523-2024</t>
        </is>
      </c>
      <c r="B484" s="1" t="n">
        <v>45429</v>
      </c>
      <c r="C484" s="1" t="n">
        <v>46123</v>
      </c>
      <c r="D484" t="inlineStr">
        <is>
          <t>SÖDERMANLANDS LÄN</t>
        </is>
      </c>
      <c r="E484" t="inlineStr">
        <is>
          <t>ESKILSTUNA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1715-2023</t>
        </is>
      </c>
      <c r="B485" s="1" t="n">
        <v>44938.45799768518</v>
      </c>
      <c r="C485" s="1" t="n">
        <v>46123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46872-2022</t>
        </is>
      </c>
      <c r="B486" s="1" t="n">
        <v>44851</v>
      </c>
      <c r="C486" s="1" t="n">
        <v>46123</v>
      </c>
      <c r="D486" t="inlineStr">
        <is>
          <t>SÖDERMANLANDS LÄN</t>
        </is>
      </c>
      <c r="E486" t="inlineStr">
        <is>
          <t>ESKILSTUNA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22058-2023</t>
        </is>
      </c>
      <c r="B487" s="1" t="n">
        <v>45069.42476851852</v>
      </c>
      <c r="C487" s="1" t="n">
        <v>46123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51801-2025</t>
        </is>
      </c>
      <c r="B488" s="1" t="n">
        <v>45950</v>
      </c>
      <c r="C488" s="1" t="n">
        <v>46123</v>
      </c>
      <c r="D488" t="inlineStr">
        <is>
          <t>SÖDERMANLANDS LÄN</t>
        </is>
      </c>
      <c r="E488" t="inlineStr">
        <is>
          <t>ESKILSTUNA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7406-2022</t>
        </is>
      </c>
      <c r="B489" s="1" t="n">
        <v>44606</v>
      </c>
      <c r="C489" s="1" t="n">
        <v>46123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53181-2024</t>
        </is>
      </c>
      <c r="B490" s="1" t="n">
        <v>45611.67729166667</v>
      </c>
      <c r="C490" s="1" t="n">
        <v>46123</v>
      </c>
      <c r="D490" t="inlineStr">
        <is>
          <t>SÖDERMANLANDS LÄN</t>
        </is>
      </c>
      <c r="E490" t="inlineStr">
        <is>
          <t>ESKILSTUNA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38361-2024</t>
        </is>
      </c>
      <c r="B491" s="1" t="n">
        <v>45545.79994212963</v>
      </c>
      <c r="C491" s="1" t="n">
        <v>46123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12300-2023</t>
        </is>
      </c>
      <c r="B492" s="1" t="n">
        <v>44998.81229166667</v>
      </c>
      <c r="C492" s="1" t="n">
        <v>46123</v>
      </c>
      <c r="D492" t="inlineStr">
        <is>
          <t>SÖDERMANLANDS LÄN</t>
        </is>
      </c>
      <c r="E492" t="inlineStr">
        <is>
          <t>ESKILSTUNA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41997-2021</t>
        </is>
      </c>
      <c r="B493" s="1" t="n">
        <v>44426</v>
      </c>
      <c r="C493" s="1" t="n">
        <v>46123</v>
      </c>
      <c r="D493" t="inlineStr">
        <is>
          <t>SÖDERMANLANDS LÄN</t>
        </is>
      </c>
      <c r="E493" t="inlineStr">
        <is>
          <t>ESKILSTUNA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61298-2022</t>
        </is>
      </c>
      <c r="B494" s="1" t="n">
        <v>44915</v>
      </c>
      <c r="C494" s="1" t="n">
        <v>46123</v>
      </c>
      <c r="D494" t="inlineStr">
        <is>
          <t>SÖDERMANLANDS LÄN</t>
        </is>
      </c>
      <c r="E494" t="inlineStr">
        <is>
          <t>ESKILSTUNA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6725-2023</t>
        </is>
      </c>
      <c r="B495" s="1" t="n">
        <v>44966</v>
      </c>
      <c r="C495" s="1" t="n">
        <v>46123</v>
      </c>
      <c r="D495" t="inlineStr">
        <is>
          <t>SÖDERMANLANDS LÄN</t>
        </is>
      </c>
      <c r="E495" t="inlineStr">
        <is>
          <t>ESKILSTUNA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50310-2022</t>
        </is>
      </c>
      <c r="B496" s="1" t="n">
        <v>44865</v>
      </c>
      <c r="C496" s="1" t="n">
        <v>46123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29745-2021</t>
        </is>
      </c>
      <c r="B497" s="1" t="n">
        <v>44362</v>
      </c>
      <c r="C497" s="1" t="n">
        <v>46123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4621-2022</t>
        </is>
      </c>
      <c r="B498" s="1" t="n">
        <v>44592</v>
      </c>
      <c r="C498" s="1" t="n">
        <v>46123</v>
      </c>
      <c r="D498" t="inlineStr">
        <is>
          <t>SÖDERMANLANDS LÄN</t>
        </is>
      </c>
      <c r="E498" t="inlineStr">
        <is>
          <t>ESKILSTUNA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25730-2024</t>
        </is>
      </c>
      <c r="B499" s="1" t="n">
        <v>45464.44983796297</v>
      </c>
      <c r="C499" s="1" t="n">
        <v>46123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35367-2024</t>
        </is>
      </c>
      <c r="B500" s="1" t="n">
        <v>45531.34680555556</v>
      </c>
      <c r="C500" s="1" t="n">
        <v>46123</v>
      </c>
      <c r="D500" t="inlineStr">
        <is>
          <t>SÖDERMANLANDS LÄN</t>
        </is>
      </c>
      <c r="E500" t="inlineStr">
        <is>
          <t>ESKILSTUNA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67047-2021</t>
        </is>
      </c>
      <c r="B501" s="1" t="n">
        <v>44522</v>
      </c>
      <c r="C501" s="1" t="n">
        <v>46123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61829-2023</t>
        </is>
      </c>
      <c r="B502" s="1" t="n">
        <v>45266</v>
      </c>
      <c r="C502" s="1" t="n">
        <v>46123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61831-2023</t>
        </is>
      </c>
      <c r="B503" s="1" t="n">
        <v>45266</v>
      </c>
      <c r="C503" s="1" t="n">
        <v>46123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61367-2021</t>
        </is>
      </c>
      <c r="B504" s="1" t="n">
        <v>44499</v>
      </c>
      <c r="C504" s="1" t="n">
        <v>46123</v>
      </c>
      <c r="D504" t="inlineStr">
        <is>
          <t>SÖDERMANLANDS LÄN</t>
        </is>
      </c>
      <c r="E504" t="inlineStr">
        <is>
          <t>ESKILSTUNA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70560-2021</t>
        </is>
      </c>
      <c r="B505" s="1" t="n">
        <v>44536</v>
      </c>
      <c r="C505" s="1" t="n">
        <v>46123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8920-2025</t>
        </is>
      </c>
      <c r="B506" s="1" t="n">
        <v>45713</v>
      </c>
      <c r="C506" s="1" t="n">
        <v>46123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Allmännings- och besparingsskogar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9646-2022</t>
        </is>
      </c>
      <c r="B507" s="1" t="n">
        <v>44617</v>
      </c>
      <c r="C507" s="1" t="n">
        <v>46123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57061-2021</t>
        </is>
      </c>
      <c r="B508" s="1" t="n">
        <v>44482.55453703704</v>
      </c>
      <c r="C508" s="1" t="n">
        <v>46123</v>
      </c>
      <c r="D508" t="inlineStr">
        <is>
          <t>SÖDERMANLANDS LÄN</t>
        </is>
      </c>
      <c r="E508" t="inlineStr">
        <is>
          <t>ESKILSTUNA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26532-2022</t>
        </is>
      </c>
      <c r="B509" s="1" t="n">
        <v>44739.4487037037</v>
      </c>
      <c r="C509" s="1" t="n">
        <v>46123</v>
      </c>
      <c r="D509" t="inlineStr">
        <is>
          <t>SÖDERMANLANDS LÄN</t>
        </is>
      </c>
      <c r="E509" t="inlineStr">
        <is>
          <t>ESKILSTUNA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6956-2023</t>
        </is>
      </c>
      <c r="B510" s="1" t="n">
        <v>44964</v>
      </c>
      <c r="C510" s="1" t="n">
        <v>46123</v>
      </c>
      <c r="D510" t="inlineStr">
        <is>
          <t>SÖDERMANLANDS LÄN</t>
        </is>
      </c>
      <c r="E510" t="inlineStr">
        <is>
          <t>ESKILSTUNA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1129-2023</t>
        </is>
      </c>
      <c r="B511" s="1" t="n">
        <v>44930</v>
      </c>
      <c r="C511" s="1" t="n">
        <v>46123</v>
      </c>
      <c r="D511" t="inlineStr">
        <is>
          <t>SÖDERMANLANDS LÄN</t>
        </is>
      </c>
      <c r="E511" t="inlineStr">
        <is>
          <t>ESKILSTUNA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57524-2022</t>
        </is>
      </c>
      <c r="B512" s="1" t="n">
        <v>44889</v>
      </c>
      <c r="C512" s="1" t="n">
        <v>46123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16125-2026</t>
        </is>
      </c>
      <c r="B513" s="1" t="n">
        <v>46108.63391203704</v>
      </c>
      <c r="C513" s="1" t="n">
        <v>46123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16131-2026</t>
        </is>
      </c>
      <c r="B514" s="1" t="n">
        <v>46108.6447800926</v>
      </c>
      <c r="C514" s="1" t="n">
        <v>46123</v>
      </c>
      <c r="D514" t="inlineStr">
        <is>
          <t>SÖDERMANLANDS LÄN</t>
        </is>
      </c>
      <c r="E514" t="inlineStr">
        <is>
          <t>ESKILSTUNA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16135-2026</t>
        </is>
      </c>
      <c r="B515" s="1" t="n">
        <v>46108.65158564815</v>
      </c>
      <c r="C515" s="1" t="n">
        <v>46123</v>
      </c>
      <c r="D515" t="inlineStr">
        <is>
          <t>SÖDERMANLANDS LÄN</t>
        </is>
      </c>
      <c r="E515" t="inlineStr">
        <is>
          <t>ESKILSTUNA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16104-2026</t>
        </is>
      </c>
      <c r="B516" s="1" t="n">
        <v>46108.59288194445</v>
      </c>
      <c r="C516" s="1" t="n">
        <v>46123</v>
      </c>
      <c r="D516" t="inlineStr">
        <is>
          <t>SÖDERMANLANDS LÄN</t>
        </is>
      </c>
      <c r="E516" t="inlineStr">
        <is>
          <t>ESKILSTUNA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52274-2024</t>
        </is>
      </c>
      <c r="B517" s="1" t="n">
        <v>45608</v>
      </c>
      <c r="C517" s="1" t="n">
        <v>46123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Övriga Aktiebolag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20180-2022</t>
        </is>
      </c>
      <c r="B518" s="1" t="n">
        <v>44698</v>
      </c>
      <c r="C518" s="1" t="n">
        <v>46123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Kyrkan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9711-2025</t>
        </is>
      </c>
      <c r="B519" s="1" t="n">
        <v>45715</v>
      </c>
      <c r="C519" s="1" t="n">
        <v>46123</v>
      </c>
      <c r="D519" t="inlineStr">
        <is>
          <t>SÖDERMANLANDS LÄN</t>
        </is>
      </c>
      <c r="E519" t="inlineStr">
        <is>
          <t>ESKILSTUNA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16064-2026</t>
        </is>
      </c>
      <c r="B520" s="1" t="n">
        <v>46108.51344907407</v>
      </c>
      <c r="C520" s="1" t="n">
        <v>46123</v>
      </c>
      <c r="D520" t="inlineStr">
        <is>
          <t>SÖDERMANLANDS LÄN</t>
        </is>
      </c>
      <c r="E520" t="inlineStr">
        <is>
          <t>ESKILSTUNA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13495-2024</t>
        </is>
      </c>
      <c r="B521" s="1" t="n">
        <v>45387.63100694444</v>
      </c>
      <c r="C521" s="1" t="n">
        <v>46123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3506-2025</t>
        </is>
      </c>
      <c r="B522" s="1" t="n">
        <v>45680</v>
      </c>
      <c r="C522" s="1" t="n">
        <v>46123</v>
      </c>
      <c r="D522" t="inlineStr">
        <is>
          <t>SÖDERMANLANDS LÄN</t>
        </is>
      </c>
      <c r="E522" t="inlineStr">
        <is>
          <t>ESKILSTUNA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47000-2022</t>
        </is>
      </c>
      <c r="B523" s="1" t="n">
        <v>44852.260625</v>
      </c>
      <c r="C523" s="1" t="n">
        <v>46123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9133-2026</t>
        </is>
      </c>
      <c r="B524" s="1" t="n">
        <v>46069.76747685186</v>
      </c>
      <c r="C524" s="1" t="n">
        <v>46123</v>
      </c>
      <c r="D524" t="inlineStr">
        <is>
          <t>SÖDERMANLANDS LÄN</t>
        </is>
      </c>
      <c r="E524" t="inlineStr">
        <is>
          <t>ESKILSTUNA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16497-2026</t>
        </is>
      </c>
      <c r="B525" s="1" t="n">
        <v>46112.43539351852</v>
      </c>
      <c r="C525" s="1" t="n">
        <v>46123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25071-2022</t>
        </is>
      </c>
      <c r="B526" s="1" t="n">
        <v>44729.38819444444</v>
      </c>
      <c r="C526" s="1" t="n">
        <v>46123</v>
      </c>
      <c r="D526" t="inlineStr">
        <is>
          <t>SÖDERMANLANDS LÄN</t>
        </is>
      </c>
      <c r="E526" t="inlineStr">
        <is>
          <t>ESKILSTUNA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36735-2021</t>
        </is>
      </c>
      <c r="B527" s="1" t="n">
        <v>44392.5977662037</v>
      </c>
      <c r="C527" s="1" t="n">
        <v>46123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Kommuner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10094-2026</t>
        </is>
      </c>
      <c r="B528" s="1" t="n">
        <v>46073.71699074074</v>
      </c>
      <c r="C528" s="1" t="n">
        <v>46123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27255-2022</t>
        </is>
      </c>
      <c r="B529" s="1" t="n">
        <v>44741.72256944444</v>
      </c>
      <c r="C529" s="1" t="n">
        <v>46123</v>
      </c>
      <c r="D529" t="inlineStr">
        <is>
          <t>SÖDERMANLANDS LÄN</t>
        </is>
      </c>
      <c r="E529" t="inlineStr">
        <is>
          <t>ESKILSTUNA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62268-2023</t>
        </is>
      </c>
      <c r="B530" s="1" t="n">
        <v>45267.63392361111</v>
      </c>
      <c r="C530" s="1" t="n">
        <v>46123</v>
      </c>
      <c r="D530" t="inlineStr">
        <is>
          <t>SÖDERMANLANDS LÄN</t>
        </is>
      </c>
      <c r="E530" t="inlineStr">
        <is>
          <t>ESKILSTUNA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62278-2023</t>
        </is>
      </c>
      <c r="B531" s="1" t="n">
        <v>45267.64305555556</v>
      </c>
      <c r="C531" s="1" t="n">
        <v>46123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11727-2026</t>
        </is>
      </c>
      <c r="B532" s="1" t="n">
        <v>46084</v>
      </c>
      <c r="C532" s="1" t="n">
        <v>46123</v>
      </c>
      <c r="D532" t="inlineStr">
        <is>
          <t>SÖDERMANLANDS LÄN</t>
        </is>
      </c>
      <c r="E532" t="inlineStr">
        <is>
          <t>ESKILSTUNA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3478-2025</t>
        </is>
      </c>
      <c r="B533" s="1" t="n">
        <v>45680</v>
      </c>
      <c r="C533" s="1" t="n">
        <v>46123</v>
      </c>
      <c r="D533" t="inlineStr">
        <is>
          <t>SÖDERMANLANDS LÄN</t>
        </is>
      </c>
      <c r="E533" t="inlineStr">
        <is>
          <t>ESKILSTUNA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62010-2024</t>
        </is>
      </c>
      <c r="B534" s="1" t="n">
        <v>45655.7484375</v>
      </c>
      <c r="C534" s="1" t="n">
        <v>46123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Holmen skog AB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4977-2024</t>
        </is>
      </c>
      <c r="B535" s="1" t="n">
        <v>45329</v>
      </c>
      <c r="C535" s="1" t="n">
        <v>46123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44927-2023</t>
        </is>
      </c>
      <c r="B536" s="1" t="n">
        <v>45190</v>
      </c>
      <c r="C536" s="1" t="n">
        <v>46123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43221-2023</t>
        </is>
      </c>
      <c r="B537" s="1" t="n">
        <v>45183</v>
      </c>
      <c r="C537" s="1" t="n">
        <v>46123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15.8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46881-2022</t>
        </is>
      </c>
      <c r="B538" s="1" t="n">
        <v>44851</v>
      </c>
      <c r="C538" s="1" t="n">
        <v>46123</v>
      </c>
      <c r="D538" t="inlineStr">
        <is>
          <t>SÖDERMANLANDS LÄN</t>
        </is>
      </c>
      <c r="E538" t="inlineStr">
        <is>
          <t>ESKILSTUNA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11117-2025</t>
        </is>
      </c>
      <c r="B539" s="1" t="n">
        <v>45723.62978009259</v>
      </c>
      <c r="C539" s="1" t="n">
        <v>46123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10019-2024</t>
        </is>
      </c>
      <c r="B540" s="1" t="n">
        <v>45363.94168981481</v>
      </c>
      <c r="C540" s="1" t="n">
        <v>46123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55699-2024</t>
        </is>
      </c>
      <c r="B541" s="1" t="n">
        <v>45622.68819444445</v>
      </c>
      <c r="C541" s="1" t="n">
        <v>46123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65349-2021</t>
        </is>
      </c>
      <c r="B542" s="1" t="n">
        <v>44515.65760416666</v>
      </c>
      <c r="C542" s="1" t="n">
        <v>46123</v>
      </c>
      <c r="D542" t="inlineStr">
        <is>
          <t>SÖDERMANLANDS LÄN</t>
        </is>
      </c>
      <c r="E542" t="inlineStr">
        <is>
          <t>ESKILSTUNA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15917-2022</t>
        </is>
      </c>
      <c r="B543" s="1" t="n">
        <v>44664</v>
      </c>
      <c r="C543" s="1" t="n">
        <v>46123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13148-2025</t>
        </is>
      </c>
      <c r="B544" s="1" t="n">
        <v>45734</v>
      </c>
      <c r="C544" s="1" t="n">
        <v>46123</v>
      </c>
      <c r="D544" t="inlineStr">
        <is>
          <t>SÖDERMANLANDS LÄN</t>
        </is>
      </c>
      <c r="E544" t="inlineStr">
        <is>
          <t>ESKILSTUNA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33585-2022</t>
        </is>
      </c>
      <c r="B545" s="1" t="n">
        <v>44789</v>
      </c>
      <c r="C545" s="1" t="n">
        <v>46123</v>
      </c>
      <c r="D545" t="inlineStr">
        <is>
          <t>SÖDERMANLANDS LÄN</t>
        </is>
      </c>
      <c r="E545" t="inlineStr">
        <is>
          <t>ESKILSTUNA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53399-2023</t>
        </is>
      </c>
      <c r="B546" s="1" t="n">
        <v>45229</v>
      </c>
      <c r="C546" s="1" t="n">
        <v>46123</v>
      </c>
      <c r="D546" t="inlineStr">
        <is>
          <t>SÖDERMANLANDS LÄN</t>
        </is>
      </c>
      <c r="E546" t="inlineStr">
        <is>
          <t>ESKILSTUNA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53406-2023</t>
        </is>
      </c>
      <c r="B547" s="1" t="n">
        <v>45229</v>
      </c>
      <c r="C547" s="1" t="n">
        <v>46123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1322-2024</t>
        </is>
      </c>
      <c r="B548" s="1" t="n">
        <v>45303.4247337963</v>
      </c>
      <c r="C548" s="1" t="n">
        <v>46123</v>
      </c>
      <c r="D548" t="inlineStr">
        <is>
          <t>SÖDERMANLANDS LÄN</t>
        </is>
      </c>
      <c r="E548" t="inlineStr">
        <is>
          <t>ESKILSTUNA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61866-2022</t>
        </is>
      </c>
      <c r="B549" s="1" t="n">
        <v>44917</v>
      </c>
      <c r="C549" s="1" t="n">
        <v>46123</v>
      </c>
      <c r="D549" t="inlineStr">
        <is>
          <t>SÖDERMANLANDS LÄN</t>
        </is>
      </c>
      <c r="E549" t="inlineStr">
        <is>
          <t>ESKILSTUNA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58991-2022</t>
        </is>
      </c>
      <c r="B550" s="1" t="n">
        <v>44903</v>
      </c>
      <c r="C550" s="1" t="n">
        <v>46123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58994-2022</t>
        </is>
      </c>
      <c r="B551" s="1" t="n">
        <v>44903</v>
      </c>
      <c r="C551" s="1" t="n">
        <v>46123</v>
      </c>
      <c r="D551" t="inlineStr">
        <is>
          <t>SÖDERMANLANDS LÄN</t>
        </is>
      </c>
      <c r="E551" t="inlineStr">
        <is>
          <t>ESKILSTUNA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54598-2021</t>
        </is>
      </c>
      <c r="B552" s="1" t="n">
        <v>44473</v>
      </c>
      <c r="C552" s="1" t="n">
        <v>46123</v>
      </c>
      <c r="D552" t="inlineStr">
        <is>
          <t>SÖDERMANLANDS LÄN</t>
        </is>
      </c>
      <c r="E552" t="inlineStr">
        <is>
          <t>ESKILSTUNA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13804-2025</t>
        </is>
      </c>
      <c r="B553" s="1" t="n">
        <v>45737</v>
      </c>
      <c r="C553" s="1" t="n">
        <v>46123</v>
      </c>
      <c r="D553" t="inlineStr">
        <is>
          <t>SÖDERMANLANDS LÄN</t>
        </is>
      </c>
      <c r="E553" t="inlineStr">
        <is>
          <t>ESKILSTUNA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55812-2022</t>
        </is>
      </c>
      <c r="B554" s="1" t="n">
        <v>44886</v>
      </c>
      <c r="C554" s="1" t="n">
        <v>46123</v>
      </c>
      <c r="D554" t="inlineStr">
        <is>
          <t>SÖDERMANLANDS LÄN</t>
        </is>
      </c>
      <c r="E554" t="inlineStr">
        <is>
          <t>ESKILSTUNA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28039-2021</t>
        </is>
      </c>
      <c r="B555" s="1" t="n">
        <v>44355</v>
      </c>
      <c r="C555" s="1" t="n">
        <v>46123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979-2022</t>
        </is>
      </c>
      <c r="B556" s="1" t="n">
        <v>44571.58237268519</v>
      </c>
      <c r="C556" s="1" t="n">
        <v>46123</v>
      </c>
      <c r="D556" t="inlineStr">
        <is>
          <t>SÖDERMANLANDS LÄN</t>
        </is>
      </c>
      <c r="E556" t="inlineStr">
        <is>
          <t>ESKILSTUNA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1330-2024</t>
        </is>
      </c>
      <c r="B557" s="1" t="n">
        <v>45303</v>
      </c>
      <c r="C557" s="1" t="n">
        <v>46123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1334-2024</t>
        </is>
      </c>
      <c r="B558" s="1" t="n">
        <v>45303.43546296296</v>
      </c>
      <c r="C558" s="1" t="n">
        <v>46123</v>
      </c>
      <c r="D558" t="inlineStr">
        <is>
          <t>SÖDERMANLANDS LÄN</t>
        </is>
      </c>
      <c r="E558" t="inlineStr">
        <is>
          <t>ESKILSTUNA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1344-2024</t>
        </is>
      </c>
      <c r="B559" s="1" t="n">
        <v>45303.44876157407</v>
      </c>
      <c r="C559" s="1" t="n">
        <v>46123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18487-2025</t>
        </is>
      </c>
      <c r="B560" s="1" t="n">
        <v>45763</v>
      </c>
      <c r="C560" s="1" t="n">
        <v>46123</v>
      </c>
      <c r="D560" t="inlineStr">
        <is>
          <t>SÖDERMANLANDS LÄN</t>
        </is>
      </c>
      <c r="E560" t="inlineStr">
        <is>
          <t>ESKILSTUNA</t>
        </is>
      </c>
      <c r="G560" t="n">
        <v>15.6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26535-2022</t>
        </is>
      </c>
      <c r="B561" s="1" t="n">
        <v>44739.45480324074</v>
      </c>
      <c r="C561" s="1" t="n">
        <v>46123</v>
      </c>
      <c r="D561" t="inlineStr">
        <is>
          <t>SÖDERMANLANDS LÄN</t>
        </is>
      </c>
      <c r="E561" t="inlineStr">
        <is>
          <t>ESKILSTUNA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17244-2021</t>
        </is>
      </c>
      <c r="B562" s="1" t="n">
        <v>44298</v>
      </c>
      <c r="C562" s="1" t="n">
        <v>46123</v>
      </c>
      <c r="D562" t="inlineStr">
        <is>
          <t>SÖDERMANLANDS LÄN</t>
        </is>
      </c>
      <c r="E562" t="inlineStr">
        <is>
          <t>ESKILSTUNA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39543-2023</t>
        </is>
      </c>
      <c r="B563" s="1" t="n">
        <v>45167.35505787037</v>
      </c>
      <c r="C563" s="1" t="n">
        <v>46123</v>
      </c>
      <c r="D563" t="inlineStr">
        <is>
          <t>SÖDERMANLANDS LÄN</t>
        </is>
      </c>
      <c r="E563" t="inlineStr">
        <is>
          <t>ESKILSTUNA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12547-2022</t>
        </is>
      </c>
      <c r="B564" s="1" t="n">
        <v>44638</v>
      </c>
      <c r="C564" s="1" t="n">
        <v>46123</v>
      </c>
      <c r="D564" t="inlineStr">
        <is>
          <t>SÖDERMANLANDS LÄN</t>
        </is>
      </c>
      <c r="E564" t="inlineStr">
        <is>
          <t>ESKILSTUNA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49061-2023</t>
        </is>
      </c>
      <c r="B565" s="1" t="n">
        <v>45210.35028935185</v>
      </c>
      <c r="C565" s="1" t="n">
        <v>46123</v>
      </c>
      <c r="D565" t="inlineStr">
        <is>
          <t>SÖDERMANLANDS LÄN</t>
        </is>
      </c>
      <c r="E565" t="inlineStr">
        <is>
          <t>ESKILSTUNA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1766-2024</t>
        </is>
      </c>
      <c r="B566" s="1" t="n">
        <v>45307</v>
      </c>
      <c r="C566" s="1" t="n">
        <v>46123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2026-04-11T10:36:03Z</dcterms:created>
  <dcterms:modified xmlns:dcterms="http://purl.org/dc/terms/" xmlns:xsi="http://www.w3.org/2001/XMLSchema-instance" xsi:type="dcterms:W3CDTF">2026-04-11T10:36:03Z</dcterms:modified>
</cp:coreProperties>
</file>