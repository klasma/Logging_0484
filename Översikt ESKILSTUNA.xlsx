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45570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45570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45570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45570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45570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45570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45570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45570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45570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45570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45570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45570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45570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45570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43401-2019</t>
        </is>
      </c>
      <c r="B36" s="1" t="n">
        <v>43706</v>
      </c>
      <c r="C36" s="1" t="n">
        <v>45570</v>
      </c>
      <c r="D36" t="inlineStr">
        <is>
          <t>SÖDERMANLANDS LÄN</t>
        </is>
      </c>
      <c r="E36" t="inlineStr">
        <is>
          <t>ESKILSTUNA</t>
        </is>
      </c>
      <c r="G36" t="n">
        <v>22.9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 sköldmossa
Stubbspretmossa
Lopplummer</t>
        </is>
      </c>
      <c r="S36">
        <f>HYPERLINK("https://klasma.github.io/Logging_0484/artfynd/A 43401-2019 artfynd.xlsx", "A 43401-2019")</f>
        <v/>
      </c>
      <c r="T36">
        <f>HYPERLINK("https://klasma.github.io/Logging_0484/kartor/A 43401-2019 karta.png", "A 43401-2019")</f>
        <v/>
      </c>
      <c r="V36">
        <f>HYPERLINK("https://klasma.github.io/Logging_0484/klagomål/A 43401-2019 FSC-klagomål.docx", "A 43401-2019")</f>
        <v/>
      </c>
      <c r="W36">
        <f>HYPERLINK("https://klasma.github.io/Logging_0484/klagomålsmail/A 43401-2019 FSC-klagomål mail.docx", "A 43401-2019")</f>
        <v/>
      </c>
      <c r="X36">
        <f>HYPERLINK("https://klasma.github.io/Logging_0484/tillsyn/A 43401-2019 tillsynsbegäran.docx", "A 43401-2019")</f>
        <v/>
      </c>
      <c r="Y36">
        <f>HYPERLINK("https://klasma.github.io/Logging_0484/tillsynsmail/A 43401-2019 tillsynsbegäran mail.docx", "A 43401-2019")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45570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45570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45570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45570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45570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45570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45570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45570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45570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45570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24767-2024</t>
        </is>
      </c>
      <c r="B47" s="1" t="n">
        <v>45460</v>
      </c>
      <c r="C47" s="1" t="n">
        <v>45570</v>
      </c>
      <c r="D47" t="inlineStr">
        <is>
          <t>SÖDERMANLANDS LÄN</t>
        </is>
      </c>
      <c r="E47" t="inlineStr">
        <is>
          <t>ESKILSTUNA</t>
        </is>
      </c>
      <c r="G47" t="n">
        <v>15.2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Lopplummer
Mattlummer</t>
        </is>
      </c>
      <c r="S47">
        <f>HYPERLINK("https://klasma.github.io/Logging_0484/artfynd/A 24767-2024 artfynd.xlsx", "A 24767-2024")</f>
        <v/>
      </c>
      <c r="T47">
        <f>HYPERLINK("https://klasma.github.io/Logging_0484/kartor/A 24767-2024 karta.png", "A 24767-2024")</f>
        <v/>
      </c>
      <c r="V47">
        <f>HYPERLINK("https://klasma.github.io/Logging_0484/klagomål/A 24767-2024 FSC-klagomål.docx", "A 24767-2024")</f>
        <v/>
      </c>
      <c r="W47">
        <f>HYPERLINK("https://klasma.github.io/Logging_0484/klagomålsmail/A 24767-2024 FSC-klagomål mail.docx", "A 24767-2024")</f>
        <v/>
      </c>
      <c r="X47">
        <f>HYPERLINK("https://klasma.github.io/Logging_0484/tillsyn/A 24767-2024 tillsynsbegäran.docx", "A 24767-2024")</f>
        <v/>
      </c>
      <c r="Y47">
        <f>HYPERLINK("https://klasma.github.io/Logging_0484/tillsynsmail/A 24767-2024 tillsynsbegäran mail.docx", "A 24767-2024")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45570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45570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45570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45570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45570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45570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45570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45570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45570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45570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45570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45570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45570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45570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45570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45570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45570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45570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45570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45570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45570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45570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45570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45570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45570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45570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45570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45570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45570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45570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45570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45570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45570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45570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45570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45570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45570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45570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45570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45570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45570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45570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45570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45570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45570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45570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45570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45570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45570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45570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45570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45570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45570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45570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45570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45570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45570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45570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45570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45570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45570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45570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45570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45570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45570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45570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45570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45570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45570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45570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45570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45570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45570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45570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45570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45570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45570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45570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45570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45570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45570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45570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45570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45570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45570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45570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45570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45570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45570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45570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45570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45570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45570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45570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45570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45570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45570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45570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45570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45570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45570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45570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45570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45570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45570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45570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45570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45570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45570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45570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45570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45570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45570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45570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45570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45570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45570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45570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45570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45570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45570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45570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45570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45570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45570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45570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45570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45570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45570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45570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45570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45570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45570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45570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45570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45570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45570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45570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45570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45570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45570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45570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45570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45570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45570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45570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45570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45570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45570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45570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45570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45570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45570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45570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45570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45570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45570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45570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45570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45570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45570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45570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45570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45570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45570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45570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45570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45570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45570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45570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45570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45570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45570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45570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45570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45570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45570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45570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45570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45570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45570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45570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45570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45570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45570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45570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45570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45570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45570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45570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45570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45570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45570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45570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45570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45570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45570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45570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45570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45570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45570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45570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45570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45570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45570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45570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45570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45570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45570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45570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45570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45570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45570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45570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45570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45570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45570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45570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45570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45570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45570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45570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45570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45570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45570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45570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45570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45570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45570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45570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45570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45570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45570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45570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45570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45570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45570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45570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45570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45570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45570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45570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45570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45570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45570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45570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45570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45570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45570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45570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45570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45570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45570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45570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45570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45570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45570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45570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45570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45570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45570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45570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45570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45570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45570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45570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45570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45570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45570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45570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45570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45570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45570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45570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45570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45570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45570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45570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45570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45570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45570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45570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45570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45570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45570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45570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45570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45570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45570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45570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45570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45570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45570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45570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45570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45570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45570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45570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45570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45570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45570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45570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45570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45570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45570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45570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45570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45570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45570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45570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45570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45570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45570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45570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45570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45570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45570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45570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45570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45570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45570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45570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45570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45570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45570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45570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45570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45570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45570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45570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45570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45570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45570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45570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45570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45570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45570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45570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45570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45570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45570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45570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45570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45570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45570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45570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45570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45570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45570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45570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45570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45570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45570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45570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45570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45570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45570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45570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45570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45570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45570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45570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45570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45570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45570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45570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45570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45570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45570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45570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45570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45570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45570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45570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45570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45570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45570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45570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45570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45570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45570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45570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45570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45570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45570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45570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45570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45570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45570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45570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45570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45570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45570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45570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45570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45570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45570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45570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45570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45570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45570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45570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45570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45570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45570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45570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45570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45570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45570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45570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45570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45570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45570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45570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45570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45570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45570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45570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45570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45570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45570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45570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45570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45570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45570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45570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45570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45570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45570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45570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45570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45570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45570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45570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45570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45570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45570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45570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45570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45570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45570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45570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45570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45570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45570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45570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45570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45570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45570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45570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45570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45570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45570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45570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45570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45570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45570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45570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45570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45570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45570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45570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45570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45570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45570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45570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45570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45570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45570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45570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45570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45570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45570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45570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45570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45570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45570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45570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45570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45570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45570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45570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45570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45570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45570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45570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45570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45570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45570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45570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45570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45570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45570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45570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45570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45570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45570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45570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45570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45570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45570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45570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45570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45570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45570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45570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45570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45570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45570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45570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45570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45570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45570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45570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45570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45570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45570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45570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45570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45570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45570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45570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45570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45570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45570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45570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45570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45570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45570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45570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45570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45570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45570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45570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45570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45570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45570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45570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45570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45570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45570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45570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45570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45570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45570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45570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45570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45570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45570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45570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45570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45570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45570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45570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45570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45570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45570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45570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45570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45570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45570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45570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45570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45570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45570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45570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45570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45570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45570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45570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45570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45570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45570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45570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45570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45570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45570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45570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45570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45570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45570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45570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45570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45570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45570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45570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45570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45570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45570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45570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45570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45570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45570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45570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45570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45570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45570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45570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45570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45570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45570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45570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45570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45570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45570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45570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45570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45570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45570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45570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45570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45570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45570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45570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45570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45570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45570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45570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45570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45570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45570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45570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45570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45570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45570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45570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45570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45570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45570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45570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45570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45570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45570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45570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45570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45570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45570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45570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45570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45570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45570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45570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45570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45570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45570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45570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45570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45570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45570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45570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45570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45570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45570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45570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45570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45570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45570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45570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45570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45570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45570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45570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45570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45570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45570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45570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45570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45570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45570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45570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45570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45570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45570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45570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45570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45570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45570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45570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45570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45570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45570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45570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45570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45570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45570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45570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45570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45570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45570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45570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45570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45570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45570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45570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45570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45570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45570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45570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45570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45570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45570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45570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45570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45570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45570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45570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45570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45570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45570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45570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45570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45570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45570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45570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45570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45570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45570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45570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45570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45570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45570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45570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45570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45570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45570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45570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45570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45570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45570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45570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45570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45570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45570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45570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45570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45570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45570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45570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45570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45570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45570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45570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45570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45570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45570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45570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45570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45570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45570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45570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45570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45570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45570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45570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45570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45570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45570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45570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45570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45570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45570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45570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45570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45570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45570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45570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45570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45570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45570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45570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45570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45570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45570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45570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45570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45570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45570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45570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45570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45570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45570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45570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45570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45570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45570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45570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45570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45570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45570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45570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45570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45570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45570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45570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45570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45570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45570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45570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45570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45570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45570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45570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45570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45570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45570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45570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45570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45570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45570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45570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45570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45570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45570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45570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45570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45570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45570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45570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45570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45570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45570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45570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45570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45570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45570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45570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45570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45570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45570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45570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45570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45570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45570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45570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45570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45570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45570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45570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45570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45570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45570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45570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45570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45570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45570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45570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45570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45570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45570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45570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45570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45570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45570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45570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45570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45570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43489-2024</t>
        </is>
      </c>
      <c r="B1047" s="1" t="n">
        <v>45568</v>
      </c>
      <c r="C1047" s="1" t="n">
        <v>45570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45570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45570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43486-2024</t>
        </is>
      </c>
      <c r="B1050" s="1" t="n">
        <v>45568</v>
      </c>
      <c r="C1050" s="1" t="n">
        <v>45570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2024-10-05T13:03:44Z</dcterms:created>
  <dcterms:modified xmlns:dcterms="http://purl.org/dc/terms/" xmlns:xsi="http://www.w3.org/2001/XMLSchema-instance" xsi:type="dcterms:W3CDTF">2024-10-05T13:03:45Z</dcterms:modified>
</cp:coreProperties>
</file>