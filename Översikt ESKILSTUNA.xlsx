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46241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46241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46241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46241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46241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46241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46241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46241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46241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46241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46241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46241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46241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46241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46241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46241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46241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46241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46241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46241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46241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46241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46241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46241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46241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46241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12443-2024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45379</v>
      </c>
      <c r="E29" s="1" t="n">
        <v>46241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Allmännings- och besparingsskogar</t>
        </is>
      </c>
      <c r="I29" t="n">
        <v>8.9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1</v>
      </c>
      <c r="V29" s="2" t="inlineStr">
        <is>
          <t>Blåsippa
Mattlummer
Revlummer</t>
        </is>
      </c>
      <c r="W29">
        <f>HYPERLINK("https://klasma.github.io/Logging_0484/artfynd/A 12443-2024 artfynd.xlsx", "A 12443-2024")</f>
        <v/>
      </c>
      <c r="X29">
        <f>HYPERLINK("https://klasma.github.io/Logging_0484/kartor/A 12443-2024 karta.png", "A 12443-2024")</f>
        <v/>
      </c>
      <c r="Y29">
        <f>HYPERLINK("https://klasma.github.io/Logging_0484/kartor_geotiff/A 12443-2024 georefererad karta.tif", "A 12443-2024")</f>
        <v/>
      </c>
      <c r="AA29">
        <f>HYPERLINK("https://klasma.github.io/Logging_0484/klagomål/A 12443-2024 FSC-klagomål.docx", "A 12443-2024")</f>
        <v/>
      </c>
      <c r="AB29">
        <f>HYPERLINK("https://klasma.github.io/Logging_0484/klagomålsmail/A 12443-2024 FSC-klagomål mail.docx", "A 12443-2024")</f>
        <v/>
      </c>
      <c r="AC29">
        <f>HYPERLINK("https://klasma.github.io/Logging_0484/tillsyn/A 12443-2024 tillsynsbegäran.docx", "A 12443-2024")</f>
        <v/>
      </c>
      <c r="AD29">
        <f>HYPERLINK("https://klasma.github.io/Logging_0484/tillsynsmail/A 12443-2024 tillsynsbegäran mail.docx", "A 12443-2024")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46241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46241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46241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46241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46241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46241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46241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46241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 dropplav
Sotlav</t>
        </is>
      </c>
      <c r="W37">
        <f>HYPERLINK("https://klasma.github.io/Logging_0484/artfynd/A 17362-2024 artfynd.xlsx", "A 17362-2024")</f>
        <v/>
      </c>
      <c r="X37">
        <f>HYPERLINK("https://klasma.github.io/Logging_0484/kartor/A 17362-2024 karta.png", "A 17362-2024")</f>
        <v/>
      </c>
      <c r="Y37">
        <f>HYPERLINK("https://klasma.github.io/Logging_0484/kartor_geotiff/A 17362-2024 georefererad karta.tif", "A 17362-2024")</f>
        <v/>
      </c>
      <c r="AA37">
        <f>HYPERLINK("https://klasma.github.io/Logging_0484/klagomål/A 17362-2024 FSC-klagomål.docx", "A 17362-2024")</f>
        <v/>
      </c>
      <c r="AB37">
        <f>HYPERLINK("https://klasma.github.io/Logging_0484/klagomålsmail/A 17362-2024 FSC-klagomål mail.docx", "A 17362-2024")</f>
        <v/>
      </c>
      <c r="AC37">
        <f>HYPERLINK("https://klasma.github.io/Logging_0484/tillsyn/A 17362-2024 tillsynsbegäran.docx", "A 17362-2024")</f>
        <v/>
      </c>
      <c r="AD37">
        <f>HYPERLINK("https://klasma.github.io/Logging_0484/tillsynsmail/A 17362-2024 tillsynsbegäran mail.docx", "A 17362-2024")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46241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46241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46241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46241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46241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46241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46241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46241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46241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46241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46241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46241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46241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46241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46241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46241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46241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46241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46241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46241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46241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42002-2021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46241</v>
      </c>
      <c r="F59" t="inlineStr">
        <is>
          <t>SÖDERMANLANDS LÄN</t>
        </is>
      </c>
      <c r="G59" t="inlineStr">
        <is>
          <t>ESKILSTUNA</t>
        </is>
      </c>
      <c r="I59" t="n">
        <v>5.5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HYPERLINK("https://klasma.github.io/Logging_0484/artfynd/A 42002-2021 artfynd.xlsx", "A 42002-2021")</f>
        <v/>
      </c>
      <c r="X59">
        <f>HYPERLINK("https://klasma.github.io/Logging_0484/kartor/A 42002-2021 karta.png", "A 42002-2021")</f>
        <v/>
      </c>
      <c r="Y59">
        <f>HYPERLINK("https://klasma.github.io/Logging_0484/kartor_geotiff/A 42002-2021 georefererad karta.tif", "A 42002-2021")</f>
        <v/>
      </c>
      <c r="AA59">
        <f>HYPERLINK("https://klasma.github.io/Logging_0484/klagomål/A 42002-2021 FSC-klagomål.docx", "A 42002-2021")</f>
        <v/>
      </c>
      <c r="AB59">
        <f>HYPERLINK("https://klasma.github.io/Logging_0484/klagomålsmail/A 42002-2021 FSC-klagomål mail.docx", "A 42002-2021")</f>
        <v/>
      </c>
      <c r="AC59">
        <f>HYPERLINK("https://klasma.github.io/Logging_0484/tillsyn/A 42002-2021 tillsynsbegäran.docx", "A 42002-2021")</f>
        <v/>
      </c>
      <c r="AD59">
        <f>HYPERLINK("https://klasma.github.io/Logging_0484/tillsynsmail/A 42002-2021 tillsynsbegäran mail.docx", "A 42002-2021")</f>
        <v/>
      </c>
      <c r="AE59">
        <f>HYPERLINK("https://klasma.github.io/Logging_0484/fåglar/A 42002-2021 prioriterade fågelarter.docx", "A 42002-2021")</f>
        <v/>
      </c>
    </row>
    <row r="60" ht="15" customHeight="1">
      <c r="A60" t="inlineStr">
        <is>
          <t>A 49439-2021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46241</v>
      </c>
      <c r="F60" t="inlineStr">
        <is>
          <t>SÖDERMANLANDS LÄN</t>
        </is>
      </c>
      <c r="G60" t="inlineStr">
        <is>
          <t>ESKILSTUNA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Klasefibbla</t>
        </is>
      </c>
      <c r="W60">
        <f>HYPERLINK("https://klasma.github.io/Logging_0484/artfynd/A 49439-2021 artfynd.xlsx", "A 49439-2021")</f>
        <v/>
      </c>
      <c r="X60">
        <f>HYPERLINK("https://klasma.github.io/Logging_0484/kartor/A 49439-2021 karta.png", "A 49439-2021")</f>
        <v/>
      </c>
      <c r="Y60">
        <f>HYPERLINK("https://klasma.github.io/Logging_0484/kartor_geotiff/A 49439-2021 georefererad karta.tif", "A 49439-2021")</f>
        <v/>
      </c>
      <c r="AA60">
        <f>HYPERLINK("https://klasma.github.io/Logging_0484/klagomål/A 49439-2021 FSC-klagomål.docx", "A 49439-2021")</f>
        <v/>
      </c>
      <c r="AB60">
        <f>HYPERLINK("https://klasma.github.io/Logging_0484/klagomålsmail/A 49439-2021 FSC-klagomål mail.docx", "A 49439-2021")</f>
        <v/>
      </c>
      <c r="AC60">
        <f>HYPERLINK("https://klasma.github.io/Logging_0484/tillsyn/A 49439-2021 tillsynsbegäran.docx", "A 49439-2021")</f>
        <v/>
      </c>
      <c r="AD60">
        <f>HYPERLINK("https://klasma.github.io/Logging_0484/tillsynsmail/A 49439-2021 tillsynsbegäran mail.docx", "A 49439-2021")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46241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46241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46241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46241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46241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46241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46241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46241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46241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46241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29047-2026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46199</v>
      </c>
      <c r="E71" s="1" t="n">
        <v>46241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Kandelabersvamp</t>
        </is>
      </c>
      <c r="W71">
        <f>HYPERLINK("https://klasma.github.io/Logging_0484/artfynd/A 29047-2026 artfynd.xlsx", "A 29047-2026")</f>
        <v/>
      </c>
      <c r="X71">
        <f>HYPERLINK("https://klasma.github.io/Logging_0484/kartor/A 29047-2026 karta.png", "A 29047-2026")</f>
        <v/>
      </c>
      <c r="Y71">
        <f>HYPERLINK("https://klasma.github.io/Logging_0484/kartor_geotiff/A 29047-2026 georefererad karta.tif", "A 29047-2026")</f>
        <v/>
      </c>
      <c r="AA71">
        <f>HYPERLINK("https://klasma.github.io/Logging_0484/klagomål/A 29047-2026 FSC-klagomål.docx", "A 29047-2026")</f>
        <v/>
      </c>
      <c r="AB71">
        <f>HYPERLINK("https://klasma.github.io/Logging_0484/klagomålsmail/A 29047-2026 FSC-klagomål mail.docx", "A 29047-2026")</f>
        <v/>
      </c>
      <c r="AC71">
        <f>HYPERLINK("https://klasma.github.io/Logging_0484/tillsyn/A 29047-2026 tillsynsbegäran.docx", "A 29047-2026")</f>
        <v/>
      </c>
      <c r="AD71">
        <f>HYPERLINK("https://klasma.github.io/Logging_0484/tillsynsmail/A 29047-2026 tillsynsbegäran mail.docx", "A 29047-2026")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46241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46241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46241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46241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46241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30975-2023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46241</v>
      </c>
      <c r="F77" t="inlineStr">
        <is>
          <t>SÖDERMANLANDS LÄN</t>
        </is>
      </c>
      <c r="G77" t="inlineStr">
        <is>
          <t>ESKILSTUNA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Bombmurkla</t>
        </is>
      </c>
      <c r="W77">
        <f>HYPERLINK("https://klasma.github.io/Logging_0484/artfynd/A 30975-2023 artfynd.xlsx", "A 30975-2023")</f>
        <v/>
      </c>
      <c r="X77">
        <f>HYPERLINK("https://klasma.github.io/Logging_0484/kartor/A 30975-2023 karta.png", "A 30975-2023")</f>
        <v/>
      </c>
      <c r="Y77">
        <f>HYPERLINK("https://klasma.github.io/Logging_0484/kartor_geotiff/A 30975-2023 georefererad karta.tif", "A 30975-2023")</f>
        <v/>
      </c>
      <c r="AA77">
        <f>HYPERLINK("https://klasma.github.io/Logging_0484/klagomål/A 30975-2023 FSC-klagomål.docx", "A 30975-2023")</f>
        <v/>
      </c>
      <c r="AB77">
        <f>HYPERLINK("https://klasma.github.io/Logging_0484/klagomålsmail/A 30975-2023 FSC-klagomål mail.docx", "A 30975-2023")</f>
        <v/>
      </c>
      <c r="AC77">
        <f>HYPERLINK("https://klasma.github.io/Logging_0484/tillsyn/A 30975-2023 tillsynsbegäran.docx", "A 30975-2023")</f>
        <v/>
      </c>
      <c r="AD77">
        <f>HYPERLINK("https://klasma.github.io/Logging_0484/tillsynsmail/A 30975-2023 tillsynsbegäran mail.docx", "A 30975-2023")</f>
        <v/>
      </c>
    </row>
    <row r="78" ht="15" customHeight="1">
      <c r="A78" t="inlineStr">
        <is>
          <t>A 50760-2023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46241</v>
      </c>
      <c r="F78" t="inlineStr">
        <is>
          <t>SÖDERMANLANDS LÄN</t>
        </is>
      </c>
      <c r="G78" t="inlineStr">
        <is>
          <t>ESKILSTUNA</t>
        </is>
      </c>
      <c r="I78" t="n">
        <v>4.1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Pärluggla</t>
        </is>
      </c>
      <c r="W78">
        <f>HYPERLINK("https://klasma.github.io/Logging_0484/artfynd/A 50760-2023 artfynd.xlsx", "A 50760-2023")</f>
        <v/>
      </c>
      <c r="X78">
        <f>HYPERLINK("https://klasma.github.io/Logging_0484/kartor/A 50760-2023 karta.png", "A 50760-2023")</f>
        <v/>
      </c>
      <c r="Y78">
        <f>HYPERLINK("https://klasma.github.io/Logging_0484/kartor_geotiff/A 50760-2023 georefererad karta.tif", "A 50760-2023")</f>
        <v/>
      </c>
      <c r="AA78">
        <f>HYPERLINK("https://klasma.github.io/Logging_0484/klagomål/A 50760-2023 FSC-klagomål.docx", "A 50760-2023")</f>
        <v/>
      </c>
      <c r="AB78">
        <f>HYPERLINK("https://klasma.github.io/Logging_0484/klagomålsmail/A 50760-2023 FSC-klagomål mail.docx", "A 50760-2023")</f>
        <v/>
      </c>
      <c r="AC78">
        <f>HYPERLINK("https://klasma.github.io/Logging_0484/tillsyn/A 50760-2023 tillsynsbegäran.docx", "A 50760-2023")</f>
        <v/>
      </c>
      <c r="AD78">
        <f>HYPERLINK("https://klasma.github.io/Logging_0484/tillsynsmail/A 50760-2023 tillsynsbegäran mail.docx", "A 50760-2023")</f>
        <v/>
      </c>
      <c r="AE78">
        <f>HYPERLINK("https://klasma.github.io/Logging_0484/fåglar/A 50760-2023 prioriterade fågelarter.docx", "A 50760-2023")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46241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46241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46241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46241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46241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46241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Jungfrulin</t>
        </is>
      </c>
      <c r="W84">
        <f>HYPERLINK("https://klasma.github.io/Logging_0484/artfynd/A 71976-2021 artfynd.xlsx", "A 71976-2021")</f>
        <v/>
      </c>
      <c r="X84">
        <f>HYPERLINK("https://klasma.github.io/Logging_0484/kartor/A 71976-2021 karta.png", "A 71976-2021")</f>
        <v/>
      </c>
      <c r="Y84">
        <f>HYPERLINK("https://klasma.github.io/Logging_0484/kartor_geotiff/A 71976-2021 georefererad karta.tif", "A 71976-2021")</f>
        <v/>
      </c>
      <c r="AA84">
        <f>HYPERLINK("https://klasma.github.io/Logging_0484/klagomål/A 71976-2021 FSC-klagomål.docx", "A 71976-2021")</f>
        <v/>
      </c>
      <c r="AB84">
        <f>HYPERLINK("https://klasma.github.io/Logging_0484/klagomålsmail/A 71976-2021 FSC-klagomål mail.docx", "A 71976-2021")</f>
        <v/>
      </c>
      <c r="AC84">
        <f>HYPERLINK("https://klasma.github.io/Logging_0484/tillsyn/A 71976-2021 tillsynsbegäran.docx", "A 71976-2021")</f>
        <v/>
      </c>
      <c r="AD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46241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46241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HYPERLINK("https://klasma.github.io/Logging_0484/artfynd/A 38361-2024 artfynd.xlsx", "A 38361-2024")</f>
        <v/>
      </c>
      <c r="X86">
        <f>HYPERLINK("https://klasma.github.io/Logging_0484/kartor/A 38361-2024 karta.png", "A 38361-2024")</f>
        <v/>
      </c>
      <c r="Y86">
        <f>HYPERLINK("https://klasma.github.io/Logging_0484/kartor_geotiff/A 38361-2024 georefererad karta.tif", "A 38361-2024")</f>
        <v/>
      </c>
      <c r="AA86">
        <f>HYPERLINK("https://klasma.github.io/Logging_0484/klagomål/A 38361-2024 FSC-klagomål.docx", "A 38361-2024")</f>
        <v/>
      </c>
      <c r="AB86">
        <f>HYPERLINK("https://klasma.github.io/Logging_0484/klagomålsmail/A 38361-2024 FSC-klagomål mail.docx", "A 38361-2024")</f>
        <v/>
      </c>
      <c r="AC86">
        <f>HYPERLINK("https://klasma.github.io/Logging_0484/tillsyn/A 38361-2024 tillsynsbegäran.docx", "A 38361-2024")</f>
        <v/>
      </c>
      <c r="AD86">
        <f>HYPERLINK("https://klasma.github.io/Logging_0484/tillsynsmail/A 38361-2024 tillsynsbegäran mail.docx", "A 38361-2024")</f>
        <v/>
      </c>
      <c r="AE86">
        <f>HYPERLINK("https://klasma.github.io/Logging_0484/fåglar/A 38361-2024 prioriterade fågelarter.docx", "A 38361-2024")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46241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46241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 sköldmossa</t>
        </is>
      </c>
      <c r="W88">
        <f>HYPERLINK("https://klasma.github.io/Logging_0484/artfynd/A 42012-2021 artfynd.xlsx", "A 42012-2021")</f>
        <v/>
      </c>
      <c r="X88">
        <f>HYPERLINK("https://klasma.github.io/Logging_0484/kartor/A 42012-2021 karta.png", "A 42012-2021")</f>
        <v/>
      </c>
      <c r="Y88">
        <f>HYPERLINK("https://klasma.github.io/Logging_0484/kartor_geotiff/A 42012-2021 georefererad karta.tif", "A 42012-2021")</f>
        <v/>
      </c>
      <c r="AA88">
        <f>HYPERLINK("https://klasma.github.io/Logging_0484/klagomål/A 42012-2021 FSC-klagomål.docx", "A 42012-2021")</f>
        <v/>
      </c>
      <c r="AB88">
        <f>HYPERLINK("https://klasma.github.io/Logging_0484/klagomålsmail/A 42012-2021 FSC-klagomål mail.docx", "A 42012-2021")</f>
        <v/>
      </c>
      <c r="AC88">
        <f>HYPERLINK("https://klasma.github.io/Logging_0484/tillsyn/A 42012-2021 tillsynsbegäran.docx", "A 42012-2021")</f>
        <v/>
      </c>
      <c r="AD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46241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Bronshjon</t>
        </is>
      </c>
      <c r="W89">
        <f>HYPERLINK("https://klasma.github.io/Logging_0484/artfynd/A 48676-2021 artfynd.xlsx", "A 48676-2021")</f>
        <v/>
      </c>
      <c r="X89">
        <f>HYPERLINK("https://klasma.github.io/Logging_0484/kartor/A 48676-2021 karta.png", "A 48676-2021")</f>
        <v/>
      </c>
      <c r="Y89">
        <f>HYPERLINK("https://klasma.github.io/Logging_0484/kartor_geotiff/A 48676-2021 georefererad karta.tif", "A 48676-2021")</f>
        <v/>
      </c>
      <c r="AA89">
        <f>HYPERLINK("https://klasma.github.io/Logging_0484/klagomål/A 48676-2021 FSC-klagomål.docx", "A 48676-2021")</f>
        <v/>
      </c>
      <c r="AB89">
        <f>HYPERLINK("https://klasma.github.io/Logging_0484/klagomålsmail/A 48676-2021 FSC-klagomål mail.docx", "A 48676-2021")</f>
        <v/>
      </c>
      <c r="AC89">
        <f>HYPERLINK("https://klasma.github.io/Logging_0484/tillsyn/A 48676-2021 tillsynsbegäran.docx", "A 48676-2021")</f>
        <v/>
      </c>
      <c r="AD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46241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Violett fingersvamp</t>
        </is>
      </c>
      <c r="W90">
        <f>HYPERLINK("https://klasma.github.io/Logging_0484/artfynd/A 23637-2023 artfynd.xlsx", "A 23637-2023")</f>
        <v/>
      </c>
      <c r="X90">
        <f>HYPERLINK("https://klasma.github.io/Logging_0484/kartor/A 23637-2023 karta.png", "A 23637-2023")</f>
        <v/>
      </c>
      <c r="Y90">
        <f>HYPERLINK("https://klasma.github.io/Logging_0484/kartor_geotiff/A 23637-2023 georefererad karta.tif", "A 23637-2023")</f>
        <v/>
      </c>
      <c r="AA90">
        <f>HYPERLINK("https://klasma.github.io/Logging_0484/klagomål/A 23637-2023 FSC-klagomål.docx", "A 23637-2023")</f>
        <v/>
      </c>
      <c r="AB90">
        <f>HYPERLINK("https://klasma.github.io/Logging_0484/klagomålsmail/A 23637-2023 FSC-klagomål mail.docx", "A 23637-2023")</f>
        <v/>
      </c>
      <c r="AC90">
        <f>HYPERLINK("https://klasma.github.io/Logging_0484/tillsyn/A 23637-2023 tillsynsbegäran.docx", "A 23637-2023")</f>
        <v/>
      </c>
      <c r="AD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46241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HYPERLINK("https://klasma.github.io/Logging_0484/artfynd/A 14327-2023 artfynd.xlsx", "A 14327-2023")</f>
        <v/>
      </c>
      <c r="X91">
        <f>HYPERLINK("https://klasma.github.io/Logging_0484/kartor/A 14327-2023 karta.png", "A 14327-2023")</f>
        <v/>
      </c>
      <c r="Y91">
        <f>HYPERLINK("https://klasma.github.io/Logging_0484/kartor_geotiff/A 14327-2023 georefererad karta.tif", "A 14327-2023")</f>
        <v/>
      </c>
      <c r="AA91">
        <f>HYPERLINK("https://klasma.github.io/Logging_0484/klagomål/A 14327-2023 FSC-klagomål.docx", "A 14327-2023")</f>
        <v/>
      </c>
      <c r="AB91">
        <f>HYPERLINK("https://klasma.github.io/Logging_0484/klagomålsmail/A 14327-2023 FSC-klagomål mail.docx", "A 14327-2023")</f>
        <v/>
      </c>
      <c r="AC91">
        <f>HYPERLINK("https://klasma.github.io/Logging_0484/tillsyn/A 14327-2023 tillsynsbegäran.docx", "A 14327-2023")</f>
        <v/>
      </c>
      <c r="AD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46241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31056-2025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46241</v>
      </c>
      <c r="F93" t="inlineStr">
        <is>
          <t>SÖDERMANLANDS LÄN</t>
        </is>
      </c>
      <c r="G93" t="inlineStr">
        <is>
          <t>ESKILSTUNA</t>
        </is>
      </c>
      <c r="H93" t="inlineStr">
        <is>
          <t>Sveaskog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HYPERLINK("https://klasma.github.io/Logging_0484/artfynd/A 31056-2025 artfynd.xlsx", "A 31056-2025")</f>
        <v/>
      </c>
      <c r="X93">
        <f>HYPERLINK("https://klasma.github.io/Logging_0484/kartor/A 31056-2025 karta.png", "A 31056-2025")</f>
        <v/>
      </c>
      <c r="Y93">
        <f>HYPERLINK("https://klasma.github.io/Logging_0484/kartor_geotiff/A 31056-2025 georefererad karta.tif", "A 31056-2025")</f>
        <v/>
      </c>
      <c r="AA93">
        <f>HYPERLINK("https://klasma.github.io/Logging_0484/klagomål/A 31056-2025 FSC-klagomål.docx", "A 31056-2025")</f>
        <v/>
      </c>
      <c r="AB93">
        <f>HYPERLINK("https://klasma.github.io/Logging_0484/klagomålsmail/A 31056-2025 FSC-klagomål mail.docx", "A 31056-2025")</f>
        <v/>
      </c>
      <c r="AC93">
        <f>HYPERLINK("https://klasma.github.io/Logging_0484/tillsyn/A 31056-2025 tillsynsbegäran.docx", "A 31056-2025")</f>
        <v/>
      </c>
      <c r="AD93">
        <f>HYPERLINK("https://klasma.github.io/Logging_0484/tillsynsmail/A 31056-2025 tillsynsbegäran mail.docx", "A 31056-2025")</f>
        <v/>
      </c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46241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46241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44490</v>
      </c>
      <c r="E96" s="1" t="n">
        <v>46241</v>
      </c>
      <c r="F96" t="inlineStr">
        <is>
          <t>SÖDERMANLANDS LÄN</t>
        </is>
      </c>
      <c r="G96" t="inlineStr">
        <is>
          <t>ESKILSTUNA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46241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44608</v>
      </c>
      <c r="E98" s="1" t="n">
        <v>46241</v>
      </c>
      <c r="F98" t="inlineStr">
        <is>
          <t>SÖDERMANLANDS LÄN</t>
        </is>
      </c>
      <c r="G98" t="inlineStr">
        <is>
          <t>ESKILSTUNA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46241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46241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46241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46241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46241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46241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46241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46241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46241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46241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46241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46241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46241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46241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46241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46241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46241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46241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46241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46241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46241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46241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46241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46241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46241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46241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46241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46241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46241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46241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46241</v>
      </c>
      <c r="F129" t="inlineStr">
        <is>
          <t>SÖDERMANLANDS LÄN</t>
        </is>
      </c>
      <c r="G129" t="inlineStr">
        <is>
          <t>ESKILSTUNA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46241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46241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46241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46241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46241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46241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46241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46241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46241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46241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46241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46241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46241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46241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46241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46241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60721-2021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44490</v>
      </c>
      <c r="E146" s="1" t="n">
        <v>46241</v>
      </c>
      <c r="F146" t="inlineStr">
        <is>
          <t>SÖDERMANLANDS LÄN</t>
        </is>
      </c>
      <c r="G146" t="inlineStr">
        <is>
          <t>ESKILSTUNA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46241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45879-2022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46241</v>
      </c>
      <c r="F148" t="inlineStr">
        <is>
          <t>SÖDERMANLANDS LÄN</t>
        </is>
      </c>
      <c r="G148" t="inlineStr">
        <is>
          <t>ESKILSTUNA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46241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44654</v>
      </c>
      <c r="E150" s="1" t="n">
        <v>46241</v>
      </c>
      <c r="F150" t="inlineStr">
        <is>
          <t>SÖDERMANLANDS LÄN</t>
        </is>
      </c>
      <c r="G150" t="inlineStr">
        <is>
          <t>ESKILSTUNA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43396-2021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44432</v>
      </c>
      <c r="E151" s="1" t="n">
        <v>46241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46241</v>
      </c>
      <c r="F152" t="inlineStr">
        <is>
          <t>SÖDERMANLANDS LÄN</t>
        </is>
      </c>
      <c r="G152" t="inlineStr">
        <is>
          <t>ESKILSTUNA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44449</v>
      </c>
      <c r="E153" s="1" t="n">
        <v>46241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46241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44616</v>
      </c>
      <c r="E155" s="1" t="n">
        <v>46241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46241</v>
      </c>
      <c r="F156" t="inlineStr">
        <is>
          <t>SÖDERMANLANDS LÄN</t>
        </is>
      </c>
      <c r="G156" t="inlineStr">
        <is>
          <t>ESKILSTUNA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46241</v>
      </c>
      <c r="F157" t="inlineStr">
        <is>
          <t>SÖDERMANLANDS LÄN</t>
        </is>
      </c>
      <c r="G157" t="inlineStr">
        <is>
          <t>ESKILSTUNA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46241</v>
      </c>
      <c r="F158" t="inlineStr">
        <is>
          <t>SÖDERMANLANDS LÄN</t>
        </is>
      </c>
      <c r="G158" t="inlineStr">
        <is>
          <t>ESKILSTUNA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46241</v>
      </c>
      <c r="F159" t="inlineStr">
        <is>
          <t>SÖDERMANLANDS LÄN</t>
        </is>
      </c>
      <c r="G159" t="inlineStr">
        <is>
          <t>ESKILSTUNA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46241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44636</v>
      </c>
      <c r="E161" s="1" t="n">
        <v>46241</v>
      </c>
      <c r="F161" t="inlineStr">
        <is>
          <t>SÖDERMANLANDS LÄN</t>
        </is>
      </c>
      <c r="G161" t="inlineStr">
        <is>
          <t>ESKILSTUNA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44782</v>
      </c>
      <c r="E162" s="1" t="n">
        <v>46241</v>
      </c>
      <c r="F162" t="inlineStr">
        <is>
          <t>SÖDERMANLANDS LÄN</t>
        </is>
      </c>
      <c r="G162" t="inlineStr">
        <is>
          <t>ESKILSTUNA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46241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70191-2021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46241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46241</v>
      </c>
      <c r="F165" t="inlineStr">
        <is>
          <t>SÖDERMANLANDS LÄN</t>
        </is>
      </c>
      <c r="G165" t="inlineStr">
        <is>
          <t>ESKILSTUNA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46241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46241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46241</v>
      </c>
      <c r="F168" t="inlineStr">
        <is>
          <t>SÖDERMANLANDS LÄN</t>
        </is>
      </c>
      <c r="G168" t="inlineStr">
        <is>
          <t>ESKILSTUNA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46241</v>
      </c>
      <c r="F169" t="inlineStr">
        <is>
          <t>SÖDERMANLANDS LÄN</t>
        </is>
      </c>
      <c r="G169" t="inlineStr">
        <is>
          <t>ESKILSTUNA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46241</v>
      </c>
      <c r="F170" t="inlineStr">
        <is>
          <t>SÖDERMANLANDS LÄN</t>
        </is>
      </c>
      <c r="G170" t="inlineStr">
        <is>
          <t>ESKILSTUNA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46241</v>
      </c>
      <c r="F171" t="inlineStr">
        <is>
          <t>SÖDERMANLANDS LÄN</t>
        </is>
      </c>
      <c r="G171" t="inlineStr">
        <is>
          <t>ESKILSTUNA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46241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57304-2023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45245</v>
      </c>
      <c r="E173" s="1" t="n">
        <v>46241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46241</v>
      </c>
      <c r="F174" t="inlineStr">
        <is>
          <t>SÖDERMANLANDS LÄN</t>
        </is>
      </c>
      <c r="G174" t="inlineStr">
        <is>
          <t>ESKILSTUNA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46241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Allmännings- och besparingsskogar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44799</v>
      </c>
      <c r="E176" s="1" t="n">
        <v>46241</v>
      </c>
      <c r="F176" t="inlineStr">
        <is>
          <t>SÖDERMANLANDS LÄN</t>
        </is>
      </c>
      <c r="G176" t="inlineStr">
        <is>
          <t>ESKILSTUNA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46241</v>
      </c>
      <c r="F177" t="inlineStr">
        <is>
          <t>SÖDERMANLANDS LÄN</t>
        </is>
      </c>
      <c r="G177" t="inlineStr">
        <is>
          <t>ESKILSTUNA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45387</v>
      </c>
      <c r="E178" s="1" t="n">
        <v>46241</v>
      </c>
      <c r="F178" t="inlineStr">
        <is>
          <t>SÖDERMANLANDS LÄN</t>
        </is>
      </c>
      <c r="G178" t="inlineStr">
        <is>
          <t>ESKILSTUNA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46241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45363</v>
      </c>
      <c r="E180" s="1" t="n">
        <v>46241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46241</v>
      </c>
      <c r="F181" t="inlineStr">
        <is>
          <t>SÖDERMANLANDS LÄN</t>
        </is>
      </c>
      <c r="G181" t="inlineStr">
        <is>
          <t>ESKILSTUNA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45464</v>
      </c>
      <c r="E182" s="1" t="n">
        <v>46241</v>
      </c>
      <c r="F182" t="inlineStr">
        <is>
          <t>SÖDERMANLANDS LÄN</t>
        </is>
      </c>
      <c r="G182" t="inlineStr">
        <is>
          <t>ESKILSTUNA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46241</v>
      </c>
      <c r="F183" t="inlineStr">
        <is>
          <t>SÖDERMANLANDS LÄN</t>
        </is>
      </c>
      <c r="G183" t="inlineStr">
        <is>
          <t>ESKILSTUNA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46241</v>
      </c>
      <c r="F184" t="inlineStr">
        <is>
          <t>SÖDERMANLANDS LÄN</t>
        </is>
      </c>
      <c r="G184" t="inlineStr">
        <is>
          <t>ESKILSTUNA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46241</v>
      </c>
      <c r="F185" t="inlineStr">
        <is>
          <t>SÖDERMANLANDS LÄN</t>
        </is>
      </c>
      <c r="G185" t="inlineStr">
        <is>
          <t>ESKILSTUNA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44883</v>
      </c>
      <c r="E186" s="1" t="n">
        <v>46241</v>
      </c>
      <c r="F186" t="inlineStr">
        <is>
          <t>SÖDERMANLANDS LÄN</t>
        </is>
      </c>
      <c r="G186" t="inlineStr">
        <is>
          <t>ESKILSTUNA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46241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Kommuner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45604</v>
      </c>
      <c r="E188" s="1" t="n">
        <v>46241</v>
      </c>
      <c r="F188" t="inlineStr">
        <is>
          <t>SÖDERMANLANDS LÄN</t>
        </is>
      </c>
      <c r="G188" t="inlineStr">
        <is>
          <t>ESKILSTUNA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65349-2021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44515</v>
      </c>
      <c r="E189" s="1" t="n">
        <v>46241</v>
      </c>
      <c r="F189" t="inlineStr">
        <is>
          <t>SÖDERMANLANDS LÄN</t>
        </is>
      </c>
      <c r="G189" t="inlineStr">
        <is>
          <t>ESKILSTUNA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44571</v>
      </c>
      <c r="E190" s="1" t="n">
        <v>46241</v>
      </c>
      <c r="F190" t="inlineStr">
        <is>
          <t>SÖDERMANLANDS LÄN</t>
        </is>
      </c>
      <c r="G190" t="inlineStr">
        <is>
          <t>ESKILSTUNA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46241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46241</v>
      </c>
      <c r="F192" t="inlineStr">
        <is>
          <t>SÖDERMANLANDS LÄN</t>
        </is>
      </c>
      <c r="G192" t="inlineStr">
        <is>
          <t>ESKILSTUNA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46241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61988-2022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44918</v>
      </c>
      <c r="E194" s="1" t="n">
        <v>46241</v>
      </c>
      <c r="F194" t="inlineStr">
        <is>
          <t>SÖDERMANLANDS LÄN</t>
        </is>
      </c>
      <c r="G194" t="inlineStr">
        <is>
          <t>ESKILSTUNA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46241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46241</v>
      </c>
      <c r="F196" t="inlineStr">
        <is>
          <t>SÖDERMANLANDS LÄN</t>
        </is>
      </c>
      <c r="G196" t="inlineStr">
        <is>
          <t>ESKILSTUNA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46241</v>
      </c>
      <c r="F197" t="inlineStr">
        <is>
          <t>SÖDERMANLANDS LÄN</t>
        </is>
      </c>
      <c r="G197" t="inlineStr">
        <is>
          <t>ESKILSTUNA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46241</v>
      </c>
      <c r="F198" t="inlineStr">
        <is>
          <t>SÖDERMANLANDS LÄN</t>
        </is>
      </c>
      <c r="G198" t="inlineStr">
        <is>
          <t>ESKILSTUNA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44634</v>
      </c>
      <c r="E199" s="1" t="n">
        <v>46241</v>
      </c>
      <c r="F199" t="inlineStr">
        <is>
          <t>SÖDERMANLANDS LÄN</t>
        </is>
      </c>
      <c r="G199" t="inlineStr">
        <is>
          <t>ESKILSTUNA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46241</v>
      </c>
      <c r="F200" t="inlineStr">
        <is>
          <t>SÖDERMANLANDS LÄN</t>
        </is>
      </c>
      <c r="G200" t="inlineStr">
        <is>
          <t>ESKILSTUNA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46241</v>
      </c>
      <c r="F201" t="inlineStr">
        <is>
          <t>SÖDERMANLANDS LÄN</t>
        </is>
      </c>
      <c r="G201" t="inlineStr">
        <is>
          <t>ESKILSTUNA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45750</v>
      </c>
      <c r="E202" s="1" t="n">
        <v>46241</v>
      </c>
      <c r="F202" t="inlineStr">
        <is>
          <t>SÖDERMANLANDS LÄN</t>
        </is>
      </c>
      <c r="G202" t="inlineStr">
        <is>
          <t>ESKILSTUNA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44616</v>
      </c>
      <c r="E203" s="1" t="n">
        <v>46241</v>
      </c>
      <c r="F203" t="inlineStr">
        <is>
          <t>SÖDERMANLANDS LÄN</t>
        </is>
      </c>
      <c r="G203" t="inlineStr">
        <is>
          <t>ESKILSTUNA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46241</v>
      </c>
      <c r="F204" t="inlineStr">
        <is>
          <t>SÖDERMANLANDS LÄN</t>
        </is>
      </c>
      <c r="G204" t="inlineStr">
        <is>
          <t>ESKILSTUNA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44617</v>
      </c>
      <c r="E205" s="1" t="n">
        <v>46241</v>
      </c>
      <c r="F205" t="inlineStr">
        <is>
          <t>SÖDERMANLANDS LÄN</t>
        </is>
      </c>
      <c r="G205" t="inlineStr">
        <is>
          <t>ESKILSTUNA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12547-2022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44638</v>
      </c>
      <c r="E206" s="1" t="n">
        <v>46241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45036</v>
      </c>
      <c r="E207" s="1" t="n">
        <v>46241</v>
      </c>
      <c r="F207" t="inlineStr">
        <is>
          <t>SÖDERMANLANDS LÄN</t>
        </is>
      </c>
      <c r="G207" t="inlineStr">
        <is>
          <t>ESKILSTUNA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46241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46241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46241</v>
      </c>
      <c r="F210" t="inlineStr">
        <is>
          <t>SÖDERMANLANDS LÄN</t>
        </is>
      </c>
      <c r="G210" t="inlineStr">
        <is>
          <t>ESKILSTUNA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44928</v>
      </c>
      <c r="E211" s="1" t="n">
        <v>46241</v>
      </c>
      <c r="F211" t="inlineStr">
        <is>
          <t>SÖDERMANLANDS LÄN</t>
        </is>
      </c>
      <c r="G211" t="inlineStr">
        <is>
          <t>ESKILSTUNA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46241</v>
      </c>
      <c r="F212" t="inlineStr">
        <is>
          <t>SÖDERMANLANDS LÄN</t>
        </is>
      </c>
      <c r="G212" t="inlineStr">
        <is>
          <t>ESKILSTUNA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61829-2023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45266</v>
      </c>
      <c r="E213" s="1" t="n">
        <v>46241</v>
      </c>
      <c r="F213" t="inlineStr">
        <is>
          <t>SÖDERMANLANDS LÄN</t>
        </is>
      </c>
      <c r="G213" t="inlineStr">
        <is>
          <t>ESKILSTUNA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44626</v>
      </c>
      <c r="E214" s="1" t="n">
        <v>46241</v>
      </c>
      <c r="F214" t="inlineStr">
        <is>
          <t>SÖDERMANLANDS LÄN</t>
        </is>
      </c>
      <c r="G214" t="inlineStr">
        <is>
          <t>ESKILSTUNA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44499</v>
      </c>
      <c r="E215" s="1" t="n">
        <v>46241</v>
      </c>
      <c r="F215" t="inlineStr">
        <is>
          <t>SÖDERMANLANDS LÄN</t>
        </is>
      </c>
      <c r="G215" t="inlineStr">
        <is>
          <t>ESKILSTUNA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46241</v>
      </c>
      <c r="F216" t="inlineStr">
        <is>
          <t>SÖDERMANLANDS LÄN</t>
        </is>
      </c>
      <c r="G216" t="inlineStr">
        <is>
          <t>ESKILSTUNA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46241</v>
      </c>
      <c r="F217" t="inlineStr">
        <is>
          <t>SÖDERMANLANDS LÄN</t>
        </is>
      </c>
      <c r="G217" t="inlineStr">
        <is>
          <t>ESKILSTUNA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46241</v>
      </c>
      <c r="F218" t="inlineStr">
        <is>
          <t>SÖDERMANLANDS LÄN</t>
        </is>
      </c>
      <c r="G218" t="inlineStr">
        <is>
          <t>ESKILSTUNA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46241</v>
      </c>
      <c r="F219" t="inlineStr">
        <is>
          <t>SÖDERMANLANDS LÄN</t>
        </is>
      </c>
      <c r="G219" t="inlineStr">
        <is>
          <t>ESKILSTUNA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46241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44698</v>
      </c>
      <c r="E221" s="1" t="n">
        <v>46241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46241</v>
      </c>
      <c r="F222" t="inlineStr">
        <is>
          <t>SÖDERMANLANDS LÄN</t>
        </is>
      </c>
      <c r="G222" t="inlineStr">
        <is>
          <t>ESKILSTUNA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46241</v>
      </c>
      <c r="F223" t="inlineStr">
        <is>
          <t>SÖDERMANLANDS LÄN</t>
        </is>
      </c>
      <c r="G223" t="inlineStr">
        <is>
          <t>ESKILSTUNA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46241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46241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46241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46241</v>
      </c>
      <c r="F227" t="inlineStr">
        <is>
          <t>SÖDERMANLANDS LÄN</t>
        </is>
      </c>
      <c r="G227" t="inlineStr">
        <is>
          <t>ESKILSTUNA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46241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46241</v>
      </c>
      <c r="F229" t="inlineStr">
        <is>
          <t>SÖDERMANLANDS LÄN</t>
        </is>
      </c>
      <c r="G229" t="inlineStr">
        <is>
          <t>ESKILSTUNA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46241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46241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46241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46241</v>
      </c>
      <c r="F233" t="inlineStr">
        <is>
          <t>SÖDERMANLANDS LÄN</t>
        </is>
      </c>
      <c r="G233" t="inlineStr">
        <is>
          <t>ESKILSTUNA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46241</v>
      </c>
      <c r="F234" t="inlineStr">
        <is>
          <t>SÖDERMANLANDS LÄN</t>
        </is>
      </c>
      <c r="G234" t="inlineStr">
        <is>
          <t>ESKILSTUNA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18105-2026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46125</v>
      </c>
      <c r="E235" s="1" t="n">
        <v>46241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46241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46241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44983</v>
      </c>
      <c r="E238" s="1" t="n">
        <v>46241</v>
      </c>
      <c r="F238" t="inlineStr">
        <is>
          <t>SÖDERMANLANDS LÄN</t>
        </is>
      </c>
      <c r="G238" t="inlineStr">
        <is>
          <t>ESKILSTUNA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46241</v>
      </c>
      <c r="F239" t="inlineStr">
        <is>
          <t>SÖDERMANLANDS LÄN</t>
        </is>
      </c>
      <c r="G239" t="inlineStr">
        <is>
          <t>ESKILSTUNA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46241</v>
      </c>
      <c r="F240" t="inlineStr">
        <is>
          <t>SÖDERMANLANDS LÄN</t>
        </is>
      </c>
      <c r="G240" t="inlineStr">
        <is>
          <t>ESKILSTUNA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46241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59276-2021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44490</v>
      </c>
      <c r="E242" s="1" t="n">
        <v>46241</v>
      </c>
      <c r="F242" t="inlineStr">
        <is>
          <t>SÖDERMANLANDS LÄN</t>
        </is>
      </c>
      <c r="G242" t="inlineStr">
        <is>
          <t>ESKILSTUNA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45005</v>
      </c>
      <c r="E243" s="1" t="n">
        <v>46241</v>
      </c>
      <c r="F243" t="inlineStr">
        <is>
          <t>SÖDERMANLANDS LÄN</t>
        </is>
      </c>
      <c r="G243" t="inlineStr">
        <is>
          <t>ESKILSTUNA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46241</v>
      </c>
      <c r="F244" t="inlineStr">
        <is>
          <t>SÖDERMANLANDS LÄN</t>
        </is>
      </c>
      <c r="G244" t="inlineStr">
        <is>
          <t>ESKILSTUNA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13153-2026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46092</v>
      </c>
      <c r="E245" s="1" t="n">
        <v>46241</v>
      </c>
      <c r="F245" t="inlineStr">
        <is>
          <t>SÖDERMANLANDS LÄN</t>
        </is>
      </c>
      <c r="G245" t="inlineStr">
        <is>
          <t>ESKILSTUNA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44741</v>
      </c>
      <c r="E246" s="1" t="n">
        <v>46241</v>
      </c>
      <c r="F246" t="inlineStr">
        <is>
          <t>SÖDERMANLANDS LÄN</t>
        </is>
      </c>
      <c r="G246" t="inlineStr">
        <is>
          <t>ESKILSTUNA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44499</v>
      </c>
      <c r="E247" s="1" t="n">
        <v>46241</v>
      </c>
      <c r="F247" t="inlineStr">
        <is>
          <t>SÖDERMANLANDS LÄN</t>
        </is>
      </c>
      <c r="G247" t="inlineStr">
        <is>
          <t>ESKILSTUNA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65595-2021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44516</v>
      </c>
      <c r="E248" s="1" t="n">
        <v>46241</v>
      </c>
      <c r="F248" t="inlineStr">
        <is>
          <t>SÖDERMANLANDS LÄN</t>
        </is>
      </c>
      <c r="G248" t="inlineStr">
        <is>
          <t>ESKILSTUNA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46241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46241</v>
      </c>
      <c r="F250" t="inlineStr">
        <is>
          <t>SÖDERMANLANDS LÄN</t>
        </is>
      </c>
      <c r="G250" t="inlineStr">
        <is>
          <t>ESKILSTUNA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38895-2023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45163</v>
      </c>
      <c r="E251" s="1" t="n">
        <v>46241</v>
      </c>
      <c r="F251" t="inlineStr">
        <is>
          <t>SÖDERMANLANDS LÄN</t>
        </is>
      </c>
      <c r="G251" t="inlineStr">
        <is>
          <t>ESKILSTUNA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46241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Allmännings- och besparingsskogar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42801-2022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44832</v>
      </c>
      <c r="E253" s="1" t="n">
        <v>46241</v>
      </c>
      <c r="F253" t="inlineStr">
        <is>
          <t>SÖDERMANLANDS LÄN</t>
        </is>
      </c>
      <c r="G253" t="inlineStr">
        <is>
          <t>ESKILSTUNA</t>
        </is>
      </c>
      <c r="I253" t="n">
        <v>19.9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46241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44019-2021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44434</v>
      </c>
      <c r="E255" s="1" t="n">
        <v>46241</v>
      </c>
      <c r="F255" t="inlineStr">
        <is>
          <t>SÖDERMANLANDS LÄN</t>
        </is>
      </c>
      <c r="G255" t="inlineStr">
        <is>
          <t>ESKILSTUNA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46241</v>
      </c>
      <c r="F256" t="inlineStr">
        <is>
          <t>SÖDERMANLANDS LÄN</t>
        </is>
      </c>
      <c r="G256" t="inlineStr">
        <is>
          <t>ESKILSTUNA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46241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45833</v>
      </c>
      <c r="E258" s="1" t="n">
        <v>46241</v>
      </c>
      <c r="F258" t="inlineStr">
        <is>
          <t>SÖDERMANLANDS LÄN</t>
        </is>
      </c>
      <c r="G258" t="inlineStr">
        <is>
          <t>ESKILSTUNA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46241</v>
      </c>
      <c r="F259" t="inlineStr">
        <is>
          <t>SÖDERMANLANDS LÄN</t>
        </is>
      </c>
      <c r="G259" t="inlineStr">
        <is>
          <t>ESKILSTUNA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36565-2022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44804</v>
      </c>
      <c r="E260" s="1" t="n">
        <v>46241</v>
      </c>
      <c r="F260" t="inlineStr">
        <is>
          <t>SÖDERMANLANDS LÄN</t>
        </is>
      </c>
      <c r="G260" t="inlineStr">
        <is>
          <t>ESKILSTUNA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55812-2022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44886</v>
      </c>
      <c r="E261" s="1" t="n">
        <v>46241</v>
      </c>
      <c r="F261" t="inlineStr">
        <is>
          <t>SÖDERMANLANDS LÄN</t>
        </is>
      </c>
      <c r="G261" t="inlineStr">
        <is>
          <t>ESKILSTUNA</t>
        </is>
      </c>
      <c r="I261" t="n">
        <v>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68022-2021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46241</v>
      </c>
      <c r="F262" t="inlineStr">
        <is>
          <t>SÖDERMANLANDS LÄN</t>
        </is>
      </c>
      <c r="G262" t="inlineStr">
        <is>
          <t>ESKILSTUNA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54598-2021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44473</v>
      </c>
      <c r="E263" s="1" t="n">
        <v>46241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46241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16391-2022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44671</v>
      </c>
      <c r="E265" s="1" t="n">
        <v>46241</v>
      </c>
      <c r="F265" t="inlineStr">
        <is>
          <t>SÖDERMANLANDS LÄN</t>
        </is>
      </c>
      <c r="G265" t="inlineStr">
        <is>
          <t>ESKILSTUNA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46241</v>
      </c>
      <c r="F266" t="inlineStr">
        <is>
          <t>SÖDERMANLANDS LÄN</t>
        </is>
      </c>
      <c r="G266" t="inlineStr">
        <is>
          <t>ESKILSTUNA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52830-2021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44467</v>
      </c>
      <c r="E267" s="1" t="n">
        <v>46241</v>
      </c>
      <c r="F267" t="inlineStr">
        <is>
          <t>SÖDERMANLANDS LÄN</t>
        </is>
      </c>
      <c r="G267" t="inlineStr">
        <is>
          <t>ESKILSTUNA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46241</v>
      </c>
      <c r="F268" t="inlineStr">
        <is>
          <t>SÖDERMANLANDS LÄN</t>
        </is>
      </c>
      <c r="G268" t="inlineStr">
        <is>
          <t>ESKILSTUNA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46241</v>
      </c>
      <c r="F269" t="inlineStr">
        <is>
          <t>SÖDERMANLANDS LÄN</t>
        </is>
      </c>
      <c r="G269" t="inlineStr">
        <is>
          <t>ESKILSTUNA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46241</v>
      </c>
      <c r="F270" t="inlineStr">
        <is>
          <t>SÖDERMANLANDS LÄN</t>
        </is>
      </c>
      <c r="G270" t="inlineStr">
        <is>
          <t>ESKILSTUNA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46241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43426-2021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44432</v>
      </c>
      <c r="E272" s="1" t="n">
        <v>46241</v>
      </c>
      <c r="F272" t="inlineStr">
        <is>
          <t>SÖDERMANLANDS LÄN</t>
        </is>
      </c>
      <c r="G272" t="inlineStr">
        <is>
          <t>ESKILSTUNA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46241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46241</v>
      </c>
      <c r="F274" t="inlineStr">
        <is>
          <t>SÖDERMANLANDS LÄN</t>
        </is>
      </c>
      <c r="G274" t="inlineStr">
        <is>
          <t>ESKILSTUNA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46241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46241</v>
      </c>
      <c r="F276" t="inlineStr">
        <is>
          <t>SÖDERMANLANDS LÄN</t>
        </is>
      </c>
      <c r="G276" t="inlineStr">
        <is>
          <t>ESKILSTUNA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45587</v>
      </c>
      <c r="E277" s="1" t="n">
        <v>46241</v>
      </c>
      <c r="F277" t="inlineStr">
        <is>
          <t>SÖDERMANLANDS LÄN</t>
        </is>
      </c>
      <c r="G277" t="inlineStr">
        <is>
          <t>ESKILSTUNA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44426</v>
      </c>
      <c r="E278" s="1" t="n">
        <v>46241</v>
      </c>
      <c r="F278" t="inlineStr">
        <is>
          <t>SÖDERMANLANDS LÄN</t>
        </is>
      </c>
      <c r="G278" t="inlineStr">
        <is>
          <t>ESKILSTUNA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65614-2021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46241</v>
      </c>
      <c r="F279" t="inlineStr">
        <is>
          <t>SÖDERMANLANDS LÄN</t>
        </is>
      </c>
      <c r="G279" t="inlineStr">
        <is>
          <t>ESKILSTUNA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46241</v>
      </c>
      <c r="F280" t="inlineStr">
        <is>
          <t>SÖDERMANLANDS LÄN</t>
        </is>
      </c>
      <c r="G280" t="inlineStr">
        <is>
          <t>ESKILSTUNA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50484-2025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45945</v>
      </c>
      <c r="E281" s="1" t="n">
        <v>46241</v>
      </c>
      <c r="F281" t="inlineStr">
        <is>
          <t>SÖDERMANLANDS LÄN</t>
        </is>
      </c>
      <c r="G281" t="inlineStr">
        <is>
          <t>ESKILSTUNA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44888</v>
      </c>
      <c r="E282" s="1" t="n">
        <v>46241</v>
      </c>
      <c r="F282" t="inlineStr">
        <is>
          <t>SÖDERMANLANDS LÄN</t>
        </is>
      </c>
      <c r="G282" t="inlineStr">
        <is>
          <t>ESKILSTUNA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44865</v>
      </c>
      <c r="E283" s="1" t="n">
        <v>46241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46241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44664</v>
      </c>
      <c r="E285" s="1" t="n">
        <v>46241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46241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46241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46241</v>
      </c>
      <c r="F288" t="inlineStr">
        <is>
          <t>SÖDERMANLANDS LÄN</t>
        </is>
      </c>
      <c r="G288" t="inlineStr">
        <is>
          <t>ESKILSTUNA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46241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45056</v>
      </c>
      <c r="E290" s="1" t="n">
        <v>46241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46241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46241</v>
      </c>
      <c r="F292" t="inlineStr">
        <is>
          <t>SÖDERMANLANDS LÄN</t>
        </is>
      </c>
      <c r="G292" t="inlineStr">
        <is>
          <t>ESKILSTUNA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46241</v>
      </c>
      <c r="F293" t="inlineStr">
        <is>
          <t>SÖDERMANLANDS LÄN</t>
        </is>
      </c>
      <c r="G293" t="inlineStr">
        <is>
          <t>ESKILSTUNA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44701</v>
      </c>
      <c r="E294" s="1" t="n">
        <v>46241</v>
      </c>
      <c r="F294" t="inlineStr">
        <is>
          <t>SÖDERMANLANDS LÄN</t>
        </is>
      </c>
      <c r="G294" t="inlineStr">
        <is>
          <t>ESKILSTUNA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46241</v>
      </c>
      <c r="F295" t="inlineStr">
        <is>
          <t>SÖDERMANLANDS LÄN</t>
        </is>
      </c>
      <c r="G295" t="inlineStr">
        <is>
          <t>ESKILSTUNA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46241</v>
      </c>
      <c r="F296" t="inlineStr">
        <is>
          <t>SÖDERMANLANDS LÄN</t>
        </is>
      </c>
      <c r="G296" t="inlineStr">
        <is>
          <t>ESKILSTUNA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46241</v>
      </c>
      <c r="F297" t="inlineStr">
        <is>
          <t>SÖDERMANLANDS LÄN</t>
        </is>
      </c>
      <c r="G297" t="inlineStr">
        <is>
          <t>ESKILSTUNA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46241</v>
      </c>
      <c r="F298" t="inlineStr">
        <is>
          <t>SÖDERMANLANDS LÄN</t>
        </is>
      </c>
      <c r="G298" t="inlineStr">
        <is>
          <t>ESKILSTUNA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45245</v>
      </c>
      <c r="E299" s="1" t="n">
        <v>46241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57538-2022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44889</v>
      </c>
      <c r="E300" s="1" t="n">
        <v>46241</v>
      </c>
      <c r="F300" t="inlineStr">
        <is>
          <t>SÖDERMANLANDS LÄN</t>
        </is>
      </c>
      <c r="G300" t="inlineStr">
        <is>
          <t>ESKILSTUNA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46241</v>
      </c>
      <c r="F301" t="inlineStr">
        <is>
          <t>SÖDERMANLANDS LÄN</t>
        </is>
      </c>
      <c r="G301" t="inlineStr">
        <is>
          <t>ESKILSTUNA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44930</v>
      </c>
      <c r="E302" s="1" t="n">
        <v>46241</v>
      </c>
      <c r="F302" t="inlineStr">
        <is>
          <t>SÖDERMANLANDS LÄN</t>
        </is>
      </c>
      <c r="G302" t="inlineStr">
        <is>
          <t>ESKILSTUNA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61170-2021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44497</v>
      </c>
      <c r="E303" s="1" t="n">
        <v>46241</v>
      </c>
      <c r="F303" t="inlineStr">
        <is>
          <t>SÖDERMANLANDS LÄN</t>
        </is>
      </c>
      <c r="G303" t="inlineStr">
        <is>
          <t>ESKILSTUNA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45099</v>
      </c>
      <c r="E304" s="1" t="n">
        <v>46241</v>
      </c>
      <c r="F304" t="inlineStr">
        <is>
          <t>SÖDERMANLANDS LÄN</t>
        </is>
      </c>
      <c r="G304" t="inlineStr">
        <is>
          <t>ESKILSTUNA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60326-2025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46241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46241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46241</v>
      </c>
      <c r="F307" t="inlineStr">
        <is>
          <t>SÖDERMANLANDS LÄN</t>
        </is>
      </c>
      <c r="G307" t="inlineStr">
        <is>
          <t>ESKILSTUNA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46241</v>
      </c>
      <c r="F308" t="inlineStr">
        <is>
          <t>SÖDERMANLANDS LÄN</t>
        </is>
      </c>
      <c r="G308" t="inlineStr">
        <is>
          <t>ESKILSTUNA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45049</v>
      </c>
      <c r="E309" s="1" t="n">
        <v>46241</v>
      </c>
      <c r="F309" t="inlineStr">
        <is>
          <t>SÖDERMANLANDS LÄN</t>
        </is>
      </c>
      <c r="G309" t="inlineStr">
        <is>
          <t>ESKILSTUNA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1340-2024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45303</v>
      </c>
      <c r="E310" s="1" t="n">
        <v>46241</v>
      </c>
      <c r="F310" t="inlineStr">
        <is>
          <t>SÖDERMANLANDS LÄN</t>
        </is>
      </c>
      <c r="G310" t="inlineStr">
        <is>
          <t>ESKILSTUNA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46241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Övriga Aktiebolag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46241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Allmännings- och besparingsskogar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29051-2026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46199</v>
      </c>
      <c r="E313" s="1" t="n">
        <v>46241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46241</v>
      </c>
      <c r="F314" t="inlineStr">
        <is>
          <t>SÖDERMANLANDS LÄN</t>
        </is>
      </c>
      <c r="G314" t="inlineStr">
        <is>
          <t>ESKILSTUNA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45007</v>
      </c>
      <c r="E315" s="1" t="n">
        <v>46241</v>
      </c>
      <c r="F315" t="inlineStr">
        <is>
          <t>SÖDERMANLANDS LÄN</t>
        </is>
      </c>
      <c r="G315" t="inlineStr">
        <is>
          <t>ESKILSTUNA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46241</v>
      </c>
      <c r="F316" t="inlineStr">
        <is>
          <t>SÖDERMANLANDS LÄN</t>
        </is>
      </c>
      <c r="G316" t="inlineStr">
        <is>
          <t>ESKILSTUNA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70265-2021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46241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46157</v>
      </c>
      <c r="E318" s="1" t="n">
        <v>46241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29053-2026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46199</v>
      </c>
      <c r="E319" s="1" t="n">
        <v>46241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46608-2024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45582</v>
      </c>
      <c r="E320" s="1" t="n">
        <v>46241</v>
      </c>
      <c r="F320" t="inlineStr">
        <is>
          <t>SÖDERMANLANDS LÄN</t>
        </is>
      </c>
      <c r="G320" t="inlineStr">
        <is>
          <t>ESKILSTUNA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46241</v>
      </c>
      <c r="F321" t="inlineStr">
        <is>
          <t>SÖDERMANLANDS LÄN</t>
        </is>
      </c>
      <c r="G321" t="inlineStr">
        <is>
          <t>ESKILSTUNA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68020-2021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44525</v>
      </c>
      <c r="E322" s="1" t="n">
        <v>46241</v>
      </c>
      <c r="F322" t="inlineStr">
        <is>
          <t>SÖDERMANLANDS LÄN</t>
        </is>
      </c>
      <c r="G322" t="inlineStr">
        <is>
          <t>ESKILSTUNA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46241</v>
      </c>
      <c r="F323" t="inlineStr">
        <is>
          <t>SÖDERMANLANDS LÄN</t>
        </is>
      </c>
      <c r="G323" t="inlineStr">
        <is>
          <t>ESKILSTUNA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46241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46241</v>
      </c>
      <c r="F325" t="inlineStr">
        <is>
          <t>SÖDERMANLANDS LÄN</t>
        </is>
      </c>
      <c r="G325" t="inlineStr">
        <is>
          <t>ESKILSTUNA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45715</v>
      </c>
      <c r="E326" s="1" t="n">
        <v>46241</v>
      </c>
      <c r="F326" t="inlineStr">
        <is>
          <t>SÖDERMANLANDS LÄN</t>
        </is>
      </c>
      <c r="G326" t="inlineStr">
        <is>
          <t>ESKILSTUNA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46241</v>
      </c>
      <c r="F327" t="inlineStr">
        <is>
          <t>SÖDERMANLANDS LÄN</t>
        </is>
      </c>
      <c r="G327" t="inlineStr">
        <is>
          <t>ESKILSTUNA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46241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52203-2025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45953</v>
      </c>
      <c r="E329" s="1" t="n">
        <v>46241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46241</v>
      </c>
      <c r="F330" t="inlineStr">
        <is>
          <t>SÖDERMANLANDS LÄN</t>
        </is>
      </c>
      <c r="G330" t="inlineStr">
        <is>
          <t>ESKILSTUNA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46241</v>
      </c>
      <c r="F331" t="inlineStr">
        <is>
          <t>SÖDERMANLANDS LÄN</t>
        </is>
      </c>
      <c r="G331" t="inlineStr">
        <is>
          <t>ESKILSTUNA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44626</v>
      </c>
      <c r="E332" s="1" t="n">
        <v>46241</v>
      </c>
      <c r="F332" t="inlineStr">
        <is>
          <t>SÖDERMANLANDS LÄN</t>
        </is>
      </c>
      <c r="G332" t="inlineStr">
        <is>
          <t>ESKILSTUNA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44927-2023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45190</v>
      </c>
      <c r="E333" s="1" t="n">
        <v>46241</v>
      </c>
      <c r="F333" t="inlineStr">
        <is>
          <t>SÖDERMANLANDS LÄN</t>
        </is>
      </c>
      <c r="G333" t="inlineStr">
        <is>
          <t>ESKILSTUNA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46241</v>
      </c>
      <c r="F334" t="inlineStr">
        <is>
          <t>SÖDERMANLANDS LÄN</t>
        </is>
      </c>
      <c r="G334" t="inlineStr">
        <is>
          <t>ESKILSTUNA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45435</v>
      </c>
      <c r="E335" s="1" t="n">
        <v>46241</v>
      </c>
      <c r="F335" t="inlineStr">
        <is>
          <t>SÖDERMANLANDS LÄN</t>
        </is>
      </c>
      <c r="G335" t="inlineStr">
        <is>
          <t>ESKILSTUNA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22605-2023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45071</v>
      </c>
      <c r="E336" s="1" t="n">
        <v>46241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46241</v>
      </c>
      <c r="F337" t="inlineStr">
        <is>
          <t>SÖDERMANLANDS LÄN</t>
        </is>
      </c>
      <c r="G337" t="inlineStr">
        <is>
          <t>ESKILSTUNA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46241</v>
      </c>
      <c r="F338" t="inlineStr">
        <is>
          <t>SÖDERMANLANDS LÄN</t>
        </is>
      </c>
      <c r="G338" t="inlineStr">
        <is>
          <t>ESKILSTUNA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51801-2025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45950</v>
      </c>
      <c r="E339" s="1" t="n">
        <v>46241</v>
      </c>
      <c r="F339" t="inlineStr">
        <is>
          <t>SÖDERMANLANDS LÄN</t>
        </is>
      </c>
      <c r="G339" t="inlineStr">
        <is>
          <t>ESKILSTUNA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44572</v>
      </c>
      <c r="E340" s="1" t="n">
        <v>46241</v>
      </c>
      <c r="F340" t="inlineStr">
        <is>
          <t>SÖDERMANLANDS LÄN</t>
        </is>
      </c>
      <c r="G340" t="inlineStr">
        <is>
          <t>ESKILSTUNA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7406-2022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44606</v>
      </c>
      <c r="E341" s="1" t="n">
        <v>46241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Kyrkan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46241</v>
      </c>
      <c r="F342" t="inlineStr">
        <is>
          <t>SÖDERMANLANDS LÄN</t>
        </is>
      </c>
      <c r="G342" t="inlineStr">
        <is>
          <t>ESKILSTUNA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60533-2024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45643</v>
      </c>
      <c r="E343" s="1" t="n">
        <v>46241</v>
      </c>
      <c r="F343" t="inlineStr">
        <is>
          <t>SÖDERMANLANDS LÄN</t>
        </is>
      </c>
      <c r="G343" t="inlineStr">
        <is>
          <t>ESKILSTUNA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45387</v>
      </c>
      <c r="E344" s="1" t="n">
        <v>46241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Kyrkan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46241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22388-2026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46154</v>
      </c>
      <c r="E346" s="1" t="n">
        <v>46241</v>
      </c>
      <c r="F346" t="inlineStr">
        <is>
          <t>SÖDERMANLANDS LÄN</t>
        </is>
      </c>
      <c r="G346" t="inlineStr">
        <is>
          <t>ESKILSTUNA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46241</v>
      </c>
      <c r="F347" t="inlineStr">
        <is>
          <t>SÖDERMANLANDS LÄN</t>
        </is>
      </c>
      <c r="G347" t="inlineStr">
        <is>
          <t>ESKILSTUNA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46241</v>
      </c>
      <c r="F348" t="inlineStr">
        <is>
          <t>SÖDERMANLANDS LÄN</t>
        </is>
      </c>
      <c r="G348" t="inlineStr">
        <is>
          <t>ESKILSTUNA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52221-2025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45953</v>
      </c>
      <c r="E349" s="1" t="n">
        <v>46241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46241</v>
      </c>
      <c r="F350" t="inlineStr">
        <is>
          <t>SÖDERMANLANDS LÄN</t>
        </is>
      </c>
      <c r="G350" t="inlineStr">
        <is>
          <t>ESKILSTUNA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46241</v>
      </c>
      <c r="F351" t="inlineStr">
        <is>
          <t>SÖDERMANLANDS LÄN</t>
        </is>
      </c>
      <c r="G351" t="inlineStr">
        <is>
          <t>ESKILSTUNA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46216</v>
      </c>
      <c r="E352" s="1" t="n">
        <v>46241</v>
      </c>
      <c r="F352" t="inlineStr">
        <is>
          <t>SÖDERMANLANDS LÄN</t>
        </is>
      </c>
      <c r="G352" t="inlineStr">
        <is>
          <t>ESKILSTUNA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31131-2026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46216</v>
      </c>
      <c r="E353" s="1" t="n">
        <v>46241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44886</v>
      </c>
      <c r="E354" s="1" t="n">
        <v>46241</v>
      </c>
      <c r="F354" t="inlineStr">
        <is>
          <t>SÖDERMANLANDS LÄN</t>
        </is>
      </c>
      <c r="G354" t="inlineStr">
        <is>
          <t>ESKILSTUNA</t>
        </is>
      </c>
      <c r="I354" t="n">
        <v>15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46241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45237</v>
      </c>
      <c r="E356" s="1" t="n">
        <v>46241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46241</v>
      </c>
      <c r="F357" t="inlineStr">
        <is>
          <t>SÖDERMANLANDS LÄN</t>
        </is>
      </c>
      <c r="G357" t="inlineStr">
        <is>
          <t>ESKILSTUNA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45685</v>
      </c>
      <c r="E358" s="1" t="n">
        <v>46241</v>
      </c>
      <c r="F358" t="inlineStr">
        <is>
          <t>SÖDERMANLANDS LÄN</t>
        </is>
      </c>
      <c r="G358" t="inlineStr">
        <is>
          <t>ESKILSTUNA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30963-2026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46213</v>
      </c>
      <c r="E359" s="1" t="n">
        <v>46241</v>
      </c>
      <c r="F359" t="inlineStr">
        <is>
          <t>SÖDERMANLANDS LÄN</t>
        </is>
      </c>
      <c r="G359" t="inlineStr">
        <is>
          <t>ESKILSTUNA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15917-2022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44664</v>
      </c>
      <c r="E360" s="1" t="n">
        <v>46241</v>
      </c>
      <c r="F360" t="inlineStr">
        <is>
          <t>SÖDERMANLANDS LÄN</t>
        </is>
      </c>
      <c r="G360" t="inlineStr">
        <is>
          <t>ESKILSTUNA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45723</v>
      </c>
      <c r="E361" s="1" t="n">
        <v>46241</v>
      </c>
      <c r="F361" t="inlineStr">
        <is>
          <t>SÖDERMANLANDS LÄN</t>
        </is>
      </c>
      <c r="G361" t="inlineStr">
        <is>
          <t>ESKILSTUNA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46241</v>
      </c>
      <c r="F362" t="inlineStr">
        <is>
          <t>SÖDERMANLANDS LÄN</t>
        </is>
      </c>
      <c r="G362" t="inlineStr">
        <is>
          <t>ESKILSTUNA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46241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46241</v>
      </c>
      <c r="F364" t="inlineStr">
        <is>
          <t>SÖDERMANLANDS LÄN</t>
        </is>
      </c>
      <c r="G364" t="inlineStr">
        <is>
          <t>ESKILSTUNA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25229-2022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44729</v>
      </c>
      <c r="E365" s="1" t="n">
        <v>46241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31200-2026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46241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Kommuner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46241</v>
      </c>
      <c r="F367" t="inlineStr">
        <is>
          <t>SÖDERMANLANDS LÄN</t>
        </is>
      </c>
      <c r="G367" t="inlineStr">
        <is>
          <t>ESKILSTUNA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61831-2023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46241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46241</v>
      </c>
      <c r="F369" t="inlineStr">
        <is>
          <t>SÖDERMANLANDS LÄN</t>
        </is>
      </c>
      <c r="G369" t="inlineStr">
        <is>
          <t>ESKILSTUNA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1330-2024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45303</v>
      </c>
      <c r="E370" s="1" t="n">
        <v>46241</v>
      </c>
      <c r="F370" t="inlineStr">
        <is>
          <t>SÖDERMANLANDS LÄN</t>
        </is>
      </c>
      <c r="G370" t="inlineStr">
        <is>
          <t>ESKILSTUNA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1334-2024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45303</v>
      </c>
      <c r="E371" s="1" t="n">
        <v>46241</v>
      </c>
      <c r="F371" t="inlineStr">
        <is>
          <t>SÖDERMANLANDS LÄN</t>
        </is>
      </c>
      <c r="G371" t="inlineStr">
        <is>
          <t>ESKILSTUNA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46219</v>
      </c>
      <c r="E372" s="1" t="n">
        <v>46241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Sveaskog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37769-2023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45159</v>
      </c>
      <c r="E373" s="1" t="n">
        <v>46241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Kommuner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44755</v>
      </c>
      <c r="E374" s="1" t="n">
        <v>46241</v>
      </c>
      <c r="F374" t="inlineStr">
        <is>
          <t>SÖDERMANLANDS LÄN</t>
        </is>
      </c>
      <c r="G374" t="inlineStr">
        <is>
          <t>ESKILSTUNA</t>
        </is>
      </c>
      <c r="I374" t="n">
        <v>20.1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46241</v>
      </c>
      <c r="F375" t="inlineStr">
        <is>
          <t>SÖDERMANLANDS LÄN</t>
        </is>
      </c>
      <c r="G375" t="inlineStr">
        <is>
          <t>ESKILSTUNA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25483-2026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46177</v>
      </c>
      <c r="E376" s="1" t="n">
        <v>46241</v>
      </c>
      <c r="F376" t="inlineStr">
        <is>
          <t>SÖDERMANLANDS LÄN</t>
        </is>
      </c>
      <c r="G376" t="inlineStr">
        <is>
          <t>ESKILSTUNA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30968-2022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44768</v>
      </c>
      <c r="E377" s="1" t="n">
        <v>46241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Sveaskog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52663-2023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45225</v>
      </c>
      <c r="E378" s="1" t="n">
        <v>46241</v>
      </c>
      <c r="F378" t="inlineStr">
        <is>
          <t>SÖDERMANLANDS LÄN</t>
        </is>
      </c>
      <c r="G378" t="inlineStr">
        <is>
          <t>ESKILSTUNA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44966</v>
      </c>
      <c r="E379" s="1" t="n">
        <v>46241</v>
      </c>
      <c r="F379" t="inlineStr">
        <is>
          <t>SÖDERMANLANDS LÄN</t>
        </is>
      </c>
      <c r="G379" t="inlineStr">
        <is>
          <t>ESKILSTUNA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36636-2022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44804</v>
      </c>
      <c r="E380" s="1" t="n">
        <v>46241</v>
      </c>
      <c r="F380" t="inlineStr">
        <is>
          <t>SÖDERMANLANDS LÄN</t>
        </is>
      </c>
      <c r="G380" t="inlineStr">
        <is>
          <t>ESKILSTUNA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46241</v>
      </c>
      <c r="F381" t="inlineStr">
        <is>
          <t>SÖDERMANLANDS LÄN</t>
        </is>
      </c>
      <c r="G381" t="inlineStr">
        <is>
          <t>ESKILSTUNA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46241</v>
      </c>
      <c r="F382" t="inlineStr">
        <is>
          <t>SÖDERMANLANDS LÄN</t>
        </is>
      </c>
      <c r="G382" t="inlineStr">
        <is>
          <t>ESKILSTUNA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46241</v>
      </c>
      <c r="F383" t="inlineStr">
        <is>
          <t>SÖDERMANLANDS LÄN</t>
        </is>
      </c>
      <c r="G383" t="inlineStr">
        <is>
          <t>ESKILSTUNA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46241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46241</v>
      </c>
      <c r="F385" t="inlineStr">
        <is>
          <t>SÖDERMANLANDS LÄN</t>
        </is>
      </c>
      <c r="G385" t="inlineStr">
        <is>
          <t>ESKILSTUNA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46241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46241</v>
      </c>
      <c r="F387" t="inlineStr">
        <is>
          <t>SÖDERMANLANDS LÄN</t>
        </is>
      </c>
      <c r="G387" t="inlineStr">
        <is>
          <t>ESKILSTUNA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46241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46241</v>
      </c>
      <c r="F389" t="inlineStr">
        <is>
          <t>SÖDERMANLANDS LÄN</t>
        </is>
      </c>
      <c r="G389" t="inlineStr">
        <is>
          <t>ESKILSTUNA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61830-2023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46241</v>
      </c>
      <c r="F390" t="inlineStr">
        <is>
          <t>SÖDERMANLANDS LÄN</t>
        </is>
      </c>
      <c r="G390" t="inlineStr">
        <is>
          <t>ESKILSTUNA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45531</v>
      </c>
      <c r="E391" s="1" t="n">
        <v>46241</v>
      </c>
      <c r="F391" t="inlineStr">
        <is>
          <t>SÖDERMANLANDS LÄN</t>
        </is>
      </c>
      <c r="G391" t="inlineStr">
        <is>
          <t>ESKILSTUNA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45537</v>
      </c>
      <c r="E392" s="1" t="n">
        <v>46241</v>
      </c>
      <c r="F392" t="inlineStr">
        <is>
          <t>SÖDERMANLANDS LÄN</t>
        </is>
      </c>
      <c r="G392" t="inlineStr">
        <is>
          <t>ESKILSTUNA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44582</v>
      </c>
      <c r="E393" s="1" t="n">
        <v>46241</v>
      </c>
      <c r="F393" t="inlineStr">
        <is>
          <t>SÖDERMANLANDS LÄN</t>
        </is>
      </c>
      <c r="G393" t="inlineStr">
        <is>
          <t>ESKILSTUNA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46241</v>
      </c>
      <c r="F394" t="inlineStr">
        <is>
          <t>SÖDERMANLANDS LÄN</t>
        </is>
      </c>
      <c r="G394" t="inlineStr">
        <is>
          <t>ESKILSTUNA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44803</v>
      </c>
      <c r="E395" s="1" t="n">
        <v>46241</v>
      </c>
      <c r="F395" t="inlineStr">
        <is>
          <t>SÖDERMANLANDS LÄN</t>
        </is>
      </c>
      <c r="G395" t="inlineStr">
        <is>
          <t>ESKILSTUNA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44803</v>
      </c>
      <c r="E396" s="1" t="n">
        <v>46241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70613-2021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46241</v>
      </c>
      <c r="F397" t="inlineStr">
        <is>
          <t>SÖDERMANLANDS LÄN</t>
        </is>
      </c>
      <c r="G397" t="inlineStr">
        <is>
          <t>ESKILSTUNA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44839</v>
      </c>
      <c r="E398" s="1" t="n">
        <v>46241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46241</v>
      </c>
      <c r="F399" t="inlineStr">
        <is>
          <t>SÖDERMANLANDS LÄN</t>
        </is>
      </c>
      <c r="G399" t="inlineStr">
        <is>
          <t>ESKILSTUNA</t>
        </is>
      </c>
      <c r="I399" t="n">
        <v>15.6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46241</v>
      </c>
      <c r="F400" t="inlineStr">
        <is>
          <t>SÖDERMANLANDS LÄN</t>
        </is>
      </c>
      <c r="G400" t="inlineStr">
        <is>
          <t>ESKILSTUNA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46241</v>
      </c>
      <c r="F401" t="inlineStr">
        <is>
          <t>SÖDERMANLANDS LÄN</t>
        </is>
      </c>
      <c r="G401" t="inlineStr">
        <is>
          <t>ESKILSTUNA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46241</v>
      </c>
      <c r="F402" t="inlineStr">
        <is>
          <t>SÖDERMANLANDS LÄN</t>
        </is>
      </c>
      <c r="G402" t="inlineStr">
        <is>
          <t>ESKILSTUNA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44938</v>
      </c>
      <c r="E403" s="1" t="n">
        <v>46241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27779-2026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46191</v>
      </c>
      <c r="E404" s="1" t="n">
        <v>46241</v>
      </c>
      <c r="F404" t="inlineStr">
        <is>
          <t>SÖDERMANLANDS LÄN</t>
        </is>
      </c>
      <c r="G404" t="inlineStr">
        <is>
          <t>ESKILSTUNA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46241</v>
      </c>
      <c r="F405" t="inlineStr">
        <is>
          <t>SÖDERMANLANDS LÄN</t>
        </is>
      </c>
      <c r="G405" t="inlineStr">
        <is>
          <t>ESKILSTUNA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46241</v>
      </c>
      <c r="F406" t="inlineStr">
        <is>
          <t>SÖDERMANLANDS LÄN</t>
        </is>
      </c>
      <c r="G406" t="inlineStr">
        <is>
          <t>ESKILSTUNA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46241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Sveaskog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45005</v>
      </c>
      <c r="E408" s="1" t="n">
        <v>46241</v>
      </c>
      <c r="F408" t="inlineStr">
        <is>
          <t>SÖDERMANLANDS LÄN</t>
        </is>
      </c>
      <c r="G408" t="inlineStr">
        <is>
          <t>ESKILSTUNA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46241</v>
      </c>
      <c r="F409" t="inlineStr">
        <is>
          <t>SÖDERMANLANDS LÄN</t>
        </is>
      </c>
      <c r="G409" t="inlineStr">
        <is>
          <t>ESKILSTUNA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46238</v>
      </c>
      <c r="E410" s="1" t="n">
        <v>46241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44942</v>
      </c>
      <c r="E411" s="1" t="n">
        <v>46241</v>
      </c>
      <c r="F411" t="inlineStr">
        <is>
          <t>SÖDERMANLANDS LÄN</t>
        </is>
      </c>
      <c r="G411" t="inlineStr">
        <is>
          <t>ESKILSTUNA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32177-2026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46241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Sveaskog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40386-2022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46241</v>
      </c>
      <c r="F413" t="inlineStr">
        <is>
          <t>SÖDERMANLANDS LÄN</t>
        </is>
      </c>
      <c r="G413" t="inlineStr">
        <is>
          <t>ESKILSTUNA</t>
        </is>
      </c>
      <c r="I413" t="n">
        <v>11.6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48671-2021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44452</v>
      </c>
      <c r="E414" s="1" t="n">
        <v>46241</v>
      </c>
      <c r="F414" t="inlineStr">
        <is>
          <t>SÖDERMANLANDS LÄN</t>
        </is>
      </c>
      <c r="G414" t="inlineStr">
        <is>
          <t>ESKILSTUNA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53476-2021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44468</v>
      </c>
      <c r="E415" s="1" t="n">
        <v>46241</v>
      </c>
      <c r="F415" t="inlineStr">
        <is>
          <t>SÖDERMANLANDS LÄN</t>
        </is>
      </c>
      <c r="G415" t="inlineStr">
        <is>
          <t>ESKILSTUNA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45608</v>
      </c>
      <c r="E416" s="1" t="n">
        <v>46241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Övriga Aktiebolag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45062</v>
      </c>
      <c r="E417" s="1" t="n">
        <v>46241</v>
      </c>
      <c r="F417" t="inlineStr">
        <is>
          <t>SÖDERMANLANDS LÄN</t>
        </is>
      </c>
      <c r="G417" t="inlineStr">
        <is>
          <t>ESKILSTUNA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32461-2026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46239</v>
      </c>
      <c r="E418" s="1" t="n">
        <v>46241</v>
      </c>
      <c r="F418" t="inlineStr">
        <is>
          <t>SÖDERMANLANDS LÄN</t>
        </is>
      </c>
      <c r="G418" t="inlineStr">
        <is>
          <t>ESKILSTUNA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13626-2023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45006</v>
      </c>
      <c r="E419" s="1" t="n">
        <v>46241</v>
      </c>
      <c r="F419" t="inlineStr">
        <is>
          <t>SÖDERMANLANDS LÄN</t>
        </is>
      </c>
      <c r="G419" t="inlineStr">
        <is>
          <t>ESKILSTUNA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46241</v>
      </c>
      <c r="F420" t="inlineStr">
        <is>
          <t>SÖDERMANLANDS LÄN</t>
        </is>
      </c>
      <c r="G420" t="inlineStr">
        <is>
          <t>ESKILSTUNA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46241</v>
      </c>
      <c r="F421" t="inlineStr">
        <is>
          <t>SÖDERMANLANDS LÄN</t>
        </is>
      </c>
      <c r="G421" t="inlineStr">
        <is>
          <t>ESKILSTUNA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44964</v>
      </c>
      <c r="E422" s="1" t="n">
        <v>46241</v>
      </c>
      <c r="F422" t="inlineStr">
        <is>
          <t>SÖDERMANLANDS LÄN</t>
        </is>
      </c>
      <c r="G422" t="inlineStr">
        <is>
          <t>ESKILSTUNA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45004</v>
      </c>
      <c r="E423" s="1" t="n">
        <v>46241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44851</v>
      </c>
      <c r="E424" s="1" t="n">
        <v>46241</v>
      </c>
      <c r="F424" t="inlineStr">
        <is>
          <t>SÖDERMANLANDS LÄN</t>
        </is>
      </c>
      <c r="G424" t="inlineStr">
        <is>
          <t>ESKILSTUNA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46796-2023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45198</v>
      </c>
      <c r="E425" s="1" t="n">
        <v>46241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25071-2022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46241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46241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44946</v>
      </c>
      <c r="E428" s="1" t="n">
        <v>46241</v>
      </c>
      <c r="F428" t="inlineStr">
        <is>
          <t>SÖDERMANLANDS LÄN</t>
        </is>
      </c>
      <c r="G428" t="inlineStr">
        <is>
          <t>ESKILSTUNA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46241</v>
      </c>
      <c r="F429" t="inlineStr">
        <is>
          <t>SÖDERMANLANDS LÄN</t>
        </is>
      </c>
      <c r="G429" t="inlineStr">
        <is>
          <t>ESKILSTUNA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44592</v>
      </c>
      <c r="E430" s="1" t="n">
        <v>46241</v>
      </c>
      <c r="F430" t="inlineStr">
        <is>
          <t>SÖDERMANLANDS LÄN</t>
        </is>
      </c>
      <c r="G430" t="inlineStr">
        <is>
          <t>ESKILSTUNA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45061</v>
      </c>
      <c r="E431" s="1" t="n">
        <v>46241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35076-2022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44797</v>
      </c>
      <c r="E432" s="1" t="n">
        <v>46241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46241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Kyrkan</t>
        </is>
      </c>
      <c r="I433" t="n">
        <v>12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44953</v>
      </c>
      <c r="E434" s="1" t="n">
        <v>46241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46241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46241</v>
      </c>
      <c r="F436" t="inlineStr">
        <is>
          <t>SÖDERMANLANDS LÄN</t>
        </is>
      </c>
      <c r="G436" t="inlineStr">
        <is>
          <t>ESKILSTUNA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45303</v>
      </c>
      <c r="E437" s="1" t="n">
        <v>46241</v>
      </c>
      <c r="F437" t="inlineStr">
        <is>
          <t>SÖDERMANLANDS LÄN</t>
        </is>
      </c>
      <c r="G437" t="inlineStr">
        <is>
          <t>ESKILSTUNA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44804</v>
      </c>
      <c r="E438" s="1" t="n">
        <v>46241</v>
      </c>
      <c r="F438" t="inlineStr">
        <is>
          <t>SÖDERMANLANDS LÄN</t>
        </is>
      </c>
      <c r="G438" t="inlineStr">
        <is>
          <t>ESKILSTUNA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46241</v>
      </c>
      <c r="F439" t="inlineStr">
        <is>
          <t>SÖDERMANLANDS LÄN</t>
        </is>
      </c>
      <c r="G439" t="inlineStr">
        <is>
          <t>ESKILSTUNA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44732</v>
      </c>
      <c r="E440" s="1" t="n">
        <v>46241</v>
      </c>
      <c r="F440" t="inlineStr">
        <is>
          <t>SÖDERMANLANDS LÄN</t>
        </is>
      </c>
      <c r="G440" t="inlineStr">
        <is>
          <t>ESKILSTUNA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46241</v>
      </c>
      <c r="F441" t="inlineStr">
        <is>
          <t>SÖDERMANLANDS LÄN</t>
        </is>
      </c>
      <c r="G441" t="inlineStr">
        <is>
          <t>ESKILSTUNA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45664</v>
      </c>
      <c r="E442" s="1" t="n">
        <v>46241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45266</v>
      </c>
      <c r="E443" s="1" t="n">
        <v>46241</v>
      </c>
      <c r="F443" t="inlineStr">
        <is>
          <t>SÖDERMANLANDS LÄN</t>
        </is>
      </c>
      <c r="G443" t="inlineStr">
        <is>
          <t>ESKILSTUNA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45518</v>
      </c>
      <c r="E444" s="1" t="n">
        <v>46241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Övriga Aktiebolag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45708</v>
      </c>
      <c r="E445" s="1" t="n">
        <v>46241</v>
      </c>
      <c r="F445" t="inlineStr">
        <is>
          <t>SÖDERMANLANDS LÄN</t>
        </is>
      </c>
      <c r="G445" t="inlineStr">
        <is>
          <t>ESKILSTUNA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45303</v>
      </c>
      <c r="E446" s="1" t="n">
        <v>46241</v>
      </c>
      <c r="F446" t="inlineStr">
        <is>
          <t>SÖDERMANLANDS LÄN</t>
        </is>
      </c>
      <c r="G446" t="inlineStr">
        <is>
          <t>ESKILSTUNA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1346-2024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45303</v>
      </c>
      <c r="E447" s="1" t="n">
        <v>46241</v>
      </c>
      <c r="F447" t="inlineStr">
        <is>
          <t>SÖDERMANLANDS LÄN</t>
        </is>
      </c>
      <c r="G447" t="inlineStr">
        <is>
          <t>ESKILSTUNA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44873</v>
      </c>
      <c r="E448" s="1" t="n">
        <v>46241</v>
      </c>
      <c r="F448" t="inlineStr">
        <is>
          <t>SÖDERMANLANDS LÄN</t>
        </is>
      </c>
      <c r="G448" t="inlineStr">
        <is>
          <t>ESKILSTUNA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44965</v>
      </c>
      <c r="E449" s="1" t="n">
        <v>46241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11705-2022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46241</v>
      </c>
      <c r="F450" t="inlineStr">
        <is>
          <t>SÖDERMANLANDS LÄN</t>
        </is>
      </c>
      <c r="G450" t="inlineStr">
        <is>
          <t>ESKILSTUNA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46241</v>
      </c>
      <c r="F451" t="inlineStr">
        <is>
          <t>SÖDERMANLANDS LÄN</t>
        </is>
      </c>
      <c r="G451" t="inlineStr">
        <is>
          <t>ESKILSTUNA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45882-2022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44844</v>
      </c>
      <c r="E452" s="1" t="n">
        <v>46241</v>
      </c>
      <c r="F452" t="inlineStr">
        <is>
          <t>SÖDERMANLANDS LÄN</t>
        </is>
      </c>
      <c r="G452" t="inlineStr">
        <is>
          <t>ESKILSTUNA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45884-2022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44844</v>
      </c>
      <c r="E453" s="1" t="n">
        <v>46241</v>
      </c>
      <c r="F453" t="inlineStr">
        <is>
          <t>SÖDERMANLANDS LÄN</t>
        </is>
      </c>
      <c r="G453" t="inlineStr">
        <is>
          <t>ESKILSTUNA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44942</v>
      </c>
      <c r="E454" s="1" t="n">
        <v>46241</v>
      </c>
      <c r="F454" t="inlineStr">
        <is>
          <t>SÖDERMANLANDS LÄN</t>
        </is>
      </c>
      <c r="G454" t="inlineStr">
        <is>
          <t>ESKILSTUNA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32708-2024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45514</v>
      </c>
      <c r="E455" s="1" t="n">
        <v>46241</v>
      </c>
      <c r="F455" t="inlineStr">
        <is>
          <t>SÖDERMANLANDS LÄN</t>
        </is>
      </c>
      <c r="G455" t="inlineStr">
        <is>
          <t>ESKILSTUNA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45058</v>
      </c>
      <c r="E456" s="1" t="n">
        <v>46241</v>
      </c>
      <c r="F456" t="inlineStr">
        <is>
          <t>SÖDERMANLANDS LÄN</t>
        </is>
      </c>
      <c r="G456" t="inlineStr">
        <is>
          <t>ESKILSTUNA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33585-2022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44789</v>
      </c>
      <c r="E457" s="1" t="n">
        <v>46241</v>
      </c>
      <c r="F457" t="inlineStr">
        <is>
          <t>SÖDERMANLANDS LÄN</t>
        </is>
      </c>
      <c r="G457" t="inlineStr">
        <is>
          <t>ESKILSTUNA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45341</v>
      </c>
      <c r="E458" s="1" t="n">
        <v>46241</v>
      </c>
      <c r="F458" t="inlineStr">
        <is>
          <t>SÖDERMANLANDS LÄN</t>
        </is>
      </c>
      <c r="G458" t="inlineStr">
        <is>
          <t>ESKILSTUNA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46241</v>
      </c>
      <c r="F459" t="inlineStr">
        <is>
          <t>SÖDERMANLANDS LÄN</t>
        </is>
      </c>
      <c r="G459" t="inlineStr">
        <is>
          <t>ESKILSTUNA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15592-2023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45020</v>
      </c>
      <c r="E460" s="1" t="n">
        <v>46241</v>
      </c>
      <c r="F460" t="inlineStr">
        <is>
          <t>SÖDERMANLANDS LÄN</t>
        </is>
      </c>
      <c r="G460" t="inlineStr">
        <is>
          <t>ESKILSTUNA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45341</v>
      </c>
      <c r="E461" s="1" t="n">
        <v>46241</v>
      </c>
      <c r="F461" t="inlineStr">
        <is>
          <t>SÖDERMANLANDS LÄN</t>
        </is>
      </c>
      <c r="G461" t="inlineStr">
        <is>
          <t>ESKILSTUNA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46241</v>
      </c>
      <c r="F462" t="inlineStr">
        <is>
          <t>SÖDERMANLANDS LÄN</t>
        </is>
      </c>
      <c r="G462" t="inlineStr">
        <is>
          <t>ESKILSTUNA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46241</v>
      </c>
      <c r="F463" t="inlineStr">
        <is>
          <t>SÖDERMANLANDS LÄN</t>
        </is>
      </c>
      <c r="G463" t="inlineStr">
        <is>
          <t>ESKILSTUNA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59138-2024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45637</v>
      </c>
      <c r="E464" s="1" t="n">
        <v>46241</v>
      </c>
      <c r="F464" t="inlineStr">
        <is>
          <t>SÖDERMANLANDS LÄN</t>
        </is>
      </c>
      <c r="G464" t="inlineStr">
        <is>
          <t>ESKILSTUNA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46241</v>
      </c>
      <c r="F465" t="inlineStr">
        <is>
          <t>SÖDERMANLANDS LÄN</t>
        </is>
      </c>
      <c r="G465" t="inlineStr">
        <is>
          <t>ESKILSTUNA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53181-2024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45611</v>
      </c>
      <c r="E466" s="1" t="n">
        <v>46241</v>
      </c>
      <c r="F466" t="inlineStr">
        <is>
          <t>SÖDERMANLANDS LÄN</t>
        </is>
      </c>
      <c r="G466" t="inlineStr">
        <is>
          <t>ESKILSTUNA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1538-2025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45670</v>
      </c>
      <c r="E467" s="1" t="n">
        <v>46241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70560-2021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44536</v>
      </c>
      <c r="E468" s="1" t="n">
        <v>46241</v>
      </c>
      <c r="F468" t="inlineStr">
        <is>
          <t>SÖDERMANLANDS LÄN</t>
        </is>
      </c>
      <c r="G468" t="inlineStr">
        <is>
          <t>ESKILSTUNA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46241</v>
      </c>
      <c r="F469" t="inlineStr">
        <is>
          <t>SÖDERMANLANDS LÄN</t>
        </is>
      </c>
      <c r="G469" t="inlineStr">
        <is>
          <t>ESKILSTUNA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46241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45642</v>
      </c>
      <c r="E471" s="1" t="n">
        <v>46241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46241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9.6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45642</v>
      </c>
      <c r="E473" s="1" t="n">
        <v>46241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13826-2025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46241</v>
      </c>
      <c r="F474" t="inlineStr">
        <is>
          <t>SÖDERMANLANDS LÄN</t>
        </is>
      </c>
      <c r="G474" t="inlineStr">
        <is>
          <t>ESKILSTUNA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46241</v>
      </c>
      <c r="F475" t="inlineStr">
        <is>
          <t>SÖDERMANLANDS LÄN</t>
        </is>
      </c>
      <c r="G475" t="inlineStr">
        <is>
          <t>ESKILSTUNA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45365</v>
      </c>
      <c r="E476" s="1" t="n">
        <v>46241</v>
      </c>
      <c r="F476" t="inlineStr">
        <is>
          <t>SÖDERMANLANDS LÄN</t>
        </is>
      </c>
      <c r="G476" t="inlineStr">
        <is>
          <t>ESKILSTUNA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45049</v>
      </c>
      <c r="E477" s="1" t="n">
        <v>46241</v>
      </c>
      <c r="F477" t="inlineStr">
        <is>
          <t>SÖDERMANLANDS LÄN</t>
        </is>
      </c>
      <c r="G477" t="inlineStr">
        <is>
          <t>ESKILSTUNA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24537-2025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45798</v>
      </c>
      <c r="E478" s="1" t="n">
        <v>46241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24534-2025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46241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24535-2025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45798</v>
      </c>
      <c r="E480" s="1" t="n">
        <v>46241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24536-2025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45798</v>
      </c>
      <c r="E481" s="1" t="n">
        <v>46241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46241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46241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46241</v>
      </c>
      <c r="F484" t="inlineStr">
        <is>
          <t>SÖDERMANLANDS LÄN</t>
        </is>
      </c>
      <c r="G484" t="inlineStr">
        <is>
          <t>ESKILSTUNA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46241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43489-2024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45568</v>
      </c>
      <c r="E486" s="1" t="n">
        <v>46241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30096-2025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45826</v>
      </c>
      <c r="E487" s="1" t="n">
        <v>46241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30113-2025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46241</v>
      </c>
      <c r="F488" t="inlineStr">
        <is>
          <t>SÖDERMANLANDS LÄN</t>
        </is>
      </c>
      <c r="G488" t="inlineStr">
        <is>
          <t>ESKILSTUNA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46241</v>
      </c>
      <c r="F489" t="inlineStr">
        <is>
          <t>SÖDERMANLANDS LÄN</t>
        </is>
      </c>
      <c r="G489" t="inlineStr">
        <is>
          <t>ESKILSTUNA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45826</v>
      </c>
      <c r="E490" s="1" t="n">
        <v>46241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46241</v>
      </c>
      <c r="F491" t="inlineStr">
        <is>
          <t>SÖDERMANLANDS LÄN</t>
        </is>
      </c>
      <c r="G491" t="inlineStr">
        <is>
          <t>ESKILSTUNA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1333-2020</t>
        </is>
      </c>
      <c r="B492" t="inlineStr">
        <is>
          <t>samrådsanmälan</t>
        </is>
      </c>
      <c r="C492" t="inlineStr">
        <is>
          <t>Åtgärd i nyckelbiotop</t>
        </is>
      </c>
      <c r="D492" s="1" t="n">
        <v>43993</v>
      </c>
      <c r="E492" s="1" t="n">
        <v>46241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383-2023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44959</v>
      </c>
      <c r="E493" s="1" t="n">
        <v>46241</v>
      </c>
      <c r="F493" t="inlineStr">
        <is>
          <t>SÖDERMANLANDS LÄN</t>
        </is>
      </c>
      <c r="G493" t="inlineStr">
        <is>
          <t>ESKILSTUNA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6471-2021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44449</v>
      </c>
      <c r="E494" s="1" t="n">
        <v>46241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3665-2023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45217</v>
      </c>
      <c r="E495" s="1" t="n">
        <v>46241</v>
      </c>
      <c r="F495" t="inlineStr">
        <is>
          <t>SÖDERMANLANDS LÄN</t>
        </is>
      </c>
      <c r="G495" t="inlineStr">
        <is>
          <t>ESKILSTUNA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4583-2023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45282</v>
      </c>
      <c r="E496" s="1" t="n">
        <v>46241</v>
      </c>
      <c r="F496" t="inlineStr">
        <is>
          <t>SÖDERMANLANDS LÄN</t>
        </is>
      </c>
      <c r="G496" t="inlineStr">
        <is>
          <t>ESKILSTUNA</t>
        </is>
      </c>
      <c r="I496" t="n">
        <v>31.4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1601-2025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46241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1602-2025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46241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291-2025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45686</v>
      </c>
      <c r="E499" s="1" t="n">
        <v>46241</v>
      </c>
      <c r="F499" t="inlineStr">
        <is>
          <t>SÖDERMANLANDS LÄN</t>
        </is>
      </c>
      <c r="G499" t="inlineStr">
        <is>
          <t>ESKILSTUNA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2917-2024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45504</v>
      </c>
      <c r="E500" s="1" t="n">
        <v>46241</v>
      </c>
      <c r="F500" t="inlineStr">
        <is>
          <t>SÖDERMANLANDS LÄN</t>
        </is>
      </c>
      <c r="G500" t="inlineStr">
        <is>
          <t>ESKILSTUNA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1920-2025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45826</v>
      </c>
      <c r="E501" s="1" t="n">
        <v>46241</v>
      </c>
      <c r="F501" t="inlineStr">
        <is>
          <t>SÖDERMANLANDS LÄN</t>
        </is>
      </c>
      <c r="G501" t="inlineStr">
        <is>
          <t>ESKILSTUNA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1030-2026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46125</v>
      </c>
      <c r="E502" s="1" t="n">
        <v>46241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1871-2026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46241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46241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2026-08-07T01:53:40Z</dcterms:created>
  <dcterms:modified xmlns:dcterms="http://purl.org/dc/terms/" xmlns:xsi="http://www.w3.org/2001/XMLSchema-instance" xsi:type="dcterms:W3CDTF">2026-08-07T01:53:40Z</dcterms:modified>
</cp:coreProperties>
</file>